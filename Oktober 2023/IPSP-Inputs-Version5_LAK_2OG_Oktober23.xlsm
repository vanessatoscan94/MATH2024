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Oktober 2023/"/>
    </mc:Choice>
  </mc:AlternateContent>
  <xr:revisionPtr revIDLastSave="25" documentId="8_{7C81D4A5-5C67-4F6C-B3AB-3184ADDBEB06}" xr6:coauthVersionLast="47" xr6:coauthVersionMax="47" xr10:uidLastSave="{D903AAF0-2235-498F-BC5C-3CAA36951CE5}"/>
  <bookViews>
    <workbookView xWindow="-28920" yWindow="840" windowWidth="29040" windowHeight="15840" firstSheet="2" activeTab="5" xr2:uid="{00000000-000D-0000-FFFF-FFFF00000000}"/>
  </bookViews>
  <sheets>
    <sheet name="kategorien" sheetId="14" r:id="rId1"/>
    <sheet name="diensttypen" sheetId="10" r:id="rId2"/>
    <sheet name="diensttypgruppen" sheetId="11" r:id="rId3"/>
    <sheet name="Dienstzeiten" sheetId="17" r:id="rId4"/>
    <sheet name="ma-basisdaten" sheetId="6" r:id="rId5"/>
    <sheet name="ma-profil" sheetId="7" r:id="rId6"/>
    <sheet name="live-daten" sheetId="9" r:id="rId7"/>
    <sheet name="bedarfe" sheetId="8" r:id="rId8"/>
    <sheet name="generell" sheetId="15" r:id="rId9"/>
    <sheet name="qualitativeGewichte" sheetId="12"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22" i="9" l="1"/>
  <c r="AW23" i="9"/>
  <c r="AW24" i="9"/>
  <c r="T33" i="9"/>
  <c r="AW20" i="9" l="1"/>
  <c r="AW21" i="9"/>
  <c r="AW25" i="9"/>
  <c r="AW18" i="9" l="1"/>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AW19" i="9"/>
  <c r="AW5" i="9"/>
  <c r="AW16" i="9" l="1"/>
  <c r="AW12" i="9"/>
  <c r="AW15" i="9"/>
  <c r="AW14" i="9"/>
  <c r="AW17"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M3" i="9" s="1"/>
  <c r="N4" i="9" l="1"/>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M4" i="9" s="1"/>
  <c r="AM3" i="9" s="1"/>
  <c r="AK3" i="9"/>
  <c r="AL3" i="9" l="1"/>
  <c r="AN4" i="9" l="1"/>
  <c r="AO4" i="9" l="1"/>
  <c r="AO3" i="9" s="1"/>
  <c r="AN3" i="9"/>
  <c r="AP4"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20"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20"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8"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5"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6"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tc={8A9B95A0-6D25-4612-9682-C6E91676618D}</author>
    <author>tc={182F8165-610B-467A-82F7-2A69CE7B4141}</author>
    <author>tc={A6B0AFF9-4AA9-4B97-898B-88A08114BD95}</author>
    <author>tc={0A25C8D5-ECFC-4FB1-85A9-2D300F9EA1F5}</author>
    <author>tc={9E7028DE-F519-4580-973D-41C84994B5ED}</author>
    <author>tc={7BFBB72B-AA69-424B-9B93-1545AB9C08EA}</author>
  </authors>
  <commentList>
    <comment ref="B7" authorId="0" shapeId="0" xr:uid="{8A9B95A0-6D25-4612-9682-C6E91676618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9" authorId="1" shapeId="0" xr:uid="{182F8165-610B-467A-82F7-2A69CE7B41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1" authorId="2" shapeId="0" xr:uid="{A6B0AFF9-4AA9-4B97-898B-88A08114BD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C12" authorId="3"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 ref="B14" authorId="4" shapeId="0" xr:uid="{9E7028DE-F519-4580-973D-41C84994B5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B19" authorId="5" shapeId="0" xr:uid="{7BFBB72B-AA69-424B-9B93-1545AB9C08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tc={0B6CCD2D-EBA5-4086-B6F7-F4CA70561074}</author>
    <author>tc={EE32E801-A485-4F1B-AB04-8F76E8E4349C}</author>
    <author>tc={08DEC01A-0E68-4572-B9A8-DB0742DA0672}</author>
    <author>tc={A11447F0-CE45-40AD-BE33-A4A2EFE1CF39}</author>
    <author>tc={DDEAEEF3-2AAD-46B0-9B2F-88772A049AAE}</author>
    <author>tc={FA526BE6-6D61-4F0D-9762-6D88FE637609}</author>
    <author>tc={19728A74-03C8-476B-B435-07DAC7501430}</author>
    <author>tc={FC7D798C-98E9-4971-B670-E78BF4F85EBC}</author>
    <author>tc={CBEFF0E7-4B91-4D6D-AFB9-EF156CB5AA7F}</author>
    <author>tc={E6EC6261-0B97-4006-81DE-9C359AE81AA1}</author>
    <author>tc={975EEF6F-94D2-4249-8E84-698C47BDC4E4}</author>
    <author>tc={66ED8BC8-CB1D-4DBD-A433-E946FAAB6607}</author>
    <author>tc={9EEC97AD-6F7D-4EDB-9854-53F2A67C8705}</author>
    <author>tc={052B9747-5F06-4377-BDAF-5E8063E73E71}</author>
    <author>tc={116B9C13-B2A0-4B74-B79F-22AECE7F7FDC}</author>
    <author>tc={C0395729-4E0F-46EA-9F10-8B05280D50B9}</author>
    <author>tc={A9ECF1E1-D4DF-4D40-A09D-D5847E715C9E}</author>
    <author>tc={4C24A843-8E23-486C-ABB2-DE1824225F41}</author>
    <author>tc={51842F7D-2203-4932-BFEE-38C6BAB478E1}</author>
    <author>tc={92A500B3-739D-4B3D-8BB7-1D460388C100}</author>
    <author>tc={881FDCEE-692F-4F7B-B30E-38C3AF77903E}</author>
    <author>tc={23DD3B85-DDC3-43B2-BD44-0B229851BCFE}</author>
    <author>tc={9E050493-9DAF-402E-B66C-60BD7F19A0DA}</author>
    <author>tc={4409BBC2-D332-4820-8268-BEB217CC77BF}</author>
    <author>tc={75ECE491-8D22-43C9-AFE5-22771BDC1F96}</author>
    <author>tc={1147671D-92F1-457F-9CDB-8AAD0712BD74}</author>
    <author>tc={3C9543FB-7D19-4561-89CE-7DD23C272183}</author>
    <author>tc={2ABBAF9B-E1F0-4B37-A2FE-DEE16A600004}</author>
    <author>tc={44028F63-3529-4317-AA7D-9A4D934DE006}</author>
    <author>tc={8C66B2B3-24BC-44FE-9D45-9C9C24C73683}</author>
    <author>tc={D00CDAD4-E26B-4398-9009-F7C22DE08D66}</author>
    <author>tc={F8F4E404-A10F-47B8-A869-70E3B4F0CA96}</author>
    <author>tc={7ECBB0B6-8065-46E3-BC2A-F6ED45A069B3}</author>
    <author>tc={B56E303B-A0FA-430A-9EF1-6148B685604B}</author>
    <author>tc={E8B985B5-63FC-459B-BD54-758866BAAA98}</author>
    <author>tc={E0EF3543-8F51-42A5-BD0D-C1D47DC1B5CC}</author>
    <author>tc={17E517B5-D612-4158-8EBD-0924C7713B1E}</author>
    <author>tc={9315C8E9-2CF7-404B-B551-90E8BC4D6079}</author>
    <author>tc={D2976F3B-B737-4AA4-9924-639392D186B2}</author>
    <author>tc={EEC5766D-213F-4F53-97B8-C1E14803CB58}</author>
    <author>tc={75FEE6D1-972E-463D-9E96-645A6D81EE77}</author>
    <author>tc={AC534E3D-6A46-4C4D-AC47-0FB85E96BF5F}</author>
    <author>tc={CC79F2AF-5AFD-4833-BA4D-2B357DAB91AC}</author>
    <author>tc={18BAF795-DD03-4837-B28C-BB43A403FB3F}</author>
    <author>tc={EFC6CEDD-9332-4383-93D1-5D78F6F86632}</author>
    <author>tc={B12594FB-F092-4FBA-A299-DC9246D2665D}</author>
    <author>tc={E788BA75-9918-4069-9E09-FA3C975F97BD}</author>
    <author>tc={F2BDD531-48E4-4937-B216-56C714323300}</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U2" authorId="1"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2"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T4" authorId="3" shapeId="0" xr:uid="{08DEC01A-0E68-4572-B9A8-DB0742DA06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wenn wichtig = 2 - 1, unwichtig wird nicht auf WE geachtet.
Leer = neutral
Antwort:
    nur in Ausnahmefällen werden 3 WE verteilt, deshalb max auf 2 gesetzt.</t>
      </text>
    </comment>
    <comment ref="C5" authorId="4"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5"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6"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7"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J6" authorId="8"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9"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0"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7" authorId="11"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 sie ist schon 64 Jahre alt, ist zu streng.</t>
      </text>
    </comment>
    <comment ref="T7" authorId="12"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G8" authorId="13"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4"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5"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16"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17"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18" shapeId="0" xr:uid="{4C24A843-8E23-486C-ABB2-DE1824225F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H9" authorId="19"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0"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1"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2"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C10" authorId="23"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24"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25"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26"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27" shapeId="0" xr:uid="{3C9543FB-7D19-4561-89CE-7DD23C272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K11" authorId="28" shapeId="0" xr:uid="{2ABBAF9B-E1F0-4B37-A2FE-DEE16A600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29" shapeId="0" xr:uid="{44028F63-3529-4317-AA7D-9A4D934DE0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0" shapeId="0" xr:uid="{8C66B2B3-24BC-44FE-9D45-9C9C24C736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1" shapeId="0" xr:uid="{D00CDAD4-E26B-4398-9009-F7C22DE08D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F13" authorId="32" shapeId="0" xr:uid="{F8F4E404-A10F-47B8-A869-70E3B4F0CA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S2 oder F1 verteilen</t>
      </text>
    </comment>
    <comment ref="T14" authorId="33"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15" authorId="34"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5" authorId="35"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5" authorId="36"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6" authorId="37" shapeId="0" xr:uid="{17E517B5-D612-4158-8EBD-0924C7713B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T16" authorId="38"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I17" authorId="39"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40"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41"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42"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G18" authorId="43" shapeId="0" xr:uid="{CC79F2AF-5AFD-4833-BA4D-2B357DAB91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44" shapeId="0" xr:uid="{18BAF795-DD03-4837-B28C-BB43A403FB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45" shapeId="0" xr:uid="{EFC6CEDD-9332-4383-93D1-5D78F6F8663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G19" authorId="46"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9" authorId="47"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B21" authorId="48" shapeId="0" xr:uid="{F2BDD531-48E4-4937-B216-56C7143233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tc={8CF4EE10-0705-45D3-8223-A6467D873734}</author>
    <author>tc={74388BE1-0AF8-49D0-AB04-73030EB5DA10}</author>
    <author>tc={34E8D138-C8D1-44E1-97D2-A993DFE8C955}</author>
    <author>tc={808B17AD-CA56-4602-99E6-F2C2A2C468C9}</author>
    <author>tc={074A0C69-94B3-4C3D-82BD-D0BBBAC45608}</author>
    <author>tc={9505C9FC-1717-431B-8097-0A345F294EA2}</author>
    <author>tc={34E828A0-CF93-49D5-924E-46CB3DE9578F}</author>
    <author>tc={19006E6A-72B1-4FEC-AEAD-F743F38DFFFA}</author>
  </authors>
  <commentList>
    <comment ref="B9" authorId="0" shapeId="0" xr:uid="{8CF4EE10-0705-45D3-8223-A6467D8737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11" authorId="1" shapeId="0" xr:uid="{74388BE1-0AF8-49D0-AB04-73030EB5DA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3" authorId="2" shapeId="0" xr:uid="{34E8D138-C8D1-44E1-97D2-A993DFE8C9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F13" authorId="3" shapeId="0" xr:uid="{808B17AD-CA56-4602-99E6-F2C2A2C468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_G2</t>
      </text>
    </comment>
    <comment ref="G13" authorId="4" shapeId="0" xr:uid="{074A0C69-94B3-4C3D-82BD-D0BBBAC456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S3</t>
      </text>
    </comment>
    <comment ref="B16" authorId="5" shapeId="0" xr:uid="{9505C9FC-1717-431B-8097-0A345F294EA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E20" authorId="6" shapeId="0" xr:uid="{34E828A0-CF93-49D5-924E-46CB3DE9578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S3</t>
      </text>
    </comment>
    <comment ref="B21" authorId="7" shapeId="0" xr:uid="{19006E6A-72B1-4FEC-AEAD-F743F38DFF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tc={0A4CF072-4A68-418A-A5DD-F3FEB545C2BC}</author>
    <author>tc={AA3EECED-93BC-4C0D-B2FC-5188E1043189}</author>
    <author>tc={9CCD5C7E-B493-44C4-B773-4D19C533216F}</author>
    <author>tc={E178F71C-293D-4DE3-BD9F-FFBB96A65123}</author>
    <author>tc={EBBFB65C-DE30-455C-82F6-4729E6E9C50A}</author>
    <author>tc={0207A5FF-0A28-4570-A385-C6B45DE1CC7D}</author>
    <author>tc={2A2BE023-9F07-4DF9-A7CF-5525E7F5F6D5}</author>
    <author>tc={57E088F6-7B73-4C01-A2ED-EAFD81ED71A1}</author>
    <author>tc={3308B317-6CEA-4648-B432-61FB8ECCC3AC}</author>
    <author>tc={0CEF8ED3-8F87-493D-89C6-95A6B97248CF}</author>
    <author>tc={1AF99646-5436-4137-A67E-955F8614BAFA}</author>
    <author>tc={4B4554BD-751B-45EF-8746-94B6BC560860}</author>
  </authors>
  <commentList>
    <comment ref="W3" authorId="0"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W6" authorId="1" shapeId="0" xr:uid="{AA3EECED-93BC-4C0D-B2FC-5188E10431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7" authorId="2" shapeId="0" xr:uid="{9CCD5C7E-B493-44C4-B773-4D19C53321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8" authorId="3" shapeId="0" xr:uid="{E178F71C-293D-4DE3-BD9F-FFBB96A651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0" authorId="4" shapeId="0" xr:uid="{EBBFB65C-DE30-455C-82F6-4729E6E9C5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6" authorId="5"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7" authorId="6"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7"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19" authorId="8" shapeId="0" xr:uid="{3308B317-6CEA-4648-B432-61FB8ECCC3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t>
      </text>
    </comment>
    <comment ref="W28" authorId="9"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1" authorId="10"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2" authorId="11"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<sst xmlns="http://schemas.openxmlformats.org/spreadsheetml/2006/main" count="1877" uniqueCount="559">
  <si>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</si>
  <si>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</si>
  <si>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</si>
  <si>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</si>
  <si>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</si>
  <si>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</si>
  <si>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</si>
  <si>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</si>
  <si>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</si>
  <si>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</si>
  <si>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</si>
  <si>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</si>
  <si>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</si>
  <si>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</si>
  <si>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</si>
  <si>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</si>
  <si>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</si>
  <si>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</si>
  <si>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</si>
  <si>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</si>
  <si>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</si>
  <si>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</si>
  <si>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</si>
  <si>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</si>
  <si>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</si>
  <si>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</si>
  <si>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</si>
  <si>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</si>
  <si>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</si>
  <si>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</si>
  <si>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</si>
  <si>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</si>
  <si>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</si>
  <si>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</si>
  <si>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</si>
  <si>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</si>
  <si>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</si>
  <si>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</si>
  <si>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</si>
  <si>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</si>
  <si>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</si>
  <si>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</si>
  <si>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</si>
  <si>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</si>
  <si>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</si>
  <si>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</si>
  <si>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</si>
  <si>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</si>
  <si>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</si>
  <si>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</si>
  <si>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</si>
  <si>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</si>
  <si>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</si>
  <si>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</si>
  <si>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</si>
  <si>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</si>
  <si>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</si>
  <si>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</si>
  <si>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</si>
  <si>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</si>
  <si>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</si>
  <si>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</si>
  <si>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</si>
  <si>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</si>
  <si>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</si>
  <si>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</si>
  <si>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</si>
  <si>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</si>
  <si>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</si>
  <si>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</si>
  <si>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</si>
  <si>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</si>
  <si>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</si>
  <si>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</si>
  <si>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</si>
  <si>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</si>
  <si>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</si>
  <si>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</si>
  <si>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</si>
  <si>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</si>
  <si>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</si>
  <si>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</si>
  <si>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</si>
  <si>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</si>
  <si>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</si>
  <si>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</si>
  <si>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</si>
  <si>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</si>
  <si>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</si>
  <si>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</si>
  <si>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</si>
  <si>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</si>
  <si>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</si>
  <si>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</si>
  <si>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</si>
  <si>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</si>
  <si>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</si>
  <si>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</si>
  <si>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</si>
  <si>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</si>
  <si>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</si>
  <si>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</si>
  <si>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</si>
  <si>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</si>
  <si>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</si>
  <si>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</si>
  <si>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</si>
  <si>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</si>
  <si>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</si>
  <si>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</si>
  <si>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</si>
  <si>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</si>
  <si>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</si>
  <si>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</si>
  <si>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</si>
  <si>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</si>
  <si>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</si>
  <si>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</si>
  <si>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</si>
  <si>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</si>
  <si>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</si>
  <si>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</si>
  <si>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</si>
  <si>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</si>
  <si>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</si>
  <si>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</si>
  <si>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</si>
  <si>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</si>
  <si>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</si>
  <si>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</si>
  <si>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</si>
  <si>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</si>
  <si>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</si>
  <si>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</si>
  <si>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</si>
  <si>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</si>
  <si>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</si>
  <si>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</si>
  <si>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</si>
  <si>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</si>
  <si>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</si>
  <si>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</si>
  <si>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</si>
  <si>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</si>
  <si>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</si>
  <si>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</si>
  <si>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</si>
  <si>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</si>
  <si>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</si>
  <si>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</si>
  <si>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</si>
  <si>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</si>
  <si>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</si>
  <si>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</si>
  <si>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</si>
  <si>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</si>
  <si>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</si>
  <si>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</si>
  <si>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</si>
  <si>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</si>
  <si>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</si>
  <si>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</si>
  <si>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</si>
  <si>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</si>
  <si>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</si>
  <si>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</si>
  <si>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</si>
  <si>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</si>
  <si>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</si>
  <si>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</si>
  <si>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</si>
  <si>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</si>
  <si>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</si>
  <si>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</si>
  <si>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</si>
  <si>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</si>
  <si>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</si>
  <si>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</si>
  <si>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</si>
  <si>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</si>
  <si>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</si>
  <si>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</si>
  <si>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</si>
  <si>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</si>
  <si>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</si>
  <si>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</si>
  <si>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</si>
  <si>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</si>
  <si>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</si>
  <si>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</si>
  <si>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</si>
  <si>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</si>
  <si>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</si>
  <si>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</si>
  <si>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</si>
  <si>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</si>
  <si>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</si>
  <si>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</si>
  <si>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</si>
  <si>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</si>
  <si>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</si>
  <si>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</si>
  <si>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</si>
  <si>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</si>
  <si>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</si>
  <si>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</si>
  <si>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</si>
  <si>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</si>
  <si>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</si>
  <si>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</si>
  <si>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</si>
  <si>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</si>
  <si>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</si>
  <si>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</si>
  <si>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</si>
  <si>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</si>
  <si>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</si>
  <si>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</si>
  <si>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</si>
  <si>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</si>
  <si>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</si>
  <si>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</si>
  <si>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</si>
  <si>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</si>
  <si>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</si>
  <si>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</si>
  <si>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</si>
  <si>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</si>
  <si>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</si>
  <si>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</si>
  <si>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</si>
  <si>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</si>
  <si>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</si>
  <si>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</si>
  <si>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</si>
  <si>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</si>
  <si>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</si>
  <si>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</si>
  <si>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</si>
  <si>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</si>
  <si>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</si>
  <si>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</si>
  <si>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</si>
  <si>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</si>
  <si>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</si>
  <si>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</si>
  <si>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</si>
  <si>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</si>
  <si>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</si>
  <si>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</si>
  <si>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</si>
  <si>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</si>
  <si>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</si>
  <si>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</si>
  <si>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</si>
  <si>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</si>
  <si>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</si>
  <si>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</si>
  <si>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</si>
  <si>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</si>
  <si>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</si>
  <si>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</si>
  <si>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</si>
  <si>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</si>
  <si>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</si>
  <si>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</si>
  <si>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</si>
  <si>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</si>
  <si>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</si>
  <si>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</si>
  <si>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</si>
  <si>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</si>
  <si>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</si>
  <si>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</si>
  <si>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</si>
  <si>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</si>
  <si>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</si>
  <si>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</si>
  <si>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</si>
  <si>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</si>
  <si>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</si>
  <si>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</si>
  <si>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</si>
  <si>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</si>
  <si>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</si>
  <si>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</si>
  <si>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</si>
  <si>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</si>
  <si>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</si>
  <si>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</si>
  <si>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</si>
  <si>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</si>
  <si>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</si>
  <si>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</si>
  <si>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</si>
  <si>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</si>
  <si>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</si>
  <si>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</si>
  <si>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</si>
  <si>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</si>
  <si>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</si>
  <si>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</si>
  <si>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</si>
  <si>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</si>
  <si>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</si>
  <si>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</si>
  <si>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</si>
  <si>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</si>
  <si>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</si>
  <si>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</si>
  <si>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</si>
  <si>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</si>
  <si>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</si>
  <si>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</si>
  <si>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</si>
  <si>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</si>
  <si>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</si>
  <si>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</si>
  <si>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</si>
  <si>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</si>
  <si>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</si>
  <si>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</si>
  <si>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</si>
  <si>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</si>
  <si>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</si>
  <si>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</si>
  <si>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</si>
  <si>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</si>
  <si>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</si>
  <si>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</si>
  <si>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</si>
  <si>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</si>
  <si>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</si>
  <si>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L_Dipl 0700_1300</t>
  </si>
  <si>
    <t>L_Dipl_FaGe 0730_1115</t>
  </si>
  <si>
    <t>L_Dipl_FaGe 1115_1300</t>
  </si>
  <si>
    <t>L_Dipl_FaGe 1300_1600</t>
  </si>
  <si>
    <t>L_Dipl_FaGe 1600_1615</t>
  </si>
  <si>
    <t>L_Dipl_FaGe 1615_1845</t>
  </si>
  <si>
    <t>L_Dipl_FaGe_MA 0700_0730</t>
  </si>
  <si>
    <t>L_Dipl_FaGe_MA 0730_1115</t>
  </si>
  <si>
    <t>L_Dipl_FaGe_MA 1115_1300</t>
  </si>
  <si>
    <t>L_Dipl_FaGe_MA 1300_1600</t>
  </si>
  <si>
    <t>L_Dipl_FaGe_MA 1600_1615</t>
  </si>
  <si>
    <t>L_Dipl_FaGe_MA 1615_1845</t>
  </si>
  <si>
    <t>L_Dipl_FaGe_MA 1845_2030</t>
  </si>
  <si>
    <t>Alma_0730_1015</t>
  </si>
  <si>
    <t>Alma_1015_1145</t>
  </si>
  <si>
    <t>Alma_1145_1315</t>
  </si>
  <si>
    <t>Alma_1315_1615</t>
  </si>
  <si>
    <t>Alma_1615_1845</t>
  </si>
  <si>
    <t>Alma_Kombi_A3_A4_verbieten</t>
  </si>
  <si>
    <t>Alma_WE</t>
  </si>
  <si>
    <t>LE_L1</t>
  </si>
  <si>
    <t>LE - L1</t>
  </si>
  <si>
    <t>LE_L2</t>
  </si>
  <si>
    <t>LE - L2</t>
  </si>
  <si>
    <t>Di &amp; Fr fix Büro, Mo &amp; Do-VM wenn möglich Büro, ansonsten Pflege</t>
  </si>
  <si>
    <t>Büro nur wenn Monika in Ferien -&gt; vorab manuell einplanen</t>
  </si>
  <si>
    <t>Springer für Alma (aktuell 1 Alma krank)</t>
  </si>
  <si>
    <t>Mi, Do - 13:00 - 24:00</t>
  </si>
  <si>
    <t>Mo, Di - 17:00 - 24:00, Do - 13:00 - 24:00</t>
  </si>
  <si>
    <t>Sa - 17:00 - 23:00, So</t>
  </si>
  <si>
    <t>PF - Do</t>
  </si>
  <si>
    <r>
      <t xml:space="preserve">A3 - Mo Do, </t>
    </r>
    <r>
      <rPr>
        <sz val="10"/>
        <color rgb="FFFF0000"/>
        <rFont val="Arial"/>
        <family val="2"/>
      </rPr>
      <t>A5</t>
    </r>
    <r>
      <rPr>
        <sz val="10"/>
        <color theme="1"/>
        <rFont val="Arial"/>
        <family val="2"/>
      </rPr>
      <t>, A2, A6</t>
    </r>
  </si>
  <si>
    <t>A5, A2, A6</t>
  </si>
  <si>
    <t>S2, G2</t>
  </si>
  <si>
    <t>F - Sa So : 4 - 2 , G - Sa So : 4 - 2, FK : 12 - 9, GS : 12 - 9</t>
  </si>
  <si>
    <t>FK : 5 - 4, GS : 5 - 4</t>
  </si>
  <si>
    <t>FK : 9 - 6, GS : 9 - 6</t>
  </si>
  <si>
    <t>A6 : 3 - 3</t>
  </si>
  <si>
    <t>L1 : 9 - 7, L2 : 9 - 7</t>
  </si>
  <si>
    <t>5 - 4 - 2</t>
  </si>
  <si>
    <t>FK : 5 - 3, GS : 5 - 3</t>
  </si>
  <si>
    <t>S : 4 - 2</t>
  </si>
  <si>
    <t xml:space="preserve">3 - 1 </t>
  </si>
  <si>
    <t>2 - 1</t>
  </si>
  <si>
    <t>WD</t>
  </si>
  <si>
    <t>Weekend Dienste</t>
  </si>
  <si>
    <t>PF : 5 - 4</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</si>
  <si>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</si>
  <si>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</si>
  <si>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</si>
  <si>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</si>
  <si>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</si>
  <si>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</si>
  <si>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</si>
  <si>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</si>
  <si>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</si>
  <si>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</si>
  <si>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</si>
  <si>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</si>
  <si>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</si>
  <si>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</si>
  <si>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</si>
  <si>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</si>
  <si>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</si>
  <si>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</si>
  <si>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</si>
  <si>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</si>
  <si>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</si>
  <si>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</si>
  <si>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</si>
  <si>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Kurz 2 dann Büro 2</t>
  </si>
  <si>
    <t>_G1</t>
  </si>
  <si>
    <t>B2 - Mo Di Fr, B2_ - Do</t>
  </si>
  <si>
    <t>L2 - Sa So, L1_</t>
  </si>
  <si>
    <t>G2_</t>
  </si>
  <si>
    <t>_G2</t>
  </si>
  <si>
    <t>MA - Doku_A5</t>
  </si>
  <si>
    <t>L1_LS</t>
  </si>
  <si>
    <t>LS_L1</t>
  </si>
  <si>
    <t>L1 dann Schule</t>
  </si>
  <si>
    <t>LE - L1_LS, L Dipl FaGe MA - K2_Doku, L Dipl FaGe MA - K2_Pfeil</t>
  </si>
  <si>
    <t>neutral</t>
  </si>
  <si>
    <t>_Pfeil</t>
  </si>
  <si>
    <t>&lt; , &gt;</t>
  </si>
  <si>
    <t>Doku_</t>
  </si>
  <si>
    <t>_LS</t>
  </si>
  <si>
    <t>Frei dann Pfeil</t>
  </si>
  <si>
    <t>Doku dann Frei</t>
  </si>
  <si>
    <t>Frei dann Schule</t>
  </si>
  <si>
    <t>L Dipl FaGe - K2_Doku, L Dipl FaGe - K2_Pfeil, L - K2_B2, L Dipl FaGe - G1_, L Dipl FaGe - G2_</t>
  </si>
  <si>
    <t>L - K2_Doku, Dipl - K2_Doku, FaGe - K2_Doku, L - K2_Pfeil, Dipl - K2_Pfeil, FaGe - K2_Pfeil, L - K2_B2, L Dipl FaGe - G1_</t>
  </si>
  <si>
    <t>LE - L1_LS, L Dipl FaGe MA - K2_Doku, L Dipl FaGe MA - K2_Pfeil, L Dipl FaGe MA - G1_, L Dipl FaGe - G2_</t>
  </si>
  <si>
    <t>L Dipl FaGe MA - K2_Doku, L Dipl FaGe MA - K2_Pfeil, L Dipl FaGe MA - G1_</t>
  </si>
  <si>
    <t>S2, G2, LD</t>
  </si>
  <si>
    <t>B, PF, A</t>
  </si>
  <si>
    <t>Schule dann L1</t>
  </si>
  <si>
    <t>L Dipl - K2_Doku, L Dipl - K2_Pfeil,  L - K2_B2</t>
  </si>
  <si>
    <t>L_Dipl_FaGe 0700_0730</t>
  </si>
  <si>
    <t>FK : 11 - 9, GS : 11 - 9</t>
  </si>
  <si>
    <t>FK : 10 - 8, GS : 10 - 8</t>
  </si>
  <si>
    <t>FK : 9 - 8, GS : 9 - 8</t>
  </si>
  <si>
    <t>B_WA</t>
  </si>
  <si>
    <t>Bildung WA</t>
  </si>
  <si>
    <t>Alma 4 extern</t>
  </si>
  <si>
    <t>FK : 11 - 3, GS : 11 - 3</t>
  </si>
  <si>
    <t>Alma 5 extern</t>
  </si>
  <si>
    <t>A5_EG</t>
  </si>
  <si>
    <t>A4_EG</t>
  </si>
  <si>
    <t>Mo, Mi, Do, Fr</t>
  </si>
  <si>
    <t>B2_G2</t>
  </si>
  <si>
    <t>L Dipl - B2_G2</t>
  </si>
  <si>
    <t>L_Dipl 1600_2030</t>
  </si>
  <si>
    <t>Büro 2 dann Geteilt 2</t>
  </si>
  <si>
    <t>L Dipl FaGe - Doku_S2, L Dipl FaGe - _G1, L Dipl FaGe - _G2, L Dipl - B2_G2</t>
  </si>
  <si>
    <t>2 - 2</t>
  </si>
  <si>
    <t>SP</t>
  </si>
  <si>
    <t>Station 2.OG - Springer</t>
  </si>
  <si>
    <t>BFEF45</t>
  </si>
  <si>
    <t>DUMMY, Springer</t>
  </si>
  <si>
    <t>0, 0, 0, 0</t>
  </si>
  <si>
    <t>L Dipl FaGe SP - F1, L Dipl FaGe SP - K2</t>
  </si>
  <si>
    <t>L Dipl FaGe SP - F1, L Dipl FaGe SP - G1, L Dipl FaGe SP - G2, L Dipl FaGe SP - K2</t>
  </si>
  <si>
    <t>L Dipl FaGe SP - F1,  L Dipl FaGe SP - G1, L Dipl FaGe SP - K2</t>
  </si>
  <si>
    <t>L Dipl FaGe SP - F1, L Dipl FaGe SP - S2</t>
  </si>
  <si>
    <t>L Dipl FaGe SP - F1, L Dipl FaGe SP - G1, L Dipl FaGe SP - G2, L Dipl FaGe SP - S2</t>
  </si>
  <si>
    <t>L Dipl FaGe SP - G1, L Dipl FaGe SP - G2, L Dipl FaGe SP - S2</t>
  </si>
  <si>
    <t>L Dipl SP - F1, L Dipl SP - G1, L Dipl SP - G2</t>
  </si>
  <si>
    <t>L Dipl FaGe SP - F1</t>
  </si>
  <si>
    <t>MA SP - A1, MA SP - A2, MA SP - A3</t>
  </si>
  <si>
    <t>MA SP - A1, MA SP - A2, MA SP - A3, MA SP - A4</t>
  </si>
  <si>
    <t>MA SP - A1, MA SP - A2, MA SP - A3, MA SP - A4, MA SP - A6</t>
  </si>
  <si>
    <t>MA SP - A3, MA SP - A4, MA SP - A6</t>
  </si>
  <si>
    <t>MA SP - A1, MA SP - A4, MA SP - A5, MA SP - A6</t>
  </si>
  <si>
    <t>MA SP - A3, MA SP - A4</t>
  </si>
  <si>
    <t>MA SP - A1</t>
  </si>
  <si>
    <t>WE L_Dipl_FaGe_MA G1</t>
  </si>
  <si>
    <t>WE L_Dipl_FaGe G2</t>
  </si>
  <si>
    <t>WE L_Dipl F1_G1_G2</t>
  </si>
  <si>
    <t>WE L_Dipl_FaGe F1</t>
  </si>
  <si>
    <t>WE L_Dipl_FaGe_MA F1</t>
  </si>
  <si>
    <t>WE L_Dipl_FaGe_MA_LE F1_L1</t>
  </si>
  <si>
    <t>Kunz-Frick (70), Monika</t>
  </si>
  <si>
    <t>Gstöhl (90), Belinda</t>
  </si>
  <si>
    <t>Rohrer (70), Diana</t>
  </si>
  <si>
    <t>Kohler-Künzler (60), Regula</t>
  </si>
  <si>
    <t>Kornberger (90), Veronika</t>
  </si>
  <si>
    <t>Elkuch (30), Melanie</t>
  </si>
  <si>
    <t>Frick (Petek) (80), Simona</t>
  </si>
  <si>
    <t>18</t>
  </si>
  <si>
    <t>Grob (100), Daniel</t>
  </si>
  <si>
    <t>Tasholli (50), Albin</t>
  </si>
  <si>
    <t>Meier (50), Yvonne</t>
  </si>
  <si>
    <t>Lehmann (30), Monika</t>
  </si>
  <si>
    <t>Simonovic (90), Milka</t>
  </si>
  <si>
    <t>Steinauer (50), Heidi</t>
  </si>
  <si>
    <t>Markart (80), Roswitha</t>
  </si>
  <si>
    <t>Dutler (30), Michaela</t>
  </si>
  <si>
    <t>19</t>
  </si>
  <si>
    <t>Müller (100), Patrick</t>
  </si>
  <si>
    <t>Gerner (100), Eugenia</t>
  </si>
  <si>
    <t>Lampert (100), Katharina</t>
  </si>
  <si>
    <t>Ritter (100), Anita</t>
  </si>
  <si>
    <t>Bigger (100), Luis</t>
  </si>
  <si>
    <t>20</t>
  </si>
  <si>
    <t>21</t>
  </si>
  <si>
    <t>Simona ist weiterhin im Krankenstand.</t>
  </si>
  <si>
    <t>3. LJ, zählt als einzige LE zum Bedarf</t>
  </si>
  <si>
    <t>zählt nicht zum Bedarf</t>
  </si>
  <si>
    <t>im September im 8. Monat. Wenn möglich nur noch zusätzlich einplanen.</t>
  </si>
  <si>
    <t xml:space="preserve">[ALMA] </t>
  </si>
  <si>
    <t>[ALMA] Springer für Pflege, wenn Alma Dienste abgedeckt</t>
  </si>
  <si>
    <t>HF</t>
  </si>
  <si>
    <t>Station 2.OG - HF Studierende</t>
  </si>
  <si>
    <t>Pfeil_F1</t>
  </si>
  <si>
    <t>LD, G, K</t>
  </si>
  <si>
    <t>F1, S2</t>
  </si>
  <si>
    <t>Station 2.OG - Krankenstand</t>
  </si>
  <si>
    <t>Pfeil dann F1</t>
  </si>
  <si>
    <t>S : 5 - 3</t>
  </si>
  <si>
    <t>HF_F1</t>
  </si>
  <si>
    <t>HF Schule dann Früh</t>
  </si>
  <si>
    <t>HF Schule</t>
  </si>
  <si>
    <t>-20 ,  -10 , 0 , 0</t>
  </si>
  <si>
    <t>Tage</t>
  </si>
  <si>
    <t>Pensum</t>
  </si>
  <si>
    <t>Stunden</t>
  </si>
  <si>
    <t>&lt; 0H - 35</t>
  </si>
  <si>
    <t>&lt; 0H - 24</t>
  </si>
  <si>
    <t>&lt; 0H - 83</t>
  </si>
  <si>
    <t>&lt; 0H - 15</t>
  </si>
  <si>
    <t>&lt; 17H - 42</t>
  </si>
  <si>
    <t>&lt; 0H - 13</t>
  </si>
  <si>
    <t>HF_</t>
  </si>
  <si>
    <t>HF Schule dann Frei</t>
  </si>
  <si>
    <t>&lt; 0H - 84</t>
  </si>
  <si>
    <t>1 : 24 - 36, 2 : 24 - 36, 3 : 36 - 48, 4 : 48 - 48, 5 : 48 - 48, 6 : 48 - 72</t>
  </si>
  <si>
    <t>Zählt ab 2. Oktoberwoche zum Bedarf, ok?</t>
  </si>
  <si>
    <t>L Dipl FaGe MA HF SP - F1, L Dipl FaGe MA HF SP - K2, LE - L1</t>
  </si>
  <si>
    <t>L Dipl FaGe MA HF SP - F1, L Dipl FaGe MA HF SP - G1, L Dipl FaGe MA HF SP - G2, L Dipl FaGe MA HF SP - K2, LE - L1</t>
  </si>
  <si>
    <t>L Dipl FaGe MA HF SP - F1, L Dipl FaGe MA HF SP - G1, L Dipl FaGe MA HF SP - K2, LE - L1, LE - L2</t>
  </si>
  <si>
    <t>L Dipl FaGe MA HF SP - F1, L Dipl FaGe MA HF SP - S2, LE - L1, LE - L2</t>
  </si>
  <si>
    <t>L Dipl FaGe MA HF SP - F1, L Dipl FaGe MA HF SP - G1, L Dipl FaGe MA HF SP - G2, L Dipl FaGe MA HF SP - S2, LE - L1, LE - L2</t>
  </si>
  <si>
    <t>L Dipl FaGe MA HF SP - G1, L Dipl FaGe MA HF SP - G2, L Dipl FaGe MA HF SP - S2</t>
  </si>
  <si>
    <t>L Dipl FaGe MA HF SP - G2, L Dipl FaGe MA HF SP - S2</t>
  </si>
  <si>
    <t>L Dipl FaGe MA HF SP - F1</t>
  </si>
  <si>
    <t>L Dipl FaGe MA HF SP - F1, LE - L1</t>
  </si>
  <si>
    <t>L Dipl FaGe MA HF SP - G1</t>
  </si>
  <si>
    <t>L Dipl FaGe MA HF SP - G2</t>
  </si>
  <si>
    <t>LD, S2, G2</t>
  </si>
  <si>
    <t>4 - 4 - 2</t>
  </si>
  <si>
    <t>5 - 4 - 3</t>
  </si>
  <si>
    <t>L Dipl FaGe SP - K2_Doku</t>
  </si>
  <si>
    <t>L Dipl FaGe MA HF - Doku_S2, LE - LS_L1</t>
  </si>
  <si>
    <t>L Dipl FaGe MA HF - Doku_S2, LE - LS_L1, L Dipl FaGe MA HF - _G1, L Dipl FaGe MA HF - _G2, L Dipl - B2_G2</t>
  </si>
  <si>
    <t>L Dipl FaGe MA HF - Doku_S2, L Dipl FaGe MA HF - _G1, L Dipl FaGe MA HF - _G2, L Dipl - B2_G2</t>
  </si>
  <si>
    <t>L Dipl FaGe MA HF - Doku_S2, L Dipl FaGe MA HF - _G2, L Dipl - B2_G2</t>
  </si>
  <si>
    <t>L Dipl - F1, L Dipl - K2</t>
  </si>
  <si>
    <t>L Dipl - G1, L Dipl SP - G2, L Dipl SP - S2</t>
  </si>
  <si>
    <t>L Dipl - F1, L Dipl - K2, L Dipl - G1, L Dipl - G2</t>
  </si>
  <si>
    <t>&lt; 0H - 50</t>
  </si>
  <si>
    <t>&lt; 0H - 25</t>
  </si>
  <si>
    <t>Min + Opt. freie Weekends</t>
  </si>
  <si>
    <t xml:space="preserve">5 -5 </t>
  </si>
  <si>
    <t>5 - 5</t>
  </si>
  <si>
    <t>0 - 0</t>
  </si>
  <si>
    <t>2 - 3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</si>
</sst>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28">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i/>
      <sz val="10"/>
      <color theme="1"/>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
      <sz val="8"/>
      <color rgb="FFFF0000"/>
      <name val="Arial"/>
      <family val="2"/>
    </font>
    <font>
      <b/>
      <sz val="8"/>
      <color rgb="FFFF0000"/>
      <name val="Arial"/>
      <family val="2"/>
    </font>
  </fonts>
  <fills count="19">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00B050"/>
        <bgColor indexed="64"/>
      </patternFill>
    </fill>
    <fill>
      <patternFill patternType="solid">
        <fgColor rgb="FFFF0000"/>
        <bgColor indexed="64"/>
      </patternFill>
    </fill>
  </fills>
  <borders count="94">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47">
    <xf numFmtId="0" fontId="0" fillId="0" borderId="0" xfId="0"/>
    <xf numFmtId="0" fontId="0" fillId="0" borderId="3" xfId="0" applyBorder="1"/>
    <xf numFmtId="0" fontId="0" fillId="0" borderId="5" xfId="0" applyBorder="1"/>
    <xf numFmtId="0" fontId="0" fillId="0" borderId="0" xfId="0" applyAlignment="1">
      <alignment horizontal="left"/>
    </xf>
    <xf numFmtId="0" fontId="0" fillId="0" borderId="7" xfId="0" applyBorder="1"/>
    <xf numFmtId="0" fontId="0" fillId="0" borderId="8" xfId="0" applyBorder="1"/>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applyAlignment="1">
      <alignment horizontal="right"/>
    </xf>
    <xf numFmtId="0" fontId="0" fillId="0" borderId="0" xfId="0" applyAlignment="1">
      <alignment horizontal="center"/>
    </xf>
    <xf numFmtId="0" fontId="5" fillId="0" borderId="2" xfId="0" applyFont="1" applyBorder="1"/>
    <xf numFmtId="0" fontId="5" fillId="0" borderId="3" xfId="0" applyFont="1" applyBorder="1"/>
    <xf numFmtId="0" fontId="0" fillId="0" borderId="4" xfId="0" applyBorder="1"/>
    <xf numFmtId="0" fontId="6"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2" xfId="0" applyBorder="1"/>
    <xf numFmtId="0" fontId="7" fillId="0" borderId="0" xfId="0" applyFont="1"/>
    <xf numFmtId="0" fontId="8" fillId="0" borderId="0" xfId="0" applyFont="1"/>
    <xf numFmtId="0" fontId="9" fillId="2" borderId="7" xfId="0" applyFont="1" applyFill="1" applyBorder="1"/>
    <xf numFmtId="0" fontId="10" fillId="0" borderId="0" xfId="0" applyFont="1"/>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49" fontId="0" fillId="0" borderId="2" xfId="0" applyNumberFormat="1" applyBorder="1" applyAlignment="1">
      <alignment horizontal="left"/>
    </xf>
    <xf numFmtId="0" fontId="4" fillId="0" borderId="0" xfId="0" applyFont="1"/>
    <xf numFmtId="0" fontId="11" fillId="0" borderId="0" xfId="0" applyFont="1"/>
    <xf numFmtId="0" fontId="1" fillId="2" borderId="10" xfId="0" applyFont="1" applyFill="1" applyBorder="1"/>
    <xf numFmtId="0" fontId="5" fillId="0" borderId="9" xfId="0" applyFont="1" applyBorder="1"/>
    <xf numFmtId="166" fontId="0" fillId="0" borderId="0" xfId="0" applyNumberFormat="1"/>
    <xf numFmtId="0" fontId="0" fillId="8" borderId="7" xfId="0" applyFill="1" applyBorder="1" applyAlignment="1">
      <alignment horizontal="center" vertical="top"/>
    </xf>
    <xf numFmtId="0" fontId="11" fillId="0" borderId="2" xfId="0" applyFont="1" applyBorder="1"/>
    <xf numFmtId="0" fontId="3" fillId="0" borderId="8" xfId="0" applyFont="1" applyBorder="1"/>
    <xf numFmtId="49" fontId="3" fillId="0" borderId="3" xfId="0" applyNumberFormat="1" applyFont="1" applyBorder="1"/>
    <xf numFmtId="0" fontId="16" fillId="0" borderId="0" xfId="0" applyFont="1"/>
    <xf numFmtId="49" fontId="13" fillId="0" borderId="3" xfId="0" applyNumberFormat="1" applyFont="1" applyBorder="1"/>
    <xf numFmtId="49" fontId="13" fillId="0" borderId="2" xfId="0" applyNumberFormat="1" applyFont="1" applyBorder="1"/>
    <xf numFmtId="0" fontId="0" fillId="0" borderId="2" xfId="0" applyBorder="1" applyAlignment="1">
      <alignment horizontal="center"/>
    </xf>
    <xf numFmtId="0" fontId="13"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3" fillId="0" borderId="19" xfId="0" applyFont="1" applyBorder="1" applyAlignment="1">
      <alignment horizontal="center"/>
    </xf>
    <xf numFmtId="0" fontId="13"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2" fillId="9" borderId="10" xfId="0" applyFont="1" applyFill="1" applyBorder="1" applyAlignment="1">
      <alignment horizontal="left"/>
    </xf>
    <xf numFmtId="0" fontId="10" fillId="0" borderId="6" xfId="0" applyFont="1" applyBorder="1"/>
    <xf numFmtId="0" fontId="10" fillId="0" borderId="1" xfId="0" applyFont="1" applyBorder="1"/>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3" fillId="0" borderId="8" xfId="0" applyNumberFormat="1" applyFont="1" applyBorder="1" applyAlignment="1">
      <alignment wrapText="1"/>
    </xf>
    <xf numFmtId="0" fontId="3" fillId="0" borderId="2" xfId="0" applyFont="1" applyBorder="1" applyAlignment="1">
      <alignment vertical="center" wrapText="1"/>
    </xf>
    <xf numFmtId="0" fontId="13" fillId="0" borderId="7" xfId="0" applyFont="1" applyBorder="1" applyAlignment="1">
      <alignment wrapText="1"/>
    </xf>
    <xf numFmtId="20" fontId="13" fillId="0" borderId="7" xfId="0" applyNumberFormat="1" applyFont="1" applyBorder="1" applyAlignment="1">
      <alignment wrapText="1"/>
    </xf>
    <xf numFmtId="0" fontId="18" fillId="5" borderId="16" xfId="0" applyFont="1" applyFill="1" applyBorder="1" applyAlignment="1">
      <alignment wrapText="1"/>
    </xf>
    <xf numFmtId="0" fontId="18" fillId="0" borderId="16" xfId="0" applyFont="1" applyBorder="1"/>
    <xf numFmtId="0" fontId="16" fillId="0" borderId="16" xfId="0" applyFont="1" applyBorder="1"/>
    <xf numFmtId="20" fontId="16" fillId="0" borderId="16" xfId="0" applyNumberFormat="1" applyFont="1" applyBorder="1"/>
    <xf numFmtId="0" fontId="18" fillId="0" borderId="0" xfId="0" applyFont="1"/>
    <xf numFmtId="20" fontId="16" fillId="0" borderId="0" xfId="0" applyNumberFormat="1" applyFont="1"/>
    <xf numFmtId="0" fontId="13" fillId="0" borderId="0" xfId="0" applyFont="1" applyAlignment="1">
      <alignment horizontal="left"/>
    </xf>
    <xf numFmtId="0" fontId="13" fillId="0" borderId="0" xfId="0" applyFont="1"/>
    <xf numFmtId="0" fontId="15" fillId="0" borderId="0" xfId="0" applyFont="1"/>
    <xf numFmtId="0" fontId="19" fillId="0" borderId="0" xfId="0" applyFont="1"/>
    <xf numFmtId="0" fontId="8" fillId="0" borderId="0" xfId="0" applyFont="1" applyAlignment="1">
      <alignment horizontal="right"/>
    </xf>
    <xf numFmtId="0" fontId="20" fillId="0" borderId="25" xfId="0" applyFont="1" applyBorder="1"/>
    <xf numFmtId="0" fontId="20" fillId="0" borderId="26" xfId="0" applyFont="1" applyBorder="1"/>
    <xf numFmtId="0" fontId="20" fillId="0" borderId="27" xfId="0" applyFont="1" applyBorder="1"/>
    <xf numFmtId="0" fontId="20" fillId="0" borderId="28" xfId="0" applyFont="1" applyBorder="1"/>
    <xf numFmtId="0" fontId="7" fillId="7" borderId="0" xfId="0" applyFont="1" applyFill="1" applyAlignment="1">
      <alignment horizontal="center"/>
    </xf>
    <xf numFmtId="0" fontId="8" fillId="0" borderId="29" xfId="0" applyFont="1" applyBorder="1"/>
    <xf numFmtId="0" fontId="19" fillId="0" borderId="30" xfId="0" applyFont="1" applyBorder="1"/>
    <xf numFmtId="0" fontId="19" fillId="0" borderId="31" xfId="0" applyFont="1" applyBorder="1"/>
    <xf numFmtId="0" fontId="19" fillId="0" borderId="32" xfId="0" applyFont="1" applyBorder="1"/>
    <xf numFmtId="0" fontId="8" fillId="7" borderId="17" xfId="0" applyFont="1" applyFill="1" applyBorder="1" applyAlignment="1">
      <alignment horizontal="center"/>
    </xf>
    <xf numFmtId="0" fontId="19" fillId="0" borderId="33" xfId="0" applyFont="1" applyBorder="1" applyProtection="1">
      <protection locked="0"/>
    </xf>
    <xf numFmtId="0" fontId="19" fillId="0" borderId="34" xfId="0" applyFont="1" applyBorder="1" applyProtection="1">
      <protection locked="0"/>
    </xf>
    <xf numFmtId="0" fontId="19" fillId="11" borderId="35" xfId="0" applyFont="1" applyFill="1" applyBorder="1" applyProtection="1">
      <protection locked="0"/>
    </xf>
    <xf numFmtId="0" fontId="19" fillId="11" borderId="36" xfId="0" applyFont="1" applyFill="1" applyBorder="1" applyProtection="1">
      <protection locked="0"/>
    </xf>
    <xf numFmtId="0" fontId="19" fillId="11" borderId="37" xfId="0" applyFont="1" applyFill="1" applyBorder="1" applyProtection="1">
      <protection locked="0"/>
    </xf>
    <xf numFmtId="0" fontId="19" fillId="11" borderId="38" xfId="0" applyFont="1" applyFill="1" applyBorder="1" applyProtection="1">
      <protection locked="0"/>
    </xf>
    <xf numFmtId="0" fontId="19" fillId="12" borderId="39" xfId="0" applyFont="1" applyFill="1" applyBorder="1" applyProtection="1">
      <protection locked="0"/>
    </xf>
    <xf numFmtId="0" fontId="19" fillId="12" borderId="40" xfId="0" applyFont="1" applyFill="1" applyBorder="1" applyProtection="1">
      <protection locked="0"/>
    </xf>
    <xf numFmtId="0" fontId="19" fillId="12" borderId="41" xfId="0" applyFont="1" applyFill="1" applyBorder="1" applyProtection="1">
      <protection locked="0"/>
    </xf>
    <xf numFmtId="0" fontId="19" fillId="11" borderId="42" xfId="0" applyFont="1" applyFill="1" applyBorder="1" applyProtection="1">
      <protection locked="0"/>
    </xf>
    <xf numFmtId="0" fontId="19" fillId="11" borderId="43" xfId="0" applyFont="1" applyFill="1" applyBorder="1" applyProtection="1">
      <protection locked="0"/>
    </xf>
    <xf numFmtId="0" fontId="19" fillId="0" borderId="44" xfId="0" applyFont="1" applyBorder="1" applyProtection="1">
      <protection locked="0"/>
    </xf>
    <xf numFmtId="0" fontId="8" fillId="0" borderId="16" xfId="0" applyFont="1" applyBorder="1" applyAlignment="1">
      <alignment horizontal="right"/>
    </xf>
    <xf numFmtId="0" fontId="8" fillId="0" borderId="16" xfId="0" applyFont="1" applyBorder="1"/>
    <xf numFmtId="0" fontId="8" fillId="7" borderId="21" xfId="0" applyFont="1" applyFill="1" applyBorder="1" applyAlignment="1">
      <alignment horizontal="center"/>
    </xf>
    <xf numFmtId="0" fontId="19" fillId="0" borderId="45" xfId="0" applyFont="1" applyBorder="1" applyProtection="1">
      <protection locked="0"/>
    </xf>
    <xf numFmtId="0" fontId="19" fillId="0" borderId="46" xfId="0" applyFont="1" applyBorder="1" applyProtection="1">
      <protection locked="0"/>
    </xf>
    <xf numFmtId="0" fontId="19" fillId="12" borderId="47" xfId="0" applyFont="1" applyFill="1" applyBorder="1" applyProtection="1">
      <protection locked="0"/>
    </xf>
    <xf numFmtId="0" fontId="19" fillId="13" borderId="39" xfId="0" applyFont="1" applyFill="1" applyBorder="1" applyProtection="1">
      <protection locked="0"/>
    </xf>
    <xf numFmtId="0" fontId="19" fillId="13" borderId="40" xfId="0" applyFont="1" applyFill="1" applyBorder="1" applyProtection="1">
      <protection locked="0"/>
    </xf>
    <xf numFmtId="0" fontId="19" fillId="13" borderId="48" xfId="0" applyFont="1" applyFill="1" applyBorder="1" applyProtection="1">
      <protection locked="0"/>
    </xf>
    <xf numFmtId="0" fontId="19" fillId="13" borderId="47" xfId="0" applyFont="1" applyFill="1" applyBorder="1" applyProtection="1">
      <protection locked="0"/>
    </xf>
    <xf numFmtId="0" fontId="19" fillId="13" borderId="41" xfId="0" applyFont="1" applyFill="1" applyBorder="1" applyProtection="1">
      <protection locked="0"/>
    </xf>
    <xf numFmtId="0" fontId="19" fillId="0" borderId="49" xfId="0" applyFont="1" applyBorder="1" applyProtection="1">
      <protection locked="0"/>
    </xf>
    <xf numFmtId="0" fontId="19" fillId="0" borderId="50" xfId="0" applyFont="1" applyBorder="1" applyProtection="1">
      <protection locked="0"/>
    </xf>
    <xf numFmtId="0" fontId="19" fillId="0" borderId="51" xfId="0" applyFont="1" applyBorder="1" applyProtection="1">
      <protection locked="0"/>
    </xf>
    <xf numFmtId="0" fontId="19" fillId="0" borderId="52" xfId="0" applyFont="1" applyBorder="1" applyProtection="1">
      <protection locked="0"/>
    </xf>
    <xf numFmtId="0" fontId="8" fillId="0" borderId="22" xfId="0" applyFont="1" applyBorder="1" applyAlignment="1">
      <alignment horizontal="right"/>
    </xf>
    <xf numFmtId="0" fontId="8" fillId="0" borderId="22" xfId="0" applyFont="1" applyBorder="1"/>
    <xf numFmtId="0" fontId="8" fillId="7" borderId="0" xfId="0" applyFont="1" applyFill="1" applyAlignment="1">
      <alignment horizontal="center"/>
    </xf>
    <xf numFmtId="0" fontId="19" fillId="0" borderId="53" xfId="0" applyFont="1" applyBorder="1" applyProtection="1">
      <protection locked="0"/>
    </xf>
    <xf numFmtId="0" fontId="19" fillId="0" borderId="54" xfId="0" applyFont="1" applyBorder="1" applyProtection="1">
      <protection locked="0"/>
    </xf>
    <xf numFmtId="0" fontId="8" fillId="7" borderId="19" xfId="0" applyFont="1" applyFill="1" applyBorder="1" applyAlignment="1">
      <alignment horizontal="center"/>
    </xf>
    <xf numFmtId="0" fontId="19" fillId="0" borderId="55" xfId="0" applyFont="1" applyBorder="1" applyProtection="1">
      <protection locked="0"/>
    </xf>
    <xf numFmtId="0" fontId="19" fillId="0" borderId="35" xfId="0" applyFont="1" applyBorder="1" applyProtection="1">
      <protection locked="0"/>
    </xf>
    <xf numFmtId="0" fontId="19" fillId="0" borderId="36" xfId="0" applyFont="1" applyBorder="1" applyProtection="1">
      <protection locked="0"/>
    </xf>
    <xf numFmtId="0" fontId="19" fillId="0" borderId="37" xfId="0" applyFont="1" applyBorder="1" applyProtection="1">
      <protection locked="0"/>
    </xf>
    <xf numFmtId="0" fontId="19" fillId="0" borderId="56" xfId="0" applyFont="1" applyBorder="1" applyProtection="1">
      <protection locked="0"/>
    </xf>
    <xf numFmtId="0" fontId="19" fillId="0" borderId="57" xfId="0" applyFont="1" applyBorder="1" applyProtection="1">
      <protection locked="0"/>
    </xf>
    <xf numFmtId="0" fontId="19" fillId="0" borderId="31" xfId="0" applyFont="1" applyBorder="1" applyProtection="1">
      <protection locked="0"/>
    </xf>
    <xf numFmtId="0" fontId="16" fillId="0" borderId="22" xfId="0" applyFont="1" applyBorder="1"/>
    <xf numFmtId="0" fontId="19" fillId="0" borderId="58" xfId="0" applyFont="1" applyBorder="1" applyProtection="1">
      <protection locked="0"/>
    </xf>
    <xf numFmtId="0" fontId="19" fillId="0" borderId="59" xfId="0" applyFont="1" applyBorder="1" applyProtection="1">
      <protection locked="0"/>
    </xf>
    <xf numFmtId="0" fontId="19" fillId="0" borderId="60" xfId="0" applyFont="1" applyBorder="1" applyProtection="1">
      <protection locked="0"/>
    </xf>
    <xf numFmtId="0" fontId="8" fillId="7" borderId="0" xfId="0" applyFont="1" applyFill="1" applyAlignment="1">
      <alignment horizontal="left"/>
    </xf>
    <xf numFmtId="0" fontId="8" fillId="0" borderId="61" xfId="0" applyFont="1" applyBorder="1"/>
    <xf numFmtId="0" fontId="19" fillId="0" borderId="62" xfId="0" applyFont="1" applyBorder="1"/>
    <xf numFmtId="0" fontId="19" fillId="0" borderId="63" xfId="0" applyFont="1" applyBorder="1"/>
    <xf numFmtId="0" fontId="19" fillId="0" borderId="64" xfId="0" applyFont="1" applyBorder="1"/>
    <xf numFmtId="0" fontId="19" fillId="0" borderId="65" xfId="0" applyFont="1" applyBorder="1" applyProtection="1">
      <protection locked="0"/>
    </xf>
    <xf numFmtId="0" fontId="19" fillId="0" borderId="66" xfId="0" applyFont="1" applyBorder="1" applyProtection="1">
      <protection locked="0"/>
    </xf>
    <xf numFmtId="0" fontId="19" fillId="0" borderId="67" xfId="0" applyFont="1" applyBorder="1" applyProtection="1">
      <protection locked="0"/>
    </xf>
    <xf numFmtId="0" fontId="19" fillId="0" borderId="68" xfId="0" applyFont="1" applyBorder="1" applyProtection="1">
      <protection locked="0"/>
    </xf>
    <xf numFmtId="0" fontId="19" fillId="0" borderId="69" xfId="0" applyFont="1" applyBorder="1" applyProtection="1">
      <protection locked="0"/>
    </xf>
    <xf numFmtId="0" fontId="19" fillId="0" borderId="70" xfId="0" applyFont="1" applyBorder="1" applyProtection="1">
      <protection locked="0"/>
    </xf>
    <xf numFmtId="0" fontId="19" fillId="0" borderId="71" xfId="0" applyFont="1" applyBorder="1" applyProtection="1">
      <protection locked="0"/>
    </xf>
    <xf numFmtId="0" fontId="19"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6"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1"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3"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13"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3" fillId="0" borderId="7" xfId="0" applyFont="1" applyBorder="1" applyAlignment="1">
      <alignment horizontal="center"/>
    </xf>
    <xf numFmtId="0" fontId="13" fillId="0" borderId="1" xfId="0" applyFont="1" applyBorder="1" applyAlignment="1">
      <alignment horizontal="center"/>
    </xf>
    <xf numFmtId="0" fontId="13" fillId="0" borderId="6" xfId="0" applyFont="1" applyBorder="1" applyAlignment="1">
      <alignment horizontal="center"/>
    </xf>
    <xf numFmtId="0" fontId="13" fillId="0" borderId="74" xfId="0" applyFont="1" applyBorder="1" applyAlignment="1">
      <alignment horizontal="center"/>
    </xf>
    <xf numFmtId="0" fontId="13" fillId="0" borderId="3" xfId="0" applyFont="1" applyBorder="1" applyAlignment="1">
      <alignment horizontal="center"/>
    </xf>
    <xf numFmtId="0" fontId="13" fillId="0" borderId="5" xfId="0" applyFont="1" applyBorder="1" applyAlignment="1">
      <alignment horizontal="center"/>
    </xf>
    <xf numFmtId="0" fontId="13" fillId="0" borderId="4" xfId="0" applyFont="1" applyBorder="1" applyAlignment="1">
      <alignment horizontal="center"/>
    </xf>
    <xf numFmtId="0" fontId="13"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13" fillId="0" borderId="22" xfId="0" applyFont="1" applyBorder="1"/>
    <xf numFmtId="0" fontId="0" fillId="0" borderId="77" xfId="0" applyBorder="1" applyAlignment="1">
      <alignment horizontal="center"/>
    </xf>
    <xf numFmtId="0" fontId="13"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3" fillId="0" borderId="16" xfId="0" applyFont="1" applyBorder="1" applyAlignment="1">
      <alignment horizontal="center"/>
    </xf>
    <xf numFmtId="0" fontId="13" fillId="14" borderId="17" xfId="0" applyFont="1" applyFill="1" applyBorder="1" applyAlignment="1">
      <alignment horizontal="center"/>
    </xf>
    <xf numFmtId="0" fontId="13" fillId="14" borderId="16" xfId="0" applyFont="1" applyFill="1" applyBorder="1" applyAlignment="1">
      <alignment horizontal="center"/>
    </xf>
    <xf numFmtId="0" fontId="13" fillId="14" borderId="79" xfId="0" applyFont="1" applyFill="1" applyBorder="1" applyAlignment="1">
      <alignment horizontal="center"/>
    </xf>
    <xf numFmtId="0" fontId="13" fillId="14" borderId="18" xfId="0" applyFont="1" applyFill="1" applyBorder="1" applyAlignment="1">
      <alignment horizontal="center"/>
    </xf>
    <xf numFmtId="0" fontId="13" fillId="0" borderId="22" xfId="0" applyFont="1" applyBorder="1" applyAlignment="1">
      <alignment horizontal="center"/>
    </xf>
    <xf numFmtId="0" fontId="13" fillId="14" borderId="21" xfId="0" applyFont="1" applyFill="1" applyBorder="1" applyAlignment="1">
      <alignment horizontal="center"/>
    </xf>
    <xf numFmtId="0" fontId="13" fillId="14" borderId="22" xfId="0" applyFont="1" applyFill="1" applyBorder="1" applyAlignment="1">
      <alignment horizontal="center"/>
    </xf>
    <xf numFmtId="0" fontId="13" fillId="14" borderId="23" xfId="0" applyFont="1" applyFill="1" applyBorder="1" applyAlignment="1">
      <alignment horizontal="center"/>
    </xf>
    <xf numFmtId="0" fontId="13"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0" fontId="13" fillId="0" borderId="3" xfId="0"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13" fillId="0" borderId="3" xfId="0" applyNumberFormat="1" applyFont="1" applyFill="1" applyBorder="1"/>
    <xf numFmtId="0" fontId="13" fillId="0" borderId="10" xfId="0" applyFont="1" applyBorder="1" applyAlignment="1">
      <alignment horizontal="center"/>
    </xf>
    <xf numFmtId="0" fontId="13" fillId="0" borderId="9" xfId="0" applyFont="1" applyBorder="1" applyAlignment="1">
      <alignment horizontal="center"/>
    </xf>
    <xf numFmtId="0" fontId="13" fillId="14" borderId="75" xfId="0" applyFont="1" applyFill="1" applyBorder="1" applyAlignment="1">
      <alignment horizontal="center"/>
    </xf>
    <xf numFmtId="0" fontId="13" fillId="14" borderId="8" xfId="0" applyFont="1" applyFill="1" applyBorder="1" applyAlignment="1">
      <alignment horizontal="center"/>
    </xf>
    <xf numFmtId="0" fontId="13" fillId="0" borderId="76" xfId="0" applyFont="1" applyBorder="1" applyAlignment="1">
      <alignment horizontal="center"/>
    </xf>
    <xf numFmtId="0" fontId="0" fillId="0" borderId="3" xfId="0" applyBorder="1" applyAlignment="1">
      <alignment horizontal="left"/>
    </xf>
    <xf numFmtId="49" fontId="0" fillId="0" borderId="14" xfId="0" applyNumberFormat="1" applyFill="1" applyBorder="1"/>
    <xf numFmtId="0" fontId="17" fillId="0" borderId="0" xfId="0" applyFont="1" applyBorder="1" applyAlignment="1">
      <alignment horizontal="center"/>
    </xf>
    <xf numFmtId="0" fontId="17" fillId="0" borderId="0" xfId="0" applyFont="1" applyFill="1" applyBorder="1" applyAlignment="1">
      <alignment horizontal="center"/>
    </xf>
    <xf numFmtId="0" fontId="0" fillId="0" borderId="0" xfId="0" applyBorder="1" applyAlignment="1">
      <alignment wrapText="1"/>
    </xf>
    <xf numFmtId="0" fontId="13" fillId="0" borderId="0" xfId="0" applyFont="1" applyBorder="1" applyAlignment="1">
      <alignment wrapText="1"/>
    </xf>
    <xf numFmtId="20" fontId="0" fillId="0" borderId="0" xfId="0" applyNumberFormat="1" applyBorder="1" applyAlignment="1">
      <alignment wrapText="1"/>
    </xf>
    <xf numFmtId="20" fontId="13" fillId="0" borderId="0" xfId="0" applyNumberFormat="1" applyFont="1" applyBorder="1" applyAlignment="1">
      <alignment wrapText="1"/>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3" fillId="0" borderId="8" xfId="0" applyFont="1" applyBorder="1" applyAlignment="1">
      <alignment wrapText="1"/>
    </xf>
    <xf numFmtId="49" fontId="0" fillId="0" borderId="0" xfId="0" applyNumberFormat="1" applyBorder="1"/>
    <xf numFmtId="0" fontId="13" fillId="0" borderId="0" xfId="0" applyFont="1" applyBorder="1"/>
    <xf numFmtId="0" fontId="13" fillId="0" borderId="0" xfId="0" applyFont="1" applyBorder="1" applyAlignment="1">
      <alignment horizontal="center"/>
    </xf>
    <xf numFmtId="0" fontId="23" fillId="0" borderId="0" xfId="0" applyFont="1"/>
    <xf numFmtId="0" fontId="24" fillId="0" borderId="0" xfId="0" applyFont="1"/>
    <xf numFmtId="0" fontId="19" fillId="0" borderId="82" xfId="0" applyFont="1" applyBorder="1" applyProtection="1">
      <protection locked="0"/>
    </xf>
    <xf numFmtId="0" fontId="19" fillId="0" borderId="83" xfId="0" applyFont="1" applyBorder="1" applyProtection="1">
      <protection locked="0"/>
    </xf>
    <xf numFmtId="0" fontId="19" fillId="11" borderId="81" xfId="0" applyFont="1" applyFill="1" applyBorder="1" applyProtection="1">
      <protection locked="0"/>
    </xf>
    <xf numFmtId="0" fontId="19" fillId="11" borderId="82" xfId="0" applyFont="1" applyFill="1" applyBorder="1" applyProtection="1">
      <protection locked="0"/>
    </xf>
    <xf numFmtId="0" fontId="19" fillId="0" borderId="81"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19" fillId="17" borderId="82" xfId="0" applyFont="1" applyFill="1" applyBorder="1" applyProtection="1">
      <protection locked="0"/>
    </xf>
    <xf numFmtId="0" fontId="19" fillId="15" borderId="82" xfId="0" applyFont="1" applyFill="1" applyBorder="1" applyProtection="1">
      <protection locked="0"/>
    </xf>
    <xf numFmtId="0" fontId="19" fillId="15" borderId="81" xfId="0" applyFont="1" applyFill="1" applyBorder="1" applyProtection="1">
      <protection locked="0"/>
    </xf>
    <xf numFmtId="0" fontId="19" fillId="18" borderId="81" xfId="0" applyFont="1" applyFill="1" applyBorder="1" applyProtection="1">
      <protection locked="0"/>
    </xf>
    <xf numFmtId="0" fontId="8" fillId="18" borderId="0" xfId="0" applyFont="1" applyFill="1"/>
    <xf numFmtId="0" fontId="19" fillId="0" borderId="0" xfId="0" applyFont="1" applyBorder="1" applyProtection="1">
      <protection locked="0"/>
    </xf>
    <xf numFmtId="0" fontId="8" fillId="7" borderId="0" xfId="0" applyFont="1" applyFill="1" applyBorder="1" applyAlignment="1">
      <alignment horizontal="center"/>
    </xf>
    <xf numFmtId="0" fontId="8" fillId="0" borderId="0" xfId="0" applyFont="1" applyBorder="1"/>
    <xf numFmtId="0" fontId="8" fillId="0" borderId="0" xfId="0" applyFont="1" applyBorder="1" applyAlignment="1">
      <alignment horizontal="right"/>
    </xf>
    <xf numFmtId="0" fontId="20" fillId="0" borderId="10" xfId="0" applyFont="1" applyBorder="1"/>
    <xf numFmtId="0" fontId="20" fillId="0" borderId="84" xfId="0" applyFont="1" applyBorder="1"/>
    <xf numFmtId="0" fontId="20" fillId="0" borderId="85" xfId="0" applyFont="1" applyBorder="1"/>
    <xf numFmtId="0" fontId="20" fillId="0" borderId="86" xfId="0" applyFont="1" applyBorder="1"/>
    <xf numFmtId="0" fontId="7" fillId="7" borderId="0" xfId="0" applyFont="1" applyFill="1" applyBorder="1" applyAlignment="1">
      <alignment horizontal="center"/>
    </xf>
    <xf numFmtId="0" fontId="19" fillId="0" borderId="0" xfId="0" applyFont="1" applyBorder="1"/>
    <xf numFmtId="0" fontId="8" fillId="0" borderId="0" xfId="0" applyFont="1" applyFill="1" applyBorder="1" applyAlignment="1">
      <alignment horizontal="center"/>
    </xf>
    <xf numFmtId="0" fontId="19" fillId="0" borderId="0" xfId="0" applyFont="1" applyFill="1" applyBorder="1" applyProtection="1">
      <protection locked="0"/>
    </xf>
    <xf numFmtId="0" fontId="8" fillId="0" borderId="0" xfId="0" applyFont="1" applyFill="1" applyBorder="1" applyAlignment="1">
      <alignment horizontal="right"/>
    </xf>
    <xf numFmtId="0" fontId="8" fillId="0" borderId="0" xfId="0" applyFont="1" applyFill="1" applyBorder="1"/>
    <xf numFmtId="0" fontId="1" fillId="2" borderId="7" xfId="0" applyFont="1" applyFill="1" applyBorder="1"/>
    <xf numFmtId="0" fontId="1" fillId="2" borderId="1" xfId="0" applyFont="1" applyFill="1" applyBorder="1"/>
    <xf numFmtId="0" fontId="6"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3" fillId="0" borderId="19" xfId="0" applyFont="1" applyBorder="1" applyAlignment="1">
      <alignment wrapText="1"/>
    </xf>
    <xf numFmtId="0" fontId="3" fillId="0" borderId="19" xfId="0" applyFont="1" applyBorder="1" applyAlignment="1">
      <alignment vertical="center" wrapText="1"/>
    </xf>
    <xf numFmtId="0" fontId="13" fillId="0" borderId="75" xfId="0" applyFont="1" applyBorder="1" applyAlignment="1">
      <alignment wrapText="1"/>
    </xf>
    <xf numFmtId="0" fontId="13" fillId="0" borderId="73" xfId="0" applyFont="1" applyBorder="1" applyAlignment="1">
      <alignment vertical="center" wrapText="1"/>
    </xf>
    <xf numFmtId="0" fontId="13" fillId="0" borderId="74" xfId="0" applyFont="1" applyBorder="1" applyAlignment="1">
      <alignment wrapText="1"/>
    </xf>
    <xf numFmtId="0" fontId="13"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3" fillId="0" borderId="75" xfId="0" applyFont="1" applyBorder="1" applyAlignment="1">
      <alignment horizontal="center"/>
    </xf>
    <xf numFmtId="0" fontId="0" fillId="0" borderId="75" xfId="0" applyBorder="1" applyAlignment="1">
      <alignment horizontal="center"/>
    </xf>
    <xf numFmtId="0" fontId="13" fillId="0" borderId="73" xfId="0" applyFont="1" applyBorder="1" applyAlignment="1">
      <alignment horizontal="center"/>
    </xf>
    <xf numFmtId="0" fontId="13" fillId="0" borderId="18" xfId="0" applyFont="1" applyBorder="1" applyAlignment="1">
      <alignment horizontal="center"/>
    </xf>
    <xf numFmtId="0" fontId="13"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164" fontId="25" fillId="2" borderId="0" xfId="0" applyNumberFormat="1" applyFont="1" applyFill="1" applyBorder="1" applyAlignment="1">
      <alignment horizontal="left"/>
    </xf>
    <xf numFmtId="0" fontId="14" fillId="2" borderId="2" xfId="0" applyFont="1" applyFill="1" applyBorder="1" applyAlignment="1">
      <alignment horizontal="left"/>
    </xf>
    <xf numFmtId="0" fontId="14" fillId="2" borderId="0" xfId="0" applyFont="1" applyFill="1" applyAlignment="1">
      <alignment horizontal="left"/>
    </xf>
    <xf numFmtId="0" fontId="13" fillId="5" borderId="0" xfId="0" applyFont="1" applyFill="1"/>
    <xf numFmtId="0" fontId="17" fillId="5" borderId="0" xfId="0" applyFont="1" applyFill="1" applyAlignment="1">
      <alignment horizontal="right" indent="1"/>
    </xf>
    <xf numFmtId="164" fontId="25" fillId="0" borderId="0" xfId="0" applyNumberFormat="1" applyFont="1" applyBorder="1" applyAlignment="1">
      <alignment horizontal="left"/>
    </xf>
    <xf numFmtId="164" fontId="25" fillId="2" borderId="2" xfId="0" applyNumberFormat="1" applyFont="1" applyFill="1" applyBorder="1" applyAlignment="1">
      <alignment horizontal="left"/>
    </xf>
    <xf numFmtId="0" fontId="17" fillId="0" borderId="2" xfId="0" applyFont="1" applyFill="1" applyBorder="1" applyAlignment="1">
      <alignment horizontal="center"/>
    </xf>
    <xf numFmtId="0" fontId="17" fillId="0" borderId="3" xfId="0" applyFont="1" applyFill="1" applyBorder="1" applyAlignment="1">
      <alignment horizontal="center"/>
    </xf>
    <xf numFmtId="0" fontId="17" fillId="0" borderId="4" xfId="0" applyFont="1" applyFill="1" applyBorder="1" applyAlignment="1">
      <alignment horizontal="center"/>
    </xf>
    <xf numFmtId="0" fontId="17" fillId="0" borderId="8" xfId="0" applyFont="1" applyFill="1" applyBorder="1" applyAlignment="1">
      <alignment horizontal="center"/>
    </xf>
    <xf numFmtId="164" fontId="25" fillId="2" borderId="3" xfId="0" applyNumberFormat="1" applyFont="1" applyFill="1" applyBorder="1" applyAlignment="1">
      <alignment horizontal="left"/>
    </xf>
    <xf numFmtId="20" fontId="17" fillId="0" borderId="0" xfId="0" applyNumberFormat="1" applyFont="1" applyFill="1" applyBorder="1" applyAlignment="1">
      <alignment horizontal="center"/>
    </xf>
    <xf numFmtId="0" fontId="17" fillId="0" borderId="8" xfId="0" applyFont="1" applyBorder="1" applyAlignment="1">
      <alignment horizontal="center"/>
    </xf>
    <xf numFmtId="49" fontId="0" fillId="0" borderId="6" xfId="0" applyNumberFormat="1" applyBorder="1"/>
    <xf numFmtId="49" fontId="0" fillId="4" borderId="2" xfId="0" applyNumberFormat="1" applyFill="1" applyBorder="1"/>
    <xf numFmtId="0" fontId="1" fillId="2" borderId="7" xfId="0" applyFont="1" applyFill="1" applyBorder="1"/>
    <xf numFmtId="49" fontId="17" fillId="2" borderId="10" xfId="0" applyNumberFormat="1" applyFont="1" applyFill="1" applyBorder="1"/>
    <xf numFmtId="49" fontId="17" fillId="2" borderId="9" xfId="0" applyNumberFormat="1" applyFont="1" applyFill="1" applyBorder="1"/>
    <xf numFmtId="49" fontId="17" fillId="10" borderId="9" xfId="0" applyNumberFormat="1"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7" fillId="0" borderId="1" xfId="0" applyFont="1" applyFill="1" applyBorder="1" applyAlignment="1">
      <alignment horizontal="center"/>
    </xf>
    <xf numFmtId="0" fontId="17" fillId="0" borderId="7" xfId="0" applyFont="1" applyBorder="1" applyAlignment="1">
      <alignment horizontal="center"/>
    </xf>
    <xf numFmtId="0" fontId="17" fillId="0" borderId="5" xfId="0" applyFont="1" applyFill="1" applyBorder="1" applyAlignment="1">
      <alignment horizontal="center"/>
    </xf>
    <xf numFmtId="0" fontId="13" fillId="0" borderId="11" xfId="0" applyFont="1" applyBorder="1" applyAlignment="1">
      <alignment horizontal="center"/>
    </xf>
    <xf numFmtId="49" fontId="3" fillId="3" borderId="0" xfId="0" applyNumberFormat="1" applyFont="1" applyFill="1" applyBorder="1" applyAlignment="1">
      <alignment horizontal="left"/>
    </xf>
    <xf numFmtId="0" fontId="13" fillId="0" borderId="19" xfId="0" applyFont="1" applyBorder="1" applyAlignment="1">
      <alignment vertical="center" wrapText="1"/>
    </xf>
    <xf numFmtId="0" fontId="0" fillId="0" borderId="6" xfId="0" applyBorder="1"/>
    <xf numFmtId="0" fontId="0" fillId="0" borderId="11" xfId="0" applyBorder="1"/>
    <xf numFmtId="0" fontId="13" fillId="0" borderId="1" xfId="0" applyFont="1" applyBorder="1"/>
    <xf numFmtId="0" fontId="13" fillId="0" borderId="5" xfId="0" applyFont="1" applyBorder="1"/>
    <xf numFmtId="49" fontId="0" fillId="3" borderId="0" xfId="0" applyNumberFormat="1" applyFill="1" applyBorder="1" applyAlignment="1">
      <alignment horizontal="left"/>
    </xf>
    <xf numFmtId="49" fontId="13" fillId="3" borderId="0" xfId="0" applyNumberFormat="1" applyFont="1" applyFill="1" applyBorder="1" applyAlignment="1">
      <alignment horizontal="left"/>
    </xf>
    <xf numFmtId="49" fontId="0" fillId="7" borderId="7" xfId="0" applyNumberFormat="1" applyFill="1" applyBorder="1"/>
    <xf numFmtId="49" fontId="0" fillId="6" borderId="1" xfId="0" applyNumberFormat="1" applyFill="1" applyBorder="1"/>
    <xf numFmtId="49" fontId="3" fillId="0" borderId="7" xfId="0" applyNumberFormat="1" applyFont="1" applyBorder="1"/>
    <xf numFmtId="49" fontId="0" fillId="0" borderId="7" xfId="0" applyNumberFormat="1" applyBorder="1"/>
    <xf numFmtId="49" fontId="3" fillId="0" borderId="1" xfId="0" applyNumberFormat="1" applyFont="1" applyBorder="1"/>
    <xf numFmtId="49" fontId="0" fillId="0" borderId="1" xfId="0" applyNumberFormat="1" applyBorder="1"/>
    <xf numFmtId="0" fontId="0" fillId="0" borderId="1" xfId="0" applyBorder="1"/>
    <xf numFmtId="49" fontId="3" fillId="7" borderId="7" xfId="0" applyNumberFormat="1" applyFont="1" applyFill="1" applyBorder="1"/>
    <xf numFmtId="49" fontId="13" fillId="0" borderId="1" xfId="0" applyNumberFormat="1" applyFont="1" applyBorder="1"/>
    <xf numFmtId="49" fontId="3" fillId="0" borderId="7" xfId="0" applyNumberFormat="1" applyFont="1" applyFill="1" applyBorder="1"/>
    <xf numFmtId="49" fontId="0" fillId="16" borderId="7" xfId="0" applyNumberFormat="1" applyFill="1" applyBorder="1"/>
    <xf numFmtId="49" fontId="0" fillId="3" borderId="7" xfId="0" applyNumberFormat="1" applyFill="1" applyBorder="1"/>
    <xf numFmtId="49" fontId="0" fillId="3" borderId="7" xfId="0" applyNumberFormat="1" applyFill="1" applyBorder="1" applyAlignment="1">
      <alignment horizontal="center"/>
    </xf>
    <xf numFmtId="49" fontId="3" fillId="7" borderId="0" xfId="0" applyNumberFormat="1" applyFont="1" applyFill="1" applyBorder="1"/>
    <xf numFmtId="49" fontId="3" fillId="0" borderId="0" xfId="0" applyNumberFormat="1" applyFont="1" applyBorder="1"/>
    <xf numFmtId="49" fontId="3" fillId="0" borderId="0" xfId="0" applyNumberFormat="1" applyFont="1" applyFill="1" applyBorder="1"/>
    <xf numFmtId="49" fontId="0" fillId="16" borderId="0" xfId="0" applyNumberFormat="1" applyFill="1" applyBorder="1"/>
    <xf numFmtId="0" fontId="0" fillId="3" borderId="0" xfId="0" applyFill="1" applyBorder="1"/>
    <xf numFmtId="49" fontId="0" fillId="3" borderId="0" xfId="0" applyNumberFormat="1" applyFill="1" applyBorder="1" applyAlignment="1">
      <alignment horizontal="center"/>
    </xf>
    <xf numFmtId="49" fontId="0" fillId="3" borderId="0" xfId="0" applyNumberFormat="1" applyFill="1" applyBorder="1"/>
    <xf numFmtId="0" fontId="3" fillId="3" borderId="0" xfId="0" applyFont="1" applyFill="1" applyBorder="1"/>
    <xf numFmtId="49" fontId="0" fillId="3" borderId="8" xfId="0" applyNumberFormat="1" applyFill="1" applyBorder="1" applyAlignment="1">
      <alignment horizontal="left"/>
    </xf>
    <xf numFmtId="49" fontId="0" fillId="0" borderId="4" xfId="0" applyNumberFormat="1" applyBorder="1"/>
    <xf numFmtId="49" fontId="3" fillId="7" borderId="8" xfId="0" applyNumberFormat="1" applyFont="1" applyFill="1" applyBorder="1"/>
    <xf numFmtId="49" fontId="0" fillId="0" borderId="5" xfId="0" applyNumberFormat="1" applyBorder="1"/>
    <xf numFmtId="49" fontId="3" fillId="0" borderId="11" xfId="0" applyNumberFormat="1" applyFont="1" applyBorder="1"/>
    <xf numFmtId="49" fontId="0" fillId="0" borderId="8" xfId="0" applyNumberFormat="1" applyBorder="1"/>
    <xf numFmtId="49" fontId="3" fillId="0" borderId="8" xfId="0" applyNumberFormat="1" applyFont="1" applyFill="1" applyBorder="1"/>
    <xf numFmtId="49" fontId="3" fillId="0" borderId="8" xfId="0" applyNumberFormat="1" applyFont="1" applyBorder="1"/>
    <xf numFmtId="49" fontId="0" fillId="16" borderId="8" xfId="0" applyNumberFormat="1" applyFill="1" applyBorder="1"/>
    <xf numFmtId="0" fontId="0" fillId="3" borderId="8" xfId="0" applyFill="1" applyBorder="1"/>
    <xf numFmtId="49" fontId="0" fillId="3" borderId="8" xfId="0" applyNumberFormat="1" applyFill="1" applyBorder="1" applyAlignment="1">
      <alignment horizontal="center"/>
    </xf>
    <xf numFmtId="49" fontId="0" fillId="3" borderId="8" xfId="0" applyNumberFormat="1" applyFill="1" applyBorder="1"/>
    <xf numFmtId="0" fontId="0" fillId="7" borderId="11" xfId="0" applyFill="1" applyBorder="1"/>
    <xf numFmtId="0" fontId="0" fillId="3" borderId="7" xfId="0" applyFill="1" applyBorder="1"/>
    <xf numFmtId="49" fontId="3" fillId="0" borderId="4" xfId="0" applyNumberFormat="1" applyFont="1" applyBorder="1"/>
    <xf numFmtId="0" fontId="17" fillId="0" borderId="4" xfId="0" applyFont="1" applyBorder="1" applyAlignment="1">
      <alignment horizontal="center"/>
    </xf>
    <xf numFmtId="0" fontId="13" fillId="0" borderId="15" xfId="0" applyFont="1" applyBorder="1"/>
    <xf numFmtId="0" fontId="13" fillId="0" borderId="12" xfId="0" applyFont="1" applyBorder="1" applyAlignment="1">
      <alignment horizontal="center"/>
    </xf>
    <xf numFmtId="0" fontId="17" fillId="0" borderId="2" xfId="0" applyFont="1" applyBorder="1" applyAlignment="1">
      <alignment horizontal="center"/>
    </xf>
    <xf numFmtId="0" fontId="17" fillId="0" borderId="5" xfId="0" applyFont="1" applyBorder="1" applyAlignment="1">
      <alignment horizontal="center"/>
    </xf>
    <xf numFmtId="0" fontId="14" fillId="2" borderId="6" xfId="0" applyFont="1" applyFill="1" applyBorder="1" applyAlignment="1">
      <alignment horizontal="left"/>
    </xf>
    <xf numFmtId="0" fontId="14" fillId="2" borderId="1" xfId="0" applyFont="1" applyFill="1" applyBorder="1" applyAlignment="1">
      <alignment horizontal="left"/>
    </xf>
    <xf numFmtId="0" fontId="14" fillId="2" borderId="7" xfId="0" applyFont="1" applyFill="1" applyBorder="1" applyAlignment="1">
      <alignment horizontal="left"/>
    </xf>
    <xf numFmtId="0" fontId="14" fillId="2" borderId="14" xfId="0" applyFont="1" applyFill="1" applyBorder="1" applyAlignment="1">
      <alignment horizontal="left"/>
    </xf>
    <xf numFmtId="0" fontId="13" fillId="2" borderId="0" xfId="0" applyFont="1" applyFill="1"/>
    <xf numFmtId="0" fontId="13" fillId="0" borderId="12" xfId="0" applyFont="1" applyBorder="1"/>
    <xf numFmtId="0" fontId="13" fillId="5" borderId="6" xfId="0" applyFont="1" applyFill="1" applyBorder="1" applyAlignment="1">
      <alignment horizontal="right"/>
    </xf>
    <xf numFmtId="0" fontId="13" fillId="5" borderId="1" xfId="0" applyFont="1" applyFill="1" applyBorder="1"/>
    <xf numFmtId="0" fontId="25" fillId="2" borderId="0" xfId="0" applyFont="1" applyFill="1"/>
    <xf numFmtId="0" fontId="14" fillId="2" borderId="3" xfId="0" applyFont="1" applyFill="1" applyBorder="1" applyAlignment="1">
      <alignment horizontal="left"/>
    </xf>
    <xf numFmtId="0" fontId="13" fillId="5" borderId="4" xfId="0" applyFont="1" applyFill="1" applyBorder="1" applyAlignment="1">
      <alignment horizontal="right"/>
    </xf>
    <xf numFmtId="0" fontId="13" fillId="5" borderId="5" xfId="0" applyFont="1" applyFill="1" applyBorder="1"/>
    <xf numFmtId="49" fontId="17" fillId="10" borderId="5" xfId="0" applyNumberFormat="1" applyFont="1" applyFill="1" applyBorder="1"/>
    <xf numFmtId="0" fontId="17" fillId="0" borderId="6" xfId="0" applyFont="1" applyBorder="1"/>
    <xf numFmtId="0" fontId="17" fillId="0" borderId="7" xfId="0" applyFont="1" applyBorder="1"/>
    <xf numFmtId="0" fontId="17" fillId="0" borderId="1" xfId="0" applyFont="1" applyBorder="1"/>
    <xf numFmtId="0" fontId="17" fillId="2" borderId="10" xfId="0" applyFont="1" applyFill="1" applyBorder="1" applyAlignment="1">
      <alignment horizontal="left"/>
    </xf>
    <xf numFmtId="49" fontId="17" fillId="9" borderId="10" xfId="0" applyNumberFormat="1" applyFont="1" applyFill="1" applyBorder="1"/>
    <xf numFmtId="0" fontId="13" fillId="5" borderId="6" xfId="0" applyFont="1" applyFill="1" applyBorder="1"/>
    <xf numFmtId="0" fontId="13" fillId="5" borderId="7" xfId="0" applyFont="1" applyFill="1" applyBorder="1"/>
    <xf numFmtId="0" fontId="13" fillId="5" borderId="2" xfId="0" applyFont="1" applyFill="1" applyBorder="1"/>
    <xf numFmtId="0" fontId="13" fillId="5" borderId="3" xfId="0" applyFont="1" applyFill="1" applyBorder="1"/>
    <xf numFmtId="0" fontId="13" fillId="5" borderId="0" xfId="0" applyFont="1" applyFill="1" applyBorder="1"/>
    <xf numFmtId="0" fontId="13" fillId="5" borderId="4" xfId="0" applyFont="1" applyFill="1" applyBorder="1"/>
    <xf numFmtId="0" fontId="13" fillId="5" borderId="8" xfId="0" applyFont="1" applyFill="1" applyBorder="1"/>
    <xf numFmtId="49" fontId="13" fillId="3" borderId="7" xfId="0" applyNumberFormat="1" applyFont="1" applyFill="1" applyBorder="1" applyAlignment="1">
      <alignment horizontal="left"/>
    </xf>
    <xf numFmtId="0" fontId="13" fillId="5" borderId="14" xfId="0" applyFont="1" applyFill="1" applyBorder="1"/>
    <xf numFmtId="0" fontId="14" fillId="5" borderId="0" xfId="0" applyFont="1" applyFill="1"/>
    <xf numFmtId="20" fontId="13" fillId="5" borderId="0" xfId="0" applyNumberFormat="1" applyFont="1" applyFill="1"/>
    <xf numFmtId="0" fontId="13" fillId="5" borderId="0" xfId="0" applyFont="1" applyFill="1" applyAlignment="1">
      <alignment horizontal="left"/>
    </xf>
    <xf numFmtId="164" fontId="25" fillId="0" borderId="3" xfId="0" applyNumberFormat="1" applyFont="1" applyBorder="1" applyAlignment="1">
      <alignment horizontal="left"/>
    </xf>
    <xf numFmtId="0" fontId="0" fillId="0" borderId="7" xfId="0" applyFill="1" applyBorder="1"/>
    <xf numFmtId="49" fontId="13" fillId="0" borderId="5" xfId="0" applyNumberFormat="1" applyFont="1" applyFill="1" applyBorder="1"/>
    <xf numFmtId="0" fontId="3" fillId="7" borderId="7" xfId="0" applyFont="1" applyFill="1" applyBorder="1"/>
    <xf numFmtId="49" fontId="3" fillId="0" borderId="1" xfId="0" applyNumberFormat="1" applyFont="1" applyFill="1" applyBorder="1"/>
    <xf numFmtId="0" fontId="0" fillId="0" borderId="0" xfId="0" applyFill="1" applyBorder="1"/>
    <xf numFmtId="0" fontId="5" fillId="0" borderId="0" xfId="0" applyFont="1" applyBorder="1"/>
    <xf numFmtId="49" fontId="0" fillId="0" borderId="10" xfId="0" applyNumberFormat="1" applyBorder="1"/>
    <xf numFmtId="49" fontId="0" fillId="7" borderId="6" xfId="0" applyNumberFormat="1" applyFill="1" applyBorder="1"/>
    <xf numFmtId="49" fontId="0" fillId="7" borderId="1" xfId="0" applyNumberFormat="1" applyFill="1" applyBorder="1"/>
    <xf numFmtId="49" fontId="3" fillId="7" borderId="1" xfId="0" applyNumberFormat="1" applyFont="1" applyFill="1" applyBorder="1"/>
    <xf numFmtId="49" fontId="3" fillId="7" borderId="5" xfId="0" applyNumberFormat="1" applyFont="1" applyFill="1" applyBorder="1"/>
    <xf numFmtId="0" fontId="3" fillId="7" borderId="1" xfId="0" applyFont="1" applyFill="1" applyBorder="1"/>
    <xf numFmtId="49" fontId="3" fillId="7" borderId="3" xfId="0" applyNumberFormat="1" applyFont="1" applyFill="1" applyBorder="1"/>
    <xf numFmtId="49" fontId="22" fillId="0" borderId="0" xfId="0" applyNumberFormat="1" applyFont="1" applyBorder="1"/>
    <xf numFmtId="49" fontId="3" fillId="3" borderId="8" xfId="0" applyNumberFormat="1" applyFont="1" applyFill="1" applyBorder="1" applyAlignment="1">
      <alignment horizontal="left"/>
    </xf>
    <xf numFmtId="0" fontId="1" fillId="2" borderId="10" xfId="0" applyFont="1" applyFill="1" applyBorder="1" applyAlignment="1">
      <alignment horizontal="left"/>
    </xf>
    <xf numFmtId="0" fontId="0" fillId="2" borderId="1" xfId="0" applyFill="1" applyBorder="1" applyAlignment="1">
      <alignment horizontal="left"/>
    </xf>
    <xf numFmtId="0" fontId="1" fillId="2" borderId="3" xfId="0" applyFont="1" applyFill="1" applyBorder="1" applyAlignment="1">
      <alignment horizontal="left"/>
    </xf>
    <xf numFmtId="0" fontId="13" fillId="0" borderId="10" xfId="0" applyFont="1" applyBorder="1" applyAlignment="1">
      <alignment wrapText="1"/>
    </xf>
    <xf numFmtId="0" fontId="13" fillId="0" borderId="12" xfId="0" applyFont="1" applyBorder="1" applyAlignment="1">
      <alignment wrapText="1"/>
    </xf>
    <xf numFmtId="0" fontId="13" fillId="0" borderId="13" xfId="0" applyFont="1" applyBorder="1" applyAlignment="1">
      <alignment horizontal="center"/>
    </xf>
    <xf numFmtId="0" fontId="13" fillId="0" borderId="14" xfId="0" applyFont="1" applyBorder="1" applyAlignment="1">
      <alignment horizontal="center"/>
    </xf>
    <xf numFmtId="0" fontId="13" fillId="0" borderId="15" xfId="0" applyFont="1" applyBorder="1" applyAlignment="1">
      <alignment horizontal="center"/>
    </xf>
    <xf numFmtId="0" fontId="17" fillId="8" borderId="6" xfId="0" applyFont="1" applyFill="1" applyBorder="1"/>
    <xf numFmtId="164" fontId="25" fillId="8" borderId="2" xfId="0" applyNumberFormat="1" applyFont="1" applyFill="1" applyBorder="1" applyAlignment="1">
      <alignment horizontal="left"/>
    </xf>
    <xf numFmtId="0" fontId="17" fillId="0" borderId="6" xfId="0" applyFont="1" applyBorder="1" applyAlignment="1">
      <alignment horizontal="center"/>
    </xf>
    <xf numFmtId="0" fontId="13" fillId="2" borderId="6" xfId="0" applyFont="1" applyFill="1" applyBorder="1"/>
    <xf numFmtId="0" fontId="17" fillId="2" borderId="7" xfId="0" applyFont="1" applyFill="1" applyBorder="1"/>
    <xf numFmtId="49" fontId="17" fillId="10" borderId="15" xfId="0" applyNumberFormat="1" applyFont="1" applyFill="1" applyBorder="1"/>
    <xf numFmtId="0" fontId="13" fillId="6" borderId="9" xfId="0" applyFont="1" applyFill="1" applyBorder="1" applyAlignment="1">
      <alignment wrapText="1"/>
    </xf>
    <xf numFmtId="0" fontId="13" fillId="6" borderId="11" xfId="0" applyFont="1" applyFill="1" applyBorder="1" applyAlignment="1">
      <alignment wrapText="1"/>
    </xf>
    <xf numFmtId="49" fontId="13" fillId="0" borderId="3" xfId="0" applyNumberFormat="1" applyFont="1" applyFill="1" applyBorder="1" applyAlignment="1">
      <alignment horizontal="left"/>
    </xf>
    <xf numFmtId="49" fontId="13" fillId="0" borderId="1" xfId="0" applyNumberFormat="1" applyFont="1" applyFill="1" applyBorder="1" applyAlignment="1">
      <alignment horizontal="left"/>
    </xf>
    <xf numFmtId="49" fontId="3" fillId="7" borderId="0" xfId="0" applyNumberFormat="1" applyFont="1" applyFill="1" applyBorder="1" applyAlignment="1">
      <alignment horizontal="left"/>
    </xf>
    <xf numFmtId="0" fontId="13" fillId="7" borderId="0" xfId="0" applyFont="1" applyFill="1" applyBorder="1"/>
    <xf numFmtId="0" fontId="17" fillId="7" borderId="2" xfId="0" applyFont="1" applyFill="1" applyBorder="1" applyAlignment="1">
      <alignment horizontal="center"/>
    </xf>
    <xf numFmtId="0" fontId="17" fillId="7" borderId="0" xfId="0" applyFont="1" applyFill="1" applyBorder="1" applyAlignment="1">
      <alignment horizontal="center"/>
    </xf>
    <xf numFmtId="0" fontId="1" fillId="2" borderId="6" xfId="0" applyFont="1" applyFill="1" applyBorder="1"/>
    <xf numFmtId="0" fontId="1" fillId="2" borderId="7" xfId="0" applyFont="1" applyFill="1" applyBorder="1"/>
    <xf numFmtId="0" fontId="1" fillId="2" borderId="1" xfId="0" applyFont="1" applyFill="1" applyBorder="1"/>
    <xf numFmtId="0" fontId="3" fillId="0" borderId="7" xfId="0" applyFont="1" applyBorder="1"/>
    <xf numFmtId="0" fontId="3" fillId="0" borderId="14" xfId="0" applyFont="1" applyBorder="1" applyAlignment="1">
      <alignment horizontal="center"/>
    </xf>
    <xf numFmtId="0" fontId="3" fillId="0" borderId="15" xfId="0" applyFont="1" applyBorder="1"/>
    <xf numFmtId="0" fontId="3" fillId="0" borderId="6" xfId="0" applyFont="1" applyBorder="1" applyAlignment="1">
      <alignment horizontal="center"/>
    </xf>
    <xf numFmtId="0" fontId="3" fillId="0" borderId="1" xfId="0" applyFont="1" applyBorder="1" applyAlignment="1">
      <alignment horizontal="center"/>
    </xf>
    <xf numFmtId="0" fontId="3" fillId="5" borderId="7" xfId="0" applyFont="1" applyFill="1" applyBorder="1"/>
    <xf numFmtId="0" fontId="3" fillId="0" borderId="10" xfId="0" applyFont="1" applyBorder="1" applyAlignment="1">
      <alignment horizontal="center"/>
    </xf>
    <xf numFmtId="49" fontId="13" fillId="0" borderId="10" xfId="0" applyNumberFormat="1" applyFont="1" applyBorder="1" applyAlignment="1">
      <alignment horizontal="left"/>
    </xf>
    <xf numFmtId="49" fontId="13" fillId="0" borderId="11" xfId="0" applyNumberFormat="1" applyFont="1" applyBorder="1" applyAlignment="1">
      <alignment horizontal="left"/>
    </xf>
    <xf numFmtId="49" fontId="13" fillId="0" borderId="5" xfId="0" applyNumberFormat="1" applyFont="1" applyFill="1" applyBorder="1" applyAlignment="1">
      <alignment horizontal="left"/>
    </xf>
    <xf numFmtId="0" fontId="13" fillId="0" borderId="11" xfId="0" applyFont="1" applyBorder="1" applyAlignment="1">
      <alignment wrapText="1"/>
    </xf>
    <xf numFmtId="49" fontId="13" fillId="0" borderId="9" xfId="0" applyNumberFormat="1" applyFont="1" applyBorder="1" applyAlignment="1">
      <alignment horizontal="left"/>
    </xf>
    <xf numFmtId="0" fontId="13" fillId="0" borderId="9" xfId="0" applyFont="1" applyBorder="1" applyAlignment="1">
      <alignment wrapText="1"/>
    </xf>
    <xf numFmtId="49" fontId="13" fillId="6" borderId="5" xfId="0" applyNumberFormat="1" applyFont="1" applyFill="1" applyBorder="1" applyAlignment="1">
      <alignment horizontal="left"/>
    </xf>
    <xf numFmtId="49" fontId="13" fillId="6" borderId="3" xfId="0" applyNumberFormat="1" applyFont="1" applyFill="1" applyBorder="1" applyAlignment="1">
      <alignment horizontal="left"/>
    </xf>
    <xf numFmtId="49" fontId="13" fillId="6" borderId="15" xfId="0" applyNumberFormat="1" applyFont="1" applyFill="1" applyBorder="1" applyAlignment="1">
      <alignment horizontal="left"/>
    </xf>
    <xf numFmtId="49" fontId="13" fillId="0" borderId="15" xfId="0" applyNumberFormat="1" applyFont="1" applyFill="1" applyBorder="1" applyAlignment="1">
      <alignment horizontal="left"/>
    </xf>
    <xf numFmtId="0" fontId="26" fillId="0" borderId="8" xfId="0" applyFont="1" applyFill="1" applyBorder="1" applyAlignment="1">
      <alignment horizontal="center"/>
    </xf>
    <xf numFmtId="0" fontId="26" fillId="0" borderId="14" xfId="0" applyFont="1" applyFill="1" applyBorder="1" applyAlignment="1">
      <alignment horizontal="center"/>
    </xf>
    <xf numFmtId="0" fontId="3" fillId="0" borderId="1" xfId="0" applyFont="1" applyBorder="1" applyAlignment="1">
      <alignment horizontal="left"/>
    </xf>
    <xf numFmtId="0" fontId="3" fillId="0" borderId="5" xfId="0" applyFont="1" applyBorder="1" applyAlignment="1">
      <alignment horizontal="left"/>
    </xf>
    <xf numFmtId="0" fontId="3" fillId="0" borderId="3" xfId="0" applyFont="1" applyBorder="1" applyAlignment="1">
      <alignment horizontal="left"/>
    </xf>
    <xf numFmtId="0" fontId="12" fillId="5" borderId="0" xfId="0" applyFont="1" applyFill="1" applyBorder="1"/>
    <xf numFmtId="49" fontId="0" fillId="7" borderId="2" xfId="0" applyNumberFormat="1" applyFill="1" applyBorder="1"/>
    <xf numFmtId="49" fontId="3" fillId="0" borderId="5" xfId="0" applyNumberFormat="1" applyFont="1" applyBorder="1"/>
    <xf numFmtId="49" fontId="0" fillId="6" borderId="6" xfId="0" applyNumberFormat="1" applyFill="1" applyBorder="1"/>
    <xf numFmtId="49" fontId="0" fillId="0" borderId="3" xfId="0" applyNumberFormat="1" applyBorder="1"/>
    <xf numFmtId="49" fontId="3" fillId="0" borderId="2" xfId="0" applyNumberFormat="1" applyFont="1" applyBorder="1"/>
    <xf numFmtId="0" fontId="5" fillId="0" borderId="1" xfId="0" applyFont="1" applyBorder="1"/>
    <xf numFmtId="49" fontId="0" fillId="3" borderId="6" xfId="0" applyNumberFormat="1" applyFill="1" applyBorder="1"/>
    <xf numFmtId="49" fontId="0" fillId="3" borderId="1" xfId="0" applyNumberFormat="1" applyFill="1" applyBorder="1"/>
    <xf numFmtId="0" fontId="0" fillId="3" borderId="4" xfId="0" applyFill="1" applyBorder="1"/>
    <xf numFmtId="0" fontId="3" fillId="3" borderId="5" xfId="0" applyFont="1" applyFill="1" applyBorder="1"/>
    <xf numFmtId="0" fontId="0" fillId="3" borderId="6" xfId="0" applyFill="1" applyBorder="1"/>
    <xf numFmtId="0" fontId="3" fillId="3" borderId="1" xfId="0" applyFont="1" applyFill="1" applyBorder="1"/>
    <xf numFmtId="0" fontId="0" fillId="3" borderId="2" xfId="0" applyFill="1" applyBorder="1"/>
    <xf numFmtId="0" fontId="3" fillId="3" borderId="3" xfId="0" applyFont="1" applyFill="1" applyBorder="1"/>
    <xf numFmtId="0" fontId="11" fillId="0" borderId="10" xfId="0" applyFont="1" applyBorder="1"/>
    <xf numFmtId="49" fontId="13" fillId="0" borderId="11" xfId="0" applyNumberFormat="1" applyFont="1" applyBorder="1"/>
    <xf numFmtId="49" fontId="13" fillId="0" borderId="10" xfId="0" applyNumberFormat="1" applyFont="1" applyBorder="1"/>
    <xf numFmtId="49" fontId="13" fillId="0" borderId="9" xfId="0" applyNumberFormat="1" applyFont="1" applyBorder="1"/>
    <xf numFmtId="0" fontId="5" fillId="0" borderId="10" xfId="0" applyFont="1" applyBorder="1"/>
    <xf numFmtId="49" fontId="0" fillId="3" borderId="10" xfId="0" applyNumberFormat="1" applyFill="1" applyBorder="1" applyAlignment="1">
      <alignment horizontal="left"/>
    </xf>
    <xf numFmtId="49" fontId="0" fillId="3" borderId="11" xfId="0" applyNumberFormat="1" applyFill="1" applyBorder="1" applyAlignment="1">
      <alignment horizontal="left"/>
    </xf>
    <xf numFmtId="49" fontId="0" fillId="3" borderId="9" xfId="0" applyNumberFormat="1" applyFill="1" applyBorder="1" applyAlignment="1">
      <alignment horizontal="left"/>
    </xf>
    <xf numFmtId="49" fontId="3" fillId="3" borderId="9" xfId="0" applyNumberFormat="1" applyFont="1" applyFill="1" applyBorder="1" applyAlignment="1">
      <alignment horizontal="left"/>
    </xf>
    <xf numFmtId="49" fontId="13" fillId="3" borderId="9" xfId="0" applyNumberFormat="1" applyFont="1" applyFill="1" applyBorder="1" applyAlignment="1">
      <alignment horizontal="left"/>
    </xf>
    <xf numFmtId="49" fontId="13" fillId="3" borderId="10" xfId="0" applyNumberFormat="1" applyFont="1" applyFill="1" applyBorder="1" applyAlignment="1">
      <alignment horizontal="left"/>
    </xf>
    <xf numFmtId="0" fontId="3" fillId="0" borderId="14" xfId="0" applyFont="1" applyBorder="1"/>
    <xf numFmtId="0" fontId="3" fillId="5" borderId="3" xfId="0" applyFont="1" applyFill="1" applyBorder="1"/>
    <xf numFmtId="0" fontId="0" fillId="0" borderId="7" xfId="0" applyFill="1" applyBorder="1" applyAlignment="1">
      <alignment wrapText="1"/>
    </xf>
    <xf numFmtId="0" fontId="13" fillId="0" borderId="10" xfId="0" applyFont="1" applyFill="1" applyBorder="1" applyAlignment="1">
      <alignment wrapText="1"/>
    </xf>
    <xf numFmtId="0" fontId="13" fillId="0" borderId="9" xfId="0" applyFont="1" applyFill="1" applyBorder="1" applyAlignment="1">
      <alignment wrapText="1"/>
    </xf>
    <xf numFmtId="0" fontId="13" fillId="0" borderId="11" xfId="0" applyFont="1" applyFill="1" applyBorder="1" applyAlignment="1">
      <alignment wrapText="1"/>
    </xf>
    <xf numFmtId="0" fontId="26" fillId="0" borderId="15" xfId="0" applyFont="1" applyBorder="1" applyAlignment="1">
      <alignment horizontal="center"/>
    </xf>
    <xf numFmtId="0" fontId="13" fillId="0" borderId="16" xfId="0" applyFont="1" applyFill="1" applyBorder="1" applyAlignment="1">
      <alignment horizontal="center"/>
    </xf>
    <xf numFmtId="0" fontId="13" fillId="0" borderId="22" xfId="0" applyFont="1" applyFill="1" applyBorder="1" applyAlignment="1">
      <alignment horizontal="center"/>
    </xf>
    <xf numFmtId="0" fontId="0" fillId="0" borderId="88" xfId="0" applyBorder="1"/>
    <xf numFmtId="0" fontId="0" fillId="0" borderId="89" xfId="0" applyBorder="1"/>
    <xf numFmtId="0" fontId="0" fillId="0" borderId="90" xfId="0" applyBorder="1"/>
    <xf numFmtId="0" fontId="17" fillId="0" borderId="8" xfId="0" quotePrefix="1" applyFont="1" applyBorder="1" applyAlignment="1">
      <alignment horizontal="center"/>
    </xf>
    <xf numFmtId="0" fontId="17" fillId="0" borderId="3" xfId="0" applyFont="1" applyBorder="1" applyAlignment="1">
      <alignment horizontal="center"/>
    </xf>
    <xf numFmtId="0" fontId="17" fillId="0" borderId="1" xfId="0" applyFont="1" applyBorder="1" applyAlignment="1">
      <alignment horizontal="center"/>
    </xf>
    <xf numFmtId="0" fontId="13" fillId="5" borderId="17" xfId="0" applyFont="1" applyFill="1" applyBorder="1"/>
    <xf numFmtId="0" fontId="13" fillId="5" borderId="16" xfId="0" applyFont="1" applyFill="1" applyBorder="1"/>
    <xf numFmtId="0" fontId="13" fillId="5" borderId="18" xfId="0" applyFont="1" applyFill="1" applyBorder="1"/>
    <xf numFmtId="0" fontId="13" fillId="5" borderId="21" xfId="0" applyFont="1" applyFill="1" applyBorder="1"/>
    <xf numFmtId="0" fontId="13" fillId="5" borderId="22" xfId="0" applyFont="1" applyFill="1" applyBorder="1"/>
    <xf numFmtId="1" fontId="13" fillId="5" borderId="24" xfId="0" applyNumberFormat="1" applyFont="1" applyFill="1" applyBorder="1"/>
    <xf numFmtId="49" fontId="13" fillId="0" borderId="12" xfId="0" applyNumberFormat="1" applyFont="1" applyBorder="1" applyAlignment="1">
      <alignment horizontal="left"/>
    </xf>
    <xf numFmtId="49" fontId="3" fillId="3" borderId="14" xfId="0" applyNumberFormat="1" applyFont="1" applyFill="1" applyBorder="1" applyAlignment="1">
      <alignment horizontal="left"/>
    </xf>
    <xf numFmtId="0" fontId="26" fillId="0" borderId="13" xfId="0" applyFont="1" applyFill="1" applyBorder="1" applyAlignment="1">
      <alignment horizontal="center"/>
    </xf>
    <xf numFmtId="0" fontId="26" fillId="0" borderId="15" xfId="0" applyFont="1" applyFill="1" applyBorder="1" applyAlignment="1">
      <alignment horizontal="center"/>
    </xf>
    <xf numFmtId="0" fontId="17" fillId="0" borderId="14" xfId="0" applyFont="1" applyFill="1" applyBorder="1" applyAlignment="1">
      <alignment horizontal="center"/>
    </xf>
    <xf numFmtId="0" fontId="26" fillId="0" borderId="13" xfId="0" applyFont="1" applyBorder="1" applyAlignment="1">
      <alignment horizontal="center"/>
    </xf>
    <xf numFmtId="0" fontId="26" fillId="0" borderId="14" xfId="0" applyFont="1" applyBorder="1" applyAlignment="1">
      <alignment horizontal="center"/>
    </xf>
    <xf numFmtId="49" fontId="16" fillId="3" borderId="8" xfId="0" applyNumberFormat="1" applyFont="1" applyFill="1" applyBorder="1" applyAlignment="1">
      <alignment horizontal="left"/>
    </xf>
    <xf numFmtId="0" fontId="17" fillId="0" borderId="93" xfId="0" applyFont="1" applyFill="1" applyBorder="1" applyAlignment="1">
      <alignment horizontal="center"/>
    </xf>
    <xf numFmtId="0" fontId="17" fillId="0" borderId="92" xfId="0" applyFont="1" applyFill="1" applyBorder="1" applyAlignment="1">
      <alignment horizontal="center"/>
    </xf>
    <xf numFmtId="0" fontId="17" fillId="0" borderId="91" xfId="0" applyFont="1" applyFill="1" applyBorder="1" applyAlignment="1">
      <alignment horizontal="center"/>
    </xf>
    <xf numFmtId="0" fontId="17" fillId="7" borderId="92" xfId="0" applyFont="1" applyFill="1" applyBorder="1" applyAlignment="1">
      <alignment horizontal="center"/>
    </xf>
    <xf numFmtId="0" fontId="17" fillId="7" borderId="87" xfId="0" applyFont="1" applyFill="1" applyBorder="1" applyAlignment="1">
      <alignment horizontal="center"/>
    </xf>
    <xf numFmtId="0" fontId="17" fillId="7" borderId="16" xfId="0" applyFont="1" applyFill="1" applyBorder="1" applyAlignment="1">
      <alignment horizontal="center"/>
    </xf>
    <xf numFmtId="0" fontId="17" fillId="7" borderId="18" xfId="0" applyFont="1" applyFill="1" applyBorder="1" applyAlignment="1">
      <alignment horizontal="center"/>
    </xf>
    <xf numFmtId="0" fontId="17" fillId="7" borderId="91" xfId="0" applyFont="1" applyFill="1" applyBorder="1" applyAlignment="1">
      <alignment horizontal="center"/>
    </xf>
    <xf numFmtId="0" fontId="17" fillId="7" borderId="17" xfId="0" applyFont="1" applyFill="1" applyBorder="1" applyAlignment="1">
      <alignment horizontal="center"/>
    </xf>
    <xf numFmtId="0" fontId="17" fillId="7" borderId="22" xfId="0" applyFont="1" applyFill="1" applyBorder="1" applyAlignment="1">
      <alignment horizontal="center"/>
    </xf>
    <xf numFmtId="0" fontId="17" fillId="7" borderId="24" xfId="0" applyFont="1" applyFill="1" applyBorder="1" applyAlignment="1">
      <alignment horizontal="center"/>
    </xf>
    <xf numFmtId="0" fontId="17" fillId="7" borderId="93" xfId="0" applyFont="1" applyFill="1" applyBorder="1" applyAlignment="1">
      <alignment horizontal="center"/>
    </xf>
    <xf numFmtId="0" fontId="0" fillId="0" borderId="0" xfId="0" applyFill="1" applyBorder="1" applyAlignment="1">
      <alignment wrapText="1"/>
    </xf>
    <xf numFmtId="0" fontId="1" fillId="2" borderId="17" xfId="0" applyFont="1" applyFill="1" applyBorder="1" applyAlignment="1">
      <alignment horizontal="left"/>
    </xf>
    <xf numFmtId="0" fontId="1" fillId="2" borderId="78" xfId="0" applyFont="1" applyFill="1" applyBorder="1" applyAlignment="1">
      <alignment horizontal="left"/>
    </xf>
    <xf numFmtId="0" fontId="0" fillId="0" borderId="18" xfId="0" applyBorder="1"/>
    <xf numFmtId="0" fontId="1" fillId="2" borderId="73" xfId="0" applyFont="1" applyFill="1" applyBorder="1" applyAlignment="1">
      <alignment horizontal="left"/>
    </xf>
    <xf numFmtId="0" fontId="1" fillId="2" borderId="0" xfId="0" applyFont="1" applyFill="1" applyBorder="1" applyAlignment="1">
      <alignment horizontal="left"/>
    </xf>
    <xf numFmtId="0" fontId="1" fillId="5" borderId="20" xfId="0" applyFont="1" applyFill="1" applyBorder="1" applyAlignment="1">
      <alignment horizontal="left"/>
    </xf>
    <xf numFmtId="20" fontId="13" fillId="0" borderId="0" xfId="0" applyNumberFormat="1" applyFont="1" applyBorder="1"/>
    <xf numFmtId="20" fontId="0" fillId="0" borderId="0" xfId="0" applyNumberFormat="1" applyBorder="1"/>
    <xf numFmtId="0" fontId="0" fillId="0" borderId="73" xfId="0" applyFill="1" applyBorder="1" applyAlignment="1">
      <alignment wrapText="1"/>
    </xf>
    <xf numFmtId="0" fontId="0" fillId="0" borderId="19" xfId="0" applyFill="1" applyBorder="1" applyAlignment="1">
      <alignment wrapText="1"/>
    </xf>
    <xf numFmtId="0" fontId="0" fillId="0" borderId="21" xfId="0" applyFill="1" applyBorder="1" applyAlignment="1">
      <alignment wrapText="1"/>
    </xf>
    <xf numFmtId="0" fontId="0" fillId="0" borderId="22" xfId="0" applyFill="1" applyBorder="1" applyAlignment="1">
      <alignment wrapText="1"/>
    </xf>
    <xf numFmtId="20" fontId="0" fillId="0" borderId="22" xfId="0" applyNumberFormat="1" applyBorder="1" applyAlignment="1">
      <alignment wrapText="1"/>
    </xf>
    <xf numFmtId="0" fontId="0" fillId="0" borderId="22" xfId="0" applyBorder="1" applyAlignment="1">
      <alignment wrapText="1"/>
    </xf>
    <xf numFmtId="0" fontId="13" fillId="0" borderId="24" xfId="0" applyFont="1" applyBorder="1" applyAlignment="1">
      <alignment wrapText="1"/>
    </xf>
    <xf numFmtId="0" fontId="17" fillId="0" borderId="15" xfId="0" applyFont="1" applyFill="1" applyBorder="1" applyAlignment="1">
      <alignment horizontal="center"/>
    </xf>
    <xf numFmtId="49" fontId="14" fillId="0" borderId="9" xfId="0" applyNumberFormat="1" applyFont="1" applyBorder="1"/>
    <xf numFmtId="49" fontId="14" fillId="0" borderId="10" xfId="0" applyNumberFormat="1" applyFont="1" applyBorder="1"/>
    <xf numFmtId="49" fontId="14" fillId="0" borderId="11" xfId="0" applyNumberFormat="1" applyFont="1" applyBorder="1"/>
    <xf numFmtId="0" fontId="17" fillId="0" borderId="89" xfId="0" applyFont="1" applyFill="1" applyBorder="1" applyAlignment="1">
      <alignment horizontal="center"/>
    </xf>
    <xf numFmtId="0" fontId="1" fillId="2" borderId="12" xfId="0" applyFont="1" applyFill="1" applyBorder="1" applyAlignment="1">
      <alignment horizontal="center" vertical="center"/>
    </xf>
    <xf numFmtId="0" fontId="1" fillId="2" borderId="10" xfId="0" applyFont="1" applyFill="1" applyBorder="1" applyAlignment="1">
      <alignment horizontal="center" vertical="center"/>
    </xf>
    <xf numFmtId="0" fontId="1" fillId="5" borderId="10" xfId="0" applyFont="1" applyFill="1" applyBorder="1" applyAlignment="1">
      <alignment horizontal="center" vertical="center"/>
    </xf>
    <xf numFmtId="0" fontId="14" fillId="5" borderId="10" xfId="0" applyFont="1" applyFill="1" applyBorder="1" applyAlignment="1">
      <alignment horizontal="center" vertical="center"/>
    </xf>
    <xf numFmtId="0" fontId="13" fillId="0" borderId="6" xfId="0" applyFont="1" applyBorder="1" applyAlignment="1">
      <alignment horizontal="center" vertical="center"/>
    </xf>
    <xf numFmtId="0" fontId="13" fillId="0" borderId="10" xfId="0" applyFont="1" applyBorder="1" applyAlignment="1">
      <alignment horizontal="center" vertical="center"/>
    </xf>
    <xf numFmtId="0" fontId="13" fillId="0" borderId="7" xfId="0"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3" fillId="0" borderId="5" xfId="0" applyFont="1" applyBorder="1" applyAlignment="1">
      <alignment horizontal="center" vertical="center"/>
    </xf>
    <xf numFmtId="0" fontId="13" fillId="0" borderId="2" xfId="0" applyFont="1" applyBorder="1" applyAlignment="1">
      <alignment horizontal="center" vertical="center"/>
    </xf>
    <xf numFmtId="0" fontId="13" fillId="0" borderId="0" xfId="0" applyFont="1" applyBorder="1" applyAlignment="1">
      <alignment horizontal="center" vertical="center"/>
    </xf>
    <xf numFmtId="0" fontId="13" fillId="0" borderId="3" xfId="0" applyFont="1" applyBorder="1" applyAlignment="1">
      <alignment horizontal="center" vertical="center"/>
    </xf>
    <xf numFmtId="0" fontId="13" fillId="6" borderId="4"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5"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0" xfId="0" applyFont="1" applyFill="1" applyBorder="1" applyAlignment="1">
      <alignment horizontal="center" vertical="center"/>
    </xf>
    <xf numFmtId="0" fontId="13" fillId="6" borderId="3"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9"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3" fillId="0" borderId="3" xfId="0" applyFont="1" applyFill="1" applyBorder="1" applyAlignment="1">
      <alignment horizontal="center" vertical="center"/>
    </xf>
    <xf numFmtId="0" fontId="13" fillId="0" borderId="4" xfId="0" applyFont="1" applyFill="1" applyBorder="1" applyAlignment="1">
      <alignment horizontal="center" vertical="center"/>
    </xf>
    <xf numFmtId="0" fontId="13" fillId="0" borderId="8" xfId="0" applyFont="1" applyFill="1" applyBorder="1" applyAlignment="1">
      <alignment horizontal="center" vertical="center"/>
    </xf>
    <xf numFmtId="0" fontId="13" fillId="0" borderId="5" xfId="0" applyFont="1" applyFill="1" applyBorder="1" applyAlignment="1">
      <alignment horizontal="center" vertical="center"/>
    </xf>
    <xf numFmtId="0" fontId="13" fillId="6" borderId="13" xfId="0" applyFont="1" applyFill="1" applyBorder="1" applyAlignment="1">
      <alignment horizontal="center" vertical="center"/>
    </xf>
    <xf numFmtId="0" fontId="13" fillId="6" borderId="14" xfId="0" applyFont="1" applyFill="1" applyBorder="1" applyAlignment="1">
      <alignment horizontal="center" vertical="center"/>
    </xf>
    <xf numFmtId="0" fontId="13" fillId="6" borderId="15" xfId="0" applyFont="1" applyFill="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1" xfId="0" applyFont="1" applyBorder="1" applyAlignment="1">
      <alignment horizontal="center" vertical="center"/>
    </xf>
    <xf numFmtId="0" fontId="13" fillId="0" borderId="15" xfId="0" applyFont="1" applyBorder="1" applyAlignment="1">
      <alignment horizontal="center" vertical="center"/>
    </xf>
    <xf numFmtId="0" fontId="3" fillId="6" borderId="12" xfId="0" applyFont="1" applyFill="1" applyBorder="1" applyAlignment="1">
      <alignment wrapText="1"/>
    </xf>
    <xf numFmtId="0" fontId="27" fillId="0" borderId="92" xfId="0" applyFont="1" applyFill="1" applyBorder="1" applyAlignment="1">
      <alignment horizontal="center"/>
    </xf>
    <xf numFmtId="0" fontId="27" fillId="0" borderId="87" xfId="0" applyFont="1" applyFill="1" applyBorder="1" applyAlignment="1">
      <alignment horizontal="center"/>
    </xf>
    <xf numFmtId="0" fontId="27" fillId="0" borderId="93" xfId="0" applyFont="1" applyFill="1" applyBorder="1" applyAlignment="1">
      <alignment horizontal="center"/>
    </xf>
    <xf numFmtId="0" fontId="17" fillId="0" borderId="17" xfId="0" applyFont="1" applyFill="1" applyBorder="1" applyAlignment="1">
      <alignment horizontal="center"/>
    </xf>
    <xf numFmtId="0" fontId="26" fillId="0" borderId="91" xfId="0" applyFont="1" applyFill="1" applyBorder="1" applyAlignment="1">
      <alignment horizontal="center"/>
    </xf>
    <xf numFmtId="0" fontId="1" fillId="2" borderId="4" xfId="0" applyFont="1" applyFill="1" applyBorder="1" applyAlignment="1">
      <alignment horizontal="center" vertical="center"/>
    </xf>
    <xf numFmtId="0" fontId="1" fillId="2" borderId="8" xfId="0" applyFont="1" applyFill="1" applyBorder="1" applyAlignment="1">
      <alignment horizontal="center" vertical="center"/>
    </xf>
    <xf numFmtId="165" fontId="25" fillId="4" borderId="6" xfId="0" applyNumberFormat="1" applyFont="1" applyFill="1" applyBorder="1" applyAlignment="1">
      <alignment horizontal="left"/>
    </xf>
    <xf numFmtId="165" fontId="25" fillId="4" borderId="1" xfId="0" applyNumberFormat="1" applyFont="1" applyFill="1" applyBorder="1" applyAlignment="1">
      <alignment horizontal="left"/>
    </xf>
    <xf numFmtId="0" fontId="1" fillId="2" borderId="6" xfId="0" applyFont="1" applyFill="1" applyBorder="1"/>
    <xf numFmtId="0" fontId="1" fillId="2" borderId="7" xfId="0" applyFont="1" applyFill="1" applyBorder="1"/>
    <xf numFmtId="0" fontId="1" fillId="2" borderId="1" xfId="0" applyFont="1" applyFill="1" applyBorder="1"/>
    <xf numFmtId="0" fontId="1" fillId="2" borderId="6" xfId="0" applyFont="1" applyFill="1" applyBorder="1" applyAlignment="1">
      <alignment horizontal="center"/>
    </xf>
    <xf numFmtId="0" fontId="1" fillId="2" borderId="1" xfId="0" applyFont="1" applyFill="1" applyBorder="1" applyAlignment="1">
      <alignment horizontal="center"/>
    </xf>
    <xf numFmtId="0" fontId="1" fillId="2" borderId="80" xfId="0" applyFont="1" applyFill="1" applyBorder="1" applyAlignment="1">
      <alignment horizontal="center"/>
    </xf>
    <xf numFmtId="0" fontId="8" fillId="0" borderId="13" xfId="0" applyFont="1" applyBorder="1" applyAlignment="1" applyProtection="1">
      <alignment horizontal="center"/>
      <protection locked="0"/>
    </xf>
    <xf numFmtId="0" fontId="8"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55">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20" dT="2023-02-22T18:56:26.14" personId="{A74F0B81-6ACB-8D46-A053-26161FF55584}" id="{4C3A5EA4-339C-441E-A62A-FB5CF17A97DE}">
    <text>eigentlich 16:15, wird aber im Plan zu klein angezeigt</text>
  </threadedComment>
  <threadedComment ref="D20" dT="2023-02-22T18:55:31.58" personId="{A74F0B81-6ACB-8D46-A053-26161FF55584}" id="{676D13EF-E117-4BD2-9E6E-4BC8BA6C8B1C}">
    <text>eigentlich 02:30, wird aber im Plan zu klein angezeigt</text>
  </threadedComment>
  <threadedComment ref="D28" dT="2023-03-20T13:16:52.10" personId="{A74F0B81-6ACB-8D46-A053-26161FF55584}" id="{08282C50-1F64-4E7D-9D6B-8FA69D095E45}">
    <text>wie lange dauert Doku Nachmittag?</text>
  </threadedComment>
  <threadedComment ref="D35" dT="2023-02-13T15:53:29.18" personId="{0CF57073-34A5-414D-98BB-AAC443D07575}" id="{411B5C42-839E-411F-8A35-F472ABFDE651}">
    <text>wie lange dauert Doku Nachmittag?</text>
  </threadedComment>
  <threadedComment ref="D36"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4.xml><?xml version="1.0" encoding="utf-8"?>
<ThreadedComments xmlns="http://schemas.microsoft.com/office/spreadsheetml/2018/threadedcomments" xmlns:x="http://schemas.openxmlformats.org/spreadsheetml/2006/main">
  <threadedComment ref="B7" dT="2023-07-17T13:39:13.44" personId="{A74F0B81-6ACB-8D46-A053-26161FF55584}" id="{8A9B95A0-6D25-4612-9682-C6E91676618D}">
    <text>Melanie ist im September im 8. Monat. Wenn möglich nur noch zusätzlich einplanen.</text>
  </threadedComment>
  <threadedComment ref="B9" dT="2023-07-17T13:39:56.48" personId="{A74F0B81-6ACB-8D46-A053-26161FF55584}" id="{182F8165-610B-467A-82F7-2A69CE7B4141}">
    <text>Simona ist weiterhin im Krankenstand.</text>
  </threadedComment>
  <threadedComment ref="B11" dT="2023-07-17T13:39:45.12" personId="{A74F0B81-6ACB-8D46-A053-26161FF55584}" id="{A6B0AFF9-4AA9-4B97-898B-88A08114BD95}">
    <text>Daniel Grob ist neu bei uns. Er pendelt mit dem ÖV und ich versuche ihm entgegen zu kommen und nur durchgehende Dienste zu planen. S2 oder F1.</text>
  </threadedComment>
  <threadedComment ref="C12" dT="2023-03-20T20:33:36.74" personId="{A74F0B81-6ACB-8D46-A053-26161FF55584}" id="{0A25C8D5-ECFC-4FB1-85A9-2D300F9EA1F5}">
    <text>eigentlich 90, aber gem. Monika aktuell 100 einplanen</text>
  </threadedComment>
  <threadedComment ref="B14" dT="2023-07-17T13:40:22.05" personId="{A74F0B81-6ACB-8D46-A053-26161FF55584}" id="{9E7028DE-F519-4580-973D-41C84994B5ED}">
    <text>Milka wäre auch noch ein Springer für die Pflege, sie hilft im August voll in der Pflege aus. Also wenn die Alma Dienste abgedeckt sind, kann man sie auch in der Pflege planen.</text>
  </threadedComment>
  <threadedComment ref="B19" dT="2023-07-17T13:38:31.51" personId="{A74F0B81-6ACB-8D46-A053-26161FF55584}" id="{7BFBB72B-AA69-424B-9B93-1545AB9C08EA}">
    <text>3. LJ (einzige LE, die zum Bedarf zählt)</text>
  </threadedComment>
</ThreadedComments>
</file>

<file path=xl/threadedComments/threadedComment5.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T4" dT="2023-02-23T16:09:33.81" personId="{0CF57073-34A5-414D-98BB-AAC443D07575}" id="{08DEC01A-0E68-4572-B9A8-DB0742DA0672}">
    <text>wenn neutral = 3 - 2, wenn wichtig = 2 - 1, unwichtig wird nicht auf WE geachtet.
Leer = neutral</text>
  </threadedComment>
  <threadedComment ref="T4" dT="2023-05-11T09:18:51.15" personId="{A74F0B81-6ACB-8D46-A053-26161FF55584}" id="{8FDA6831-A0E1-4D8D-B280-9FE4AD5F0DA7}" parentId="{08DEC01A-0E68-4572-B9A8-DB0742DA0672}">
    <text>nur in Ausnahmefällen werden 3 WE verteilt, deshalb max auf 2 gesetzt.</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J7" dT="2023-03-02T07:48:32.68" personId="{A74F0B81-6ACB-8D46-A053-26161FF55584}" id="{975EEF6F-94D2-4249-8E84-698C47BDC4E4}">
    <text>soll max. 4er Blöcke machen, sie ist schon 64 Jahre alt, ist zu streng.</text>
  </threadedComment>
  <threadedComment ref="T7" dT="2022-10-03T17:38:22.75" personId="{A74F0B81-6ACB-8D46-A053-26161FF55584}" id="{66ED8BC8-CB1D-4DBD-A433-E946FAAB6607}">
    <text>Bereit, 2-3 WE zu arbeiten</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7-17T13:39:13.44" personId="{A74F0B81-6ACB-8D46-A053-26161FF55584}" id="{4C24A843-8E23-486C-ABB2-DE1824225F41}">
    <text>Melanie ist im September im 8. Monat. Wenn möglich nur noch zusätzlich einplanen.</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2-10-03T17:46:35.95" personId="{A74F0B81-6ACB-8D46-A053-26161FF55584}" id="{23DD3B85-DDC3-43B2-BD44-0B229851BCFE}">
    <text>Bereit, 2/4 oder 3/5 zu arbeiten</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2-10-03T17:46:35.95" personId="{A74F0B81-6ACB-8D46-A053-26161FF55584}" id="{1147671D-92F1-457F-9CDB-8AAD0712BD74}">
    <text>Bereit, 2/4 oder 3/5 zu arbeiten</text>
  </threadedComment>
  <threadedComment ref="B11" dT="2023-07-17T13:39:56.48" personId="{A74F0B81-6ACB-8D46-A053-26161FF55584}" id="{3C9543FB-7D19-4561-89CE-7DD23C272183}">
    <text>Simona ist weiterhin im Krankenstand.</text>
  </threadedComment>
  <threadedComment ref="K11" dT="2022-11-22T15:51:13.71" personId="{0CF57073-34A5-414D-98BB-AAC443D07575}" id="{2ABBAF9B-E1F0-4B37-A2FE-DEE16A600004}">
    <text>24-72</text>
  </threadedComment>
  <threadedComment ref="L11" dT="2022-12-02T22:30:51.20" personId="{A74F0B81-6ACB-8D46-A053-26161FF55584}" id="{44028F63-3529-4317-AA7D-9A4D934DE006}">
    <text>war S : 5 - 1</text>
  </threadedComment>
  <threadedComment ref="T11" dT="2022-10-03T17:39:41.00" personId="{A74F0B81-6ACB-8D46-A053-26161FF55584}" id="{8C66B2B3-24BC-44FE-9D45-9C9C24C73683}">
    <text>Bereit, 2 WE zu arbeiten</text>
  </threadedComment>
  <threadedComment ref="B13" dT="2023-07-17T13:39:45.12" personId="{A74F0B81-6ACB-8D46-A053-26161FF55584}" id="{D00CDAD4-E26B-4398-9009-F7C22DE08D66}">
    <text>Daniel Grob ist neu bei uns. Er pendelt mit dem ÖV und ich versuche ihm entgegen zu kommen und nur durchgehende Dienste zu planen. S2 oder F1.</text>
  </threadedComment>
  <threadedComment ref="F13" dT="2023-07-17T21:28:42.84" personId="{A74F0B81-6ACB-8D46-A053-26161FF55584}" id="{F8F4E404-A10F-47B8-A869-70E3B4F0CA96}">
    <text>nur S2 oder F1 verteilen</text>
  </threadedComment>
  <threadedComment ref="T14" dT="2022-10-03T17:39:41.00" personId="{A74F0B81-6ACB-8D46-A053-26161FF55584}" id="{7ECBB0B6-8065-46E3-BC2A-F6ED45A069B3}">
    <text>Bereit, 2 WE zu arbeiten</text>
  </threadedComment>
  <threadedComment ref="J15" dT="2023-02-22T19:19:58.56" personId="{A74F0B81-6ACB-8D46-A053-26161FF55584}" id="{B56E303B-A0FA-430A-9EF1-6148B685604B}">
    <text>5 - 4 - 1</text>
  </threadedComment>
  <threadedComment ref="K15" dT="2023-01-24T08:54:55.39" personId="{A74F0B81-6ACB-8D46-A053-26161FF55584}" id="{E8B985B5-63FC-459B-BD54-758866BAAA98}">
    <text>war leer</text>
  </threadedComment>
  <threadedComment ref="T15" dT="2022-10-03T17:49:52.55" personId="{A74F0B81-6ACB-8D46-A053-26161FF55584}" id="{E0EF3543-8F51-42A5-BD0D-C1D47DC1B5CC}">
    <text>Abgemacht, max. 1 WE zu arbeiten</text>
  </threadedComment>
  <threadedComment ref="B16" dT="2023-07-17T13:40:22.05" personId="{A74F0B81-6ACB-8D46-A053-26161FF55584}" id="{17E517B5-D612-4158-8EBD-0924C7713B1E}">
    <text>Milka wäre auch noch ein Springer für die Pflege, sie hilft im August voll in der Pflege aus. Also wenn die Alma Dienste abgedeckt sind, kann man sie auch in der Pflege planen.</text>
  </threadedComment>
  <threadedComment ref="T16" dT="2022-10-03T17:39:41.00" personId="{A74F0B81-6ACB-8D46-A053-26161FF55584}" id="{9315C8E9-2CF7-404B-B551-90E8BC4D6079}">
    <text>Bereit, 2 WE zu arbeiten</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G18" dT="2023-01-27T00:02:08.03" personId="{A74F0B81-6ACB-8D46-A053-26161FF55584}" id="{CC79F2AF-5AFD-4833-BA4D-2B357DAB91AC}">
    <text>war A1 - Fr Sa So Mo</text>
  </threadedComment>
  <threadedComment ref="I18" dT="2023-01-25T09:56:15.83" personId="{A74F0B81-6ACB-8D46-A053-26161FF55584}" id="{18BAF795-DD03-4837-B28C-BB43A403FB3F}">
    <text>war A6 : 2
wurde geändert wegen Bedarfsregeln für Almas (jeder 3x A3)</text>
  </threadedComment>
  <threadedComment ref="T18" dT="2022-10-03T17:39:41.00" personId="{A74F0B81-6ACB-8D46-A053-26161FF55584}" id="{EFC6CEDD-9332-4383-93D1-5D78F6F86632}">
    <text>Gem. MA-Profil: Bereit, 2 WE zu arbeiten
Gem. Monika: arbeitet gerne an WE, Roswitha mehr WE einplanen, Heidi weniger.</text>
  </threadedComment>
  <threadedComment ref="G19" dT="2023-01-27T00:02:08.03" personId="{A74F0B81-6ACB-8D46-A053-26161FF55584}" id="{B12594FB-F092-4FBA-A299-DC9246D2665D}">
    <text>war A1 - Fr Sa So Mo</text>
  </threadedComment>
  <threadedComment ref="I19" dT="2023-01-25T09:56:15.83" personId="{A74F0B81-6ACB-8D46-A053-26161FF55584}" id="{E788BA75-9918-4069-9E09-FA3C975F97BD}">
    <text>war A6 : 2
wurde geändert wegen Bedarfsregeln für Almas (jeder 3x A3)</text>
  </threadedComment>
  <threadedComment ref="B21" dT="2023-07-17T13:38:31.51" personId="{A74F0B81-6ACB-8D46-A053-26161FF55584}" id="{F2BDD531-48E4-4937-B216-56C714323300}">
    <text>3. LJ (einzige LE, die zum Bedarf zählt)</text>
  </threadedComment>
</ThreadedComments>
</file>

<file path=xl/threadedComments/threadedComment6.xml><?xml version="1.0" encoding="utf-8"?>
<ThreadedComments xmlns="http://schemas.microsoft.com/office/spreadsheetml/2018/threadedcomments" xmlns:x="http://schemas.openxmlformats.org/spreadsheetml/2006/main">
  <threadedComment ref="B9" dT="2023-07-17T13:39:13.44" personId="{A74F0B81-6ACB-8D46-A053-26161FF55584}" id="{8CF4EE10-0705-45D3-8223-A6467D873734}">
    <text>Melanie ist im September im 8. Monat. Wenn möglich nur noch zusätzlich einplanen.</text>
  </threadedComment>
  <threadedComment ref="B11" dT="2023-07-17T13:39:56.48" personId="{A74F0B81-6ACB-8D46-A053-26161FF55584}" id="{74388BE1-0AF8-49D0-AB04-73030EB5DA10}">
    <text>Simona ist weiterhin im Krankenstand.</text>
  </threadedComment>
  <threadedComment ref="B13" dT="2023-07-17T13:39:45.12" personId="{A74F0B81-6ACB-8D46-A053-26161FF55584}" id="{34E8D138-C8D1-44E1-97D2-A993DFE8C955}">
    <text>Daniel Grob ist neu bei uns. Er pendelt mit dem ÖV und ich versuche ihm entgegen zu kommen und nur durchgehende Dienste zu planen. S2 oder F1.</text>
  </threadedComment>
  <threadedComment ref="F13" dT="2023-08-23T18:56:52.38" personId="{A74F0B81-6ACB-8D46-A053-26161FF55584}" id="{808B17AD-CA56-4602-99E6-F2C2A2C468C9}">
    <text>_G2</text>
  </threadedComment>
  <threadedComment ref="G13" dT="2023-08-23T18:55:51.78" personId="{A74F0B81-6ACB-8D46-A053-26161FF55584}" id="{074A0C69-94B3-4C3D-82BD-D0BBBAC45608}">
    <text>S3</text>
  </threadedComment>
  <threadedComment ref="B16" dT="2023-07-17T13:40:22.05" personId="{A74F0B81-6ACB-8D46-A053-26161FF55584}" id="{9505C9FC-1717-431B-8097-0A345F294EA2}">
    <text>Milka wäre auch noch ein Springer für die Pflege, sie hilft im August voll in der Pflege aus. Also wenn die Alma Dienste abgedeckt sind, kann man sie auch in der Pflege planen.</text>
  </threadedComment>
  <threadedComment ref="E20" dT="2023-08-23T19:00:26.03" personId="{A74F0B81-6ACB-8D46-A053-26161FF55584}" id="{34E828A0-CF93-49D5-924E-46CB3DE9578F}">
    <text>S3</text>
  </threadedComment>
  <threadedComment ref="B21" dT="2023-07-17T13:38:31.51" personId="{A74F0B81-6ACB-8D46-A053-26161FF55584}" id="{19006E6A-72B1-4FEC-AEAD-F743F38DFFFA}">
    <text>3. LJ (einzige LE, die zum Bedarf zählt)</text>
  </threadedComment>
</ThreadedComments>
</file>

<file path=xl/threadedComments/threadedComment7.xml><?xml version="1.0" encoding="utf-8"?>
<ThreadedComments xmlns="http://schemas.microsoft.com/office/spreadsheetml/2018/threadedcomments" xmlns:x="http://schemas.openxmlformats.org/spreadsheetml/2006/main">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W6" dT="2023-05-23T20:27:31.18" personId="{A74F0B81-6ACB-8D46-A053-26161FF55584}" id="{AA3EECED-93BC-4C0D-B2FC-5188E1043189}">
    <text>1</text>
  </threadedComment>
  <threadedComment ref="W7" dT="2023-05-23T20:27:38.72" personId="{A74F0B81-6ACB-8D46-A053-26161FF55584}" id="{9CCD5C7E-B493-44C4-B773-4D19C533216F}">
    <text>1</text>
  </threadedComment>
  <threadedComment ref="W8" dT="2023-05-23T20:28:12.55" personId="{A74F0B81-6ACB-8D46-A053-26161FF55584}" id="{E178F71C-293D-4DE3-BD9F-FFBB96A65123}">
    <text>1</text>
  </threadedComment>
  <threadedComment ref="W10" dT="2023-05-23T20:28:36.23" personId="{A74F0B81-6ACB-8D46-A053-26161FF55584}" id="{EBBFB65C-DE30-455C-82F6-4729E6E9C50A}">
    <text>1</text>
  </threadedComment>
  <threadedComment ref="W16" dT="2023-01-25T19:03:40.31" personId="{A74F0B81-6ACB-8D46-A053-26161FF55584}" id="{0207A5FF-0A28-4570-A385-C6B45DE1CC7D}">
    <text>Obergrenze bei der Bedarfsabdeckung (3 wäre ok ab 13 Uhr) -&gt; gilt für alle roten oben</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19" dT="2023-05-24T10:30:00.05" personId="{A74F0B81-6ACB-8D46-A053-26161FF55584}" id="{3308B317-6CEA-4648-B432-61FB8ECCC3AC}">
    <text>2</text>
  </threadedComment>
  <threadedComment ref="W28" dT="2023-01-25T15:43:40.96" personId="{A74F0B81-6ACB-8D46-A053-26161FF55584}" id="{0CEF8ED3-8F87-493D-89C6-95A6B97248CF}">
    <text>jeder MA 2-3x im Monat. Wird begrenzt über Monatslimiten. -&gt; überprüfen, ob das klappt.</text>
  </threadedComment>
  <threadedComment ref="W28" dT="2023-01-26T19:04:07.11" personId="{A74F0B81-6ACB-8D46-A053-26161FF55584}" id="{39BCEC19-0BAB-47C6-BEA3-1E51E2F33168}" parentId="{0CEF8ED3-8F87-493D-89C6-95A6B97248CF}">
    <text>aktuell über 1x pro Woche gelöst</text>
  </threadedComment>
  <threadedComment ref="B31" dT="2022-11-23T11:47:15.70" personId="{A74F0B81-6ACB-8D46-A053-26161FF55584}" id="{1AF99646-5436-4137-A67E-955F8614BAFA}">
    <text>Bedarfsprofil für WE hat andere Zeiten, nicht nur andere Bedarfe, deshalb hier separat definiert.</text>
  </threadedComment>
  <threadedComment ref="A32"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7"/>
  <sheetViews>
    <sheetView zoomScaleNormal="100" workbookViewId="0">
      <selection activeCell="A10" sqref="A10"/>
    </sheetView>
  </sheetViews>
  <sheetFormatPr baseColWidth="10" defaultColWidth="11.453125" defaultRowHeight="12.5"/>
  <cols>
    <col min="2" max="2" width="32" customWidth="1"/>
  </cols>
  <sheetData>
    <row r="1" spans="1:3" ht="13">
      <c r="A1" s="32" t="s">
        <v>211</v>
      </c>
      <c r="B1" s="33"/>
    </row>
    <row r="2" spans="1:3" ht="13">
      <c r="A2" s="62" t="s">
        <v>0</v>
      </c>
      <c r="B2" s="62" t="s">
        <v>1</v>
      </c>
      <c r="C2" s="32" t="s">
        <v>172</v>
      </c>
    </row>
    <row r="3" spans="1:3">
      <c r="A3" s="63" t="s">
        <v>199</v>
      </c>
      <c r="B3" s="64" t="s">
        <v>212</v>
      </c>
      <c r="C3" t="s">
        <v>200</v>
      </c>
    </row>
    <row r="4" spans="1:3">
      <c r="A4" s="25" t="s">
        <v>202</v>
      </c>
      <c r="B4" s="1" t="s">
        <v>213</v>
      </c>
      <c r="C4" t="s">
        <v>200</v>
      </c>
    </row>
    <row r="5" spans="1:3">
      <c r="A5" s="25" t="s">
        <v>207</v>
      </c>
      <c r="B5" s="1" t="s">
        <v>214</v>
      </c>
      <c r="C5" t="s">
        <v>201</v>
      </c>
    </row>
    <row r="6" spans="1:3">
      <c r="A6" s="25" t="s">
        <v>215</v>
      </c>
      <c r="B6" s="1" t="s">
        <v>216</v>
      </c>
      <c r="C6" t="s">
        <v>173</v>
      </c>
    </row>
    <row r="7" spans="1:3">
      <c r="A7" s="25" t="s">
        <v>504</v>
      </c>
      <c r="B7" s="1" t="s">
        <v>505</v>
      </c>
      <c r="C7" t="s">
        <v>203</v>
      </c>
    </row>
    <row r="8" spans="1:3">
      <c r="A8" s="25" t="s">
        <v>217</v>
      </c>
      <c r="B8" s="1" t="s">
        <v>218</v>
      </c>
      <c r="C8" t="s">
        <v>203</v>
      </c>
    </row>
    <row r="9" spans="1:3">
      <c r="A9" s="25" t="s">
        <v>448</v>
      </c>
      <c r="B9" s="1" t="s">
        <v>449</v>
      </c>
      <c r="C9" t="s">
        <v>450</v>
      </c>
    </row>
    <row r="10" spans="1:3">
      <c r="A10" s="25" t="s">
        <v>280</v>
      </c>
      <c r="B10" s="1" t="s">
        <v>509</v>
      </c>
      <c r="C10" t="s">
        <v>450</v>
      </c>
    </row>
    <row r="12" spans="1:3" ht="13">
      <c r="B12" s="35" t="s">
        <v>2</v>
      </c>
    </row>
    <row r="13" spans="1:3">
      <c r="B13" s="29"/>
    </row>
    <row r="14" spans="1:3" ht="13">
      <c r="B14" s="35"/>
      <c r="C14" s="7"/>
    </row>
    <row r="15" spans="1:3">
      <c r="C15" s="7"/>
    </row>
    <row r="16" spans="1:3">
      <c r="C16" s="7"/>
    </row>
    <row r="17" spans="3:3">
      <c r="C17" s="7"/>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6"/>
  <sheetViews>
    <sheetView zoomScaleNormal="100" workbookViewId="0">
      <selection activeCell="A14" sqref="A14:XFD14"/>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568" t="s">
        <v>29</v>
      </c>
      <c r="B1" s="316"/>
      <c r="C1" s="316"/>
      <c r="D1" s="316"/>
      <c r="E1" s="316"/>
      <c r="F1" s="569"/>
      <c r="G1" s="316" t="s">
        <v>219</v>
      </c>
      <c r="H1" s="570"/>
      <c r="M1" s="18"/>
    </row>
    <row r="2" spans="1:13" ht="13.5" thickBot="1">
      <c r="A2" s="571" t="s">
        <v>0</v>
      </c>
      <c r="B2" s="20" t="s">
        <v>1</v>
      </c>
      <c r="C2" s="20" t="s">
        <v>30</v>
      </c>
      <c r="D2" s="20" t="s">
        <v>31</v>
      </c>
      <c r="E2" s="20" t="s">
        <v>32</v>
      </c>
      <c r="F2" s="21" t="s">
        <v>33</v>
      </c>
      <c r="G2" s="572" t="s">
        <v>220</v>
      </c>
      <c r="H2" s="573" t="s">
        <v>69</v>
      </c>
      <c r="M2" s="18"/>
    </row>
    <row r="3" spans="1:13" ht="13">
      <c r="A3" s="289" t="s">
        <v>221</v>
      </c>
      <c r="B3" s="290" t="s">
        <v>222</v>
      </c>
      <c r="C3" s="291">
        <v>0.33333333333333331</v>
      </c>
      <c r="D3" s="291">
        <v>0.33333333333333331</v>
      </c>
      <c r="E3" s="291">
        <v>0.29166666666666669</v>
      </c>
      <c r="F3" s="291">
        <v>0.29166666666666669</v>
      </c>
      <c r="G3" s="290"/>
      <c r="H3" s="292"/>
      <c r="M3" s="18"/>
    </row>
    <row r="4" spans="1:13" ht="13">
      <c r="A4" s="293" t="s">
        <v>397</v>
      </c>
      <c r="B4" s="249" t="s">
        <v>399</v>
      </c>
      <c r="C4" s="252">
        <v>0.33333333333333331</v>
      </c>
      <c r="D4" s="252">
        <v>0.16666666666666666</v>
      </c>
      <c r="E4" s="252">
        <v>0.16666666666666666</v>
      </c>
      <c r="F4" s="252">
        <v>0.29166666666666669</v>
      </c>
      <c r="G4" s="249"/>
      <c r="H4" s="294" t="s">
        <v>223</v>
      </c>
      <c r="M4" s="18"/>
    </row>
    <row r="5" spans="1:13">
      <c r="A5" s="295" t="s">
        <v>401</v>
      </c>
      <c r="B5" s="70" t="s">
        <v>400</v>
      </c>
      <c r="C5" s="71">
        <v>0.54166666666666663</v>
      </c>
      <c r="D5" s="72">
        <v>0.125</v>
      </c>
      <c r="E5" s="72">
        <v>0.125</v>
      </c>
      <c r="F5" s="72">
        <v>0.29166666666666669</v>
      </c>
      <c r="G5" s="70"/>
      <c r="H5" s="296"/>
    </row>
    <row r="6" spans="1:13">
      <c r="A6" s="297" t="s">
        <v>204</v>
      </c>
      <c r="B6" s="244" t="s">
        <v>224</v>
      </c>
      <c r="C6" s="246">
        <v>0.29166666666666669</v>
      </c>
      <c r="D6" s="246">
        <v>0.38125000000000003</v>
      </c>
      <c r="E6" s="246">
        <v>0.35000000000000003</v>
      </c>
      <c r="F6" s="246">
        <v>0.29166666666666669</v>
      </c>
      <c r="G6" s="244"/>
      <c r="H6" s="294"/>
    </row>
    <row r="7" spans="1:13" ht="13">
      <c r="A7" s="298" t="s">
        <v>225</v>
      </c>
      <c r="B7" s="245" t="s">
        <v>226</v>
      </c>
      <c r="C7" s="247">
        <v>0.3125</v>
      </c>
      <c r="D7" s="247">
        <v>0.47500000000000003</v>
      </c>
      <c r="E7" s="247">
        <v>0.35000000000000003</v>
      </c>
      <c r="F7" s="246">
        <v>0.29166666666666669</v>
      </c>
      <c r="G7" s="245" t="s">
        <v>227</v>
      </c>
      <c r="H7" s="294"/>
      <c r="M7" s="18"/>
    </row>
    <row r="8" spans="1:13" ht="13">
      <c r="A8" s="293" t="s">
        <v>398</v>
      </c>
      <c r="B8" s="249" t="s">
        <v>228</v>
      </c>
      <c r="C8" s="252">
        <v>0.3125</v>
      </c>
      <c r="D8" s="252">
        <v>0.22916666666666666</v>
      </c>
      <c r="E8" s="252">
        <v>0.22916666666666666</v>
      </c>
      <c r="F8" s="252">
        <v>0.29166666666666669</v>
      </c>
      <c r="G8" s="249"/>
      <c r="H8" s="294" t="s">
        <v>223</v>
      </c>
      <c r="M8" s="18"/>
    </row>
    <row r="9" spans="1:13" ht="13">
      <c r="A9" s="299" t="s">
        <v>404</v>
      </c>
      <c r="B9" s="249" t="s">
        <v>229</v>
      </c>
      <c r="C9" s="252">
        <v>0.66666666666666663</v>
      </c>
      <c r="D9" s="252">
        <v>0.12083333333333333</v>
      </c>
      <c r="E9" s="252">
        <v>0.12083333333333333</v>
      </c>
      <c r="F9" s="252">
        <v>0.29166666666666669</v>
      </c>
      <c r="G9" s="249"/>
      <c r="H9" s="294" t="s">
        <v>223</v>
      </c>
      <c r="M9" s="18"/>
    </row>
    <row r="10" spans="1:13" ht="13">
      <c r="A10" s="298" t="s">
        <v>230</v>
      </c>
      <c r="B10" s="245" t="s">
        <v>231</v>
      </c>
      <c r="C10" s="247">
        <v>0.3125</v>
      </c>
      <c r="D10" s="247">
        <v>0.54166666666666663</v>
      </c>
      <c r="E10" s="247">
        <v>0.34375</v>
      </c>
      <c r="F10" s="247">
        <v>0.29166666666666669</v>
      </c>
      <c r="G10" s="245" t="s">
        <v>232</v>
      </c>
      <c r="H10" s="294"/>
      <c r="M10" s="18"/>
    </row>
    <row r="11" spans="1:13">
      <c r="A11" s="299" t="s">
        <v>407</v>
      </c>
      <c r="B11" s="249" t="s">
        <v>233</v>
      </c>
      <c r="C11" s="252">
        <v>0.3125</v>
      </c>
      <c r="D11" s="252">
        <v>0.15625</v>
      </c>
      <c r="E11" s="252">
        <v>0.15625</v>
      </c>
      <c r="F11" s="252">
        <v>0.29166666666666669</v>
      </c>
      <c r="G11" s="249"/>
      <c r="H11" s="294" t="s">
        <v>223</v>
      </c>
    </row>
    <row r="12" spans="1:13" ht="13">
      <c r="A12" s="299" t="s">
        <v>408</v>
      </c>
      <c r="B12" s="249" t="s">
        <v>234</v>
      </c>
      <c r="C12" s="252">
        <v>0.66666666666666663</v>
      </c>
      <c r="D12" s="252">
        <v>0.1875</v>
      </c>
      <c r="E12" s="252">
        <v>0.1875</v>
      </c>
      <c r="F12" s="252">
        <v>0.29166666666666669</v>
      </c>
      <c r="G12" s="249"/>
      <c r="H12" s="294" t="s">
        <v>223</v>
      </c>
      <c r="M12" s="18"/>
    </row>
    <row r="13" spans="1:13" ht="13">
      <c r="A13" s="298" t="s">
        <v>235</v>
      </c>
      <c r="B13" s="245" t="s">
        <v>236</v>
      </c>
      <c r="C13" s="247">
        <v>0.29166666666666669</v>
      </c>
      <c r="D13" s="247">
        <v>0.25</v>
      </c>
      <c r="E13" s="247">
        <v>0.25</v>
      </c>
      <c r="F13" s="247">
        <v>0.29166666666666669</v>
      </c>
      <c r="G13" s="245"/>
      <c r="H13" s="294"/>
      <c r="M13" s="18"/>
    </row>
    <row r="14" spans="1:13" ht="13">
      <c r="A14" s="300" t="s">
        <v>237</v>
      </c>
      <c r="B14" s="253" t="s">
        <v>238</v>
      </c>
      <c r="C14" s="72">
        <v>0.47916666666666669</v>
      </c>
      <c r="D14" s="72">
        <v>0.375</v>
      </c>
      <c r="E14" s="72">
        <v>0.34375</v>
      </c>
      <c r="F14" s="72">
        <v>0.29166666666666669</v>
      </c>
      <c r="G14" s="253"/>
      <c r="H14" s="296"/>
      <c r="M14" s="18"/>
    </row>
    <row r="15" spans="1:13">
      <c r="A15" s="298" t="s">
        <v>239</v>
      </c>
      <c r="B15" s="245" t="s">
        <v>240</v>
      </c>
      <c r="C15" s="247">
        <v>0.3125</v>
      </c>
      <c r="D15" s="247">
        <v>0.46875</v>
      </c>
      <c r="E15" s="247">
        <v>0.34375</v>
      </c>
      <c r="F15" s="246">
        <v>0.29166666666666669</v>
      </c>
      <c r="G15" s="245" t="s">
        <v>241</v>
      </c>
      <c r="H15" s="294"/>
    </row>
    <row r="16" spans="1:13" ht="13">
      <c r="A16" s="298" t="s">
        <v>242</v>
      </c>
      <c r="B16" s="245" t="s">
        <v>243</v>
      </c>
      <c r="C16" s="247">
        <v>0.3125</v>
      </c>
      <c r="D16" s="252">
        <v>0.29166666666666669</v>
      </c>
      <c r="E16" s="247">
        <v>0.23958333333333334</v>
      </c>
      <c r="F16" s="247">
        <v>0.29166666666666669</v>
      </c>
      <c r="G16" s="245"/>
      <c r="H16" s="294"/>
      <c r="M16" s="18"/>
    </row>
    <row r="17" spans="1:13" ht="13">
      <c r="A17" s="298" t="s">
        <v>244</v>
      </c>
      <c r="B17" s="244" t="s">
        <v>245</v>
      </c>
      <c r="C17" s="246">
        <v>0.3125</v>
      </c>
      <c r="D17" s="246">
        <v>0.35416666666666669</v>
      </c>
      <c r="E17" s="246">
        <v>0.32291666666666669</v>
      </c>
      <c r="F17" s="246">
        <v>0.29166666666666669</v>
      </c>
      <c r="G17" s="244"/>
      <c r="H17" s="294"/>
      <c r="M17" s="18"/>
    </row>
    <row r="18" spans="1:13" ht="13">
      <c r="A18" s="297" t="s">
        <v>246</v>
      </c>
      <c r="B18" s="244" t="s">
        <v>247</v>
      </c>
      <c r="C18" s="246">
        <v>0.42708333333333331</v>
      </c>
      <c r="D18" s="246">
        <v>0.35416666666666669</v>
      </c>
      <c r="E18" s="246">
        <v>0.33333333333333331</v>
      </c>
      <c r="F18" s="246">
        <v>0.29166666666666669</v>
      </c>
      <c r="G18" s="244"/>
      <c r="H18" s="294"/>
      <c r="M18" s="18"/>
    </row>
    <row r="19" spans="1:13" ht="13">
      <c r="A19" s="297" t="s">
        <v>440</v>
      </c>
      <c r="B19" s="244" t="s">
        <v>436</v>
      </c>
      <c r="C19" s="246">
        <v>0.42708333333333331</v>
      </c>
      <c r="D19" s="246">
        <v>0.35416666666666669</v>
      </c>
      <c r="E19" s="246">
        <v>0.33333333333333331</v>
      </c>
      <c r="F19" s="246">
        <v>0.29166666666666669</v>
      </c>
      <c r="G19" s="244"/>
      <c r="H19" s="294"/>
      <c r="M19" s="18"/>
    </row>
    <row r="20" spans="1:13" ht="13">
      <c r="A20" s="297" t="s">
        <v>248</v>
      </c>
      <c r="B20" s="244" t="s">
        <v>249</v>
      </c>
      <c r="C20" s="252">
        <v>0.67708333333333337</v>
      </c>
      <c r="D20" s="252">
        <v>0.29166666666666669</v>
      </c>
      <c r="E20" s="246">
        <v>0.10416666666666667</v>
      </c>
      <c r="F20" s="246">
        <v>0.29166666666666669</v>
      </c>
      <c r="G20" s="244"/>
      <c r="H20" s="294"/>
      <c r="M20" s="18"/>
    </row>
    <row r="21" spans="1:13" ht="13">
      <c r="A21" s="297" t="s">
        <v>439</v>
      </c>
      <c r="B21" s="244" t="s">
        <v>438</v>
      </c>
      <c r="C21" s="574">
        <v>0.47916666666666669</v>
      </c>
      <c r="D21" s="574">
        <v>0.3125</v>
      </c>
      <c r="E21" s="575">
        <v>0.29166666666666669</v>
      </c>
      <c r="F21" s="574">
        <v>0.29166666666666669</v>
      </c>
      <c r="G21" s="244"/>
      <c r="H21" s="294"/>
      <c r="M21" s="18"/>
    </row>
    <row r="22" spans="1:13" ht="13">
      <c r="A22" s="297" t="s">
        <v>250</v>
      </c>
      <c r="B22" s="244" t="s">
        <v>251</v>
      </c>
      <c r="C22" s="246">
        <v>0.48958333333333331</v>
      </c>
      <c r="D22" s="246">
        <v>0.29166666666666669</v>
      </c>
      <c r="E22" s="246">
        <v>0.26041666666666669</v>
      </c>
      <c r="F22" s="246">
        <v>0.29166666666666669</v>
      </c>
      <c r="G22" s="244"/>
      <c r="H22" s="294"/>
      <c r="M22" s="18"/>
    </row>
    <row r="23" spans="1:13" ht="13">
      <c r="A23" s="301" t="s">
        <v>381</v>
      </c>
      <c r="B23" s="74" t="s">
        <v>403</v>
      </c>
      <c r="C23" s="75">
        <v>0.29166666666666669</v>
      </c>
      <c r="D23" s="75">
        <v>0.38125000000000003</v>
      </c>
      <c r="E23" s="75">
        <v>0.35000000000000003</v>
      </c>
      <c r="F23" s="66">
        <v>0.29166666666666669</v>
      </c>
      <c r="G23" s="74"/>
      <c r="H23" s="302" t="s">
        <v>252</v>
      </c>
      <c r="M23" s="18"/>
    </row>
    <row r="24" spans="1:13" ht="13">
      <c r="A24" s="359" t="s">
        <v>442</v>
      </c>
      <c r="B24" s="245" t="s">
        <v>445</v>
      </c>
      <c r="C24" s="247">
        <v>0.3125</v>
      </c>
      <c r="D24" s="247">
        <v>0.54166666666666663</v>
      </c>
      <c r="E24" s="247">
        <v>0.34375</v>
      </c>
      <c r="F24" s="247">
        <v>0.29166666666666669</v>
      </c>
      <c r="G24" s="245" t="s">
        <v>232</v>
      </c>
      <c r="H24" s="303" t="s">
        <v>252</v>
      </c>
      <c r="M24" s="18"/>
    </row>
    <row r="25" spans="1:13" ht="13">
      <c r="A25" s="298" t="s">
        <v>389</v>
      </c>
      <c r="B25" s="245" t="s">
        <v>390</v>
      </c>
      <c r="C25" s="247">
        <v>0.29166666666666669</v>
      </c>
      <c r="D25" s="247">
        <v>0.38125000000000003</v>
      </c>
      <c r="E25" s="247">
        <v>0.35000000000000003</v>
      </c>
      <c r="F25" s="246">
        <v>0.29166666666666669</v>
      </c>
      <c r="G25" s="245"/>
      <c r="H25" s="303" t="s">
        <v>252</v>
      </c>
      <c r="M25" s="18"/>
    </row>
    <row r="26" spans="1:13" ht="13">
      <c r="A26" s="298" t="s">
        <v>391</v>
      </c>
      <c r="B26" s="245" t="s">
        <v>392</v>
      </c>
      <c r="C26" s="247">
        <v>0.29166666666666669</v>
      </c>
      <c r="D26" s="247">
        <v>0.38125000000000003</v>
      </c>
      <c r="E26" s="247">
        <v>0.35000000000000003</v>
      </c>
      <c r="F26" s="246">
        <v>0.29166666666666669</v>
      </c>
      <c r="G26" s="245"/>
      <c r="H26" s="303" t="s">
        <v>252</v>
      </c>
      <c r="M26" s="18"/>
    </row>
    <row r="27" spans="1:13">
      <c r="A27" s="297" t="s">
        <v>396</v>
      </c>
      <c r="B27" s="244" t="s">
        <v>396</v>
      </c>
      <c r="C27" s="247">
        <v>0.29166666666666669</v>
      </c>
      <c r="D27" s="247">
        <v>0.38125000000000003</v>
      </c>
      <c r="E27" s="247">
        <v>0.35000000000000003</v>
      </c>
      <c r="F27" s="246">
        <v>0.29166666666666669</v>
      </c>
      <c r="G27" s="244"/>
      <c r="H27" s="303" t="s">
        <v>252</v>
      </c>
    </row>
    <row r="28" spans="1:13">
      <c r="A28" s="297" t="s">
        <v>415</v>
      </c>
      <c r="B28" s="244" t="s">
        <v>419</v>
      </c>
      <c r="C28" s="251">
        <v>0.54166666666666663</v>
      </c>
      <c r="D28" s="251">
        <v>0.17500000000000002</v>
      </c>
      <c r="E28" s="251">
        <v>0.17500000000000002</v>
      </c>
      <c r="F28" s="251">
        <v>0.29166666666666669</v>
      </c>
      <c r="G28" s="248"/>
      <c r="H28" s="303" t="s">
        <v>252</v>
      </c>
    </row>
    <row r="29" spans="1:13">
      <c r="A29" s="297" t="s">
        <v>506</v>
      </c>
      <c r="B29" s="244" t="s">
        <v>510</v>
      </c>
      <c r="C29" s="247">
        <v>0.29166666666666669</v>
      </c>
      <c r="D29" s="247">
        <v>0.38125000000000003</v>
      </c>
      <c r="E29" s="247">
        <v>0.35000000000000003</v>
      </c>
      <c r="F29" s="246">
        <v>0.29166666666666669</v>
      </c>
      <c r="G29" s="244"/>
      <c r="H29" s="303" t="s">
        <v>252</v>
      </c>
    </row>
    <row r="30" spans="1:13">
      <c r="A30" s="297" t="s">
        <v>434</v>
      </c>
      <c r="B30" s="244" t="s">
        <v>435</v>
      </c>
      <c r="C30" s="247">
        <v>0.29166666666666669</v>
      </c>
      <c r="D30" s="247">
        <v>0.38125000000000003</v>
      </c>
      <c r="E30" s="247">
        <v>0.35000000000000003</v>
      </c>
      <c r="F30" s="246">
        <v>0.29166666666666669</v>
      </c>
      <c r="G30" s="244"/>
      <c r="H30" s="303" t="s">
        <v>252</v>
      </c>
    </row>
    <row r="31" spans="1:13" ht="13">
      <c r="A31" s="298" t="s">
        <v>383</v>
      </c>
      <c r="B31" s="245" t="s">
        <v>387</v>
      </c>
      <c r="C31" s="246">
        <v>0.33333333333333331</v>
      </c>
      <c r="D31" s="246">
        <v>0.33333333333333331</v>
      </c>
      <c r="E31" s="246">
        <v>0.29166666666666669</v>
      </c>
      <c r="F31" s="246">
        <v>0.29166666666666669</v>
      </c>
      <c r="G31" s="245"/>
      <c r="H31" s="303" t="s">
        <v>252</v>
      </c>
      <c r="M31" s="18"/>
    </row>
    <row r="32" spans="1:13" ht="13">
      <c r="A32" s="298" t="s">
        <v>386</v>
      </c>
      <c r="B32" s="245" t="s">
        <v>388</v>
      </c>
      <c r="C32" s="252">
        <v>0.3125</v>
      </c>
      <c r="D32" s="252">
        <v>0.47500000000000003</v>
      </c>
      <c r="E32" s="252">
        <v>0.35000000000000003</v>
      </c>
      <c r="F32" s="252">
        <v>0.29166666666666669</v>
      </c>
      <c r="G32" s="249" t="s">
        <v>241</v>
      </c>
      <c r="H32" s="303" t="s">
        <v>252</v>
      </c>
      <c r="M32" s="18"/>
    </row>
    <row r="33" spans="1:13" s="248" customFormat="1" ht="13">
      <c r="A33" s="174" t="s">
        <v>393</v>
      </c>
      <c r="B33" s="248" t="s">
        <v>394</v>
      </c>
      <c r="C33" s="247">
        <v>0.47916666666666669</v>
      </c>
      <c r="D33" s="247">
        <v>0.375</v>
      </c>
      <c r="E33" s="247">
        <v>0.34375</v>
      </c>
      <c r="F33" s="247">
        <v>0.29166666666666669</v>
      </c>
      <c r="H33" s="209" t="s">
        <v>252</v>
      </c>
      <c r="M33" s="288"/>
    </row>
    <row r="34" spans="1:13">
      <c r="A34" s="297" t="s">
        <v>384</v>
      </c>
      <c r="B34" s="244" t="s">
        <v>384</v>
      </c>
      <c r="C34" s="247">
        <v>0.29166666666666669</v>
      </c>
      <c r="D34" s="247">
        <v>0.38125000000000003</v>
      </c>
      <c r="E34" s="247">
        <v>0.35000000000000003</v>
      </c>
      <c r="F34" s="246">
        <v>0.29166666666666669</v>
      </c>
      <c r="G34" s="244"/>
      <c r="H34" s="303" t="s">
        <v>252</v>
      </c>
    </row>
    <row r="35" spans="1:13">
      <c r="A35" s="297" t="s">
        <v>417</v>
      </c>
      <c r="B35" s="244" t="s">
        <v>420</v>
      </c>
      <c r="C35" s="251">
        <v>0.29166666666666669</v>
      </c>
      <c r="D35" s="251">
        <v>0.17500000000000002</v>
      </c>
      <c r="E35" s="251">
        <v>0.17500000000000002</v>
      </c>
      <c r="F35" s="251">
        <v>0.41666666666666669</v>
      </c>
      <c r="G35" s="248"/>
      <c r="H35" s="303" t="s">
        <v>252</v>
      </c>
    </row>
    <row r="36" spans="1:13" ht="13">
      <c r="A36" s="298" t="s">
        <v>385</v>
      </c>
      <c r="B36" s="255" t="s">
        <v>395</v>
      </c>
      <c r="C36" s="251">
        <v>0.54166666666666663</v>
      </c>
      <c r="D36" s="251">
        <v>0.17500000000000002</v>
      </c>
      <c r="E36" s="251">
        <v>0.17500000000000002</v>
      </c>
      <c r="F36" s="251">
        <v>0.20833333333333334</v>
      </c>
      <c r="G36" s="248"/>
      <c r="H36" s="303" t="s">
        <v>252</v>
      </c>
      <c r="M36" s="18"/>
    </row>
    <row r="37" spans="1:13" ht="13">
      <c r="A37" s="304" t="s">
        <v>253</v>
      </c>
      <c r="B37" s="65" t="s">
        <v>254</v>
      </c>
      <c r="C37" s="66">
        <v>0.29166666666666669</v>
      </c>
      <c r="D37" s="66">
        <v>0.35416666666666669</v>
      </c>
      <c r="E37" s="66">
        <v>0.33333333333333331</v>
      </c>
      <c r="F37" s="66">
        <v>0.29166666666666669</v>
      </c>
      <c r="G37" s="65"/>
      <c r="H37" s="305"/>
      <c r="M37" s="18"/>
    </row>
    <row r="38" spans="1:13" ht="13">
      <c r="A38" s="297" t="s">
        <v>255</v>
      </c>
      <c r="B38" s="244" t="s">
        <v>256</v>
      </c>
      <c r="C38" s="246">
        <v>0.4375</v>
      </c>
      <c r="D38" s="246">
        <v>0.35416666666666669</v>
      </c>
      <c r="E38" s="246">
        <v>0.33333333333333331</v>
      </c>
      <c r="F38" s="246">
        <v>0.29166666666666669</v>
      </c>
      <c r="G38" s="244"/>
      <c r="H38" s="306"/>
      <c r="M38" s="18"/>
    </row>
    <row r="39" spans="1:13" ht="13">
      <c r="A39" s="297" t="s">
        <v>380</v>
      </c>
      <c r="B39" s="244" t="s">
        <v>382</v>
      </c>
      <c r="C39" s="247">
        <v>0.29166666666666669</v>
      </c>
      <c r="D39" s="247">
        <v>0.20833333333333334</v>
      </c>
      <c r="E39" s="247">
        <v>0.20833333333333334</v>
      </c>
      <c r="F39" s="247">
        <v>0.29166666666666669</v>
      </c>
      <c r="G39" s="244"/>
      <c r="H39" s="306" t="s">
        <v>252</v>
      </c>
      <c r="M39" s="18"/>
    </row>
    <row r="40" spans="1:13">
      <c r="A40" s="297" t="s">
        <v>257</v>
      </c>
      <c r="B40" s="244" t="s">
        <v>258</v>
      </c>
      <c r="C40" s="246">
        <v>0.29166666666666669</v>
      </c>
      <c r="D40" s="246">
        <v>0.35416666666666669</v>
      </c>
      <c r="E40" s="246">
        <v>0.33333333333333331</v>
      </c>
      <c r="F40" s="246">
        <v>0.29166666666666669</v>
      </c>
      <c r="G40" s="244"/>
      <c r="H40" s="303" t="s">
        <v>252</v>
      </c>
    </row>
    <row r="41" spans="1:13">
      <c r="A41" s="297" t="s">
        <v>418</v>
      </c>
      <c r="B41" s="244" t="s">
        <v>421</v>
      </c>
      <c r="C41" s="246">
        <v>0.54166666666666663</v>
      </c>
      <c r="D41" s="246">
        <v>0.16666666666666666</v>
      </c>
      <c r="E41" s="246">
        <v>0.16666666666666666</v>
      </c>
      <c r="F41" s="246">
        <v>0.29166666666666669</v>
      </c>
      <c r="G41" s="244"/>
      <c r="H41" s="303" t="s">
        <v>252</v>
      </c>
    </row>
    <row r="42" spans="1:13" ht="13">
      <c r="A42" s="307" t="s">
        <v>410</v>
      </c>
      <c r="B42" s="245" t="s">
        <v>412</v>
      </c>
      <c r="C42" s="246">
        <v>0.29166666666666669</v>
      </c>
      <c r="D42" s="246">
        <v>0.35416666666666669</v>
      </c>
      <c r="E42" s="246">
        <v>0.33333333333333331</v>
      </c>
      <c r="F42" s="246">
        <v>0.29166666666666669</v>
      </c>
      <c r="G42" s="244"/>
      <c r="H42" s="303" t="s">
        <v>252</v>
      </c>
      <c r="M42" s="18"/>
    </row>
    <row r="43" spans="1:13" ht="13">
      <c r="A43" s="307" t="s">
        <v>411</v>
      </c>
      <c r="B43" s="245" t="s">
        <v>428</v>
      </c>
      <c r="C43" s="246">
        <v>0.29166666666666669</v>
      </c>
      <c r="D43" s="246">
        <v>0.35416666666666669</v>
      </c>
      <c r="E43" s="246">
        <v>0.33333333333333331</v>
      </c>
      <c r="F43" s="246">
        <v>0.29166666666666669</v>
      </c>
      <c r="G43" s="244"/>
      <c r="H43" s="303" t="s">
        <v>252</v>
      </c>
      <c r="M43" s="18"/>
    </row>
    <row r="44" spans="1:13" ht="13">
      <c r="A44" s="576" t="s">
        <v>504</v>
      </c>
      <c r="B44" s="528" t="s">
        <v>514</v>
      </c>
      <c r="C44" s="66">
        <v>0.29166666666666669</v>
      </c>
      <c r="D44" s="66">
        <v>0.38125000000000003</v>
      </c>
      <c r="E44" s="66">
        <v>0.35000000000000003</v>
      </c>
      <c r="F44" s="66">
        <v>0.29166666666666669</v>
      </c>
      <c r="G44" s="65"/>
      <c r="H44" s="302" t="s">
        <v>252</v>
      </c>
      <c r="M44" s="18"/>
    </row>
    <row r="45" spans="1:13" ht="13">
      <c r="A45" s="577" t="s">
        <v>525</v>
      </c>
      <c r="B45" s="567" t="s">
        <v>526</v>
      </c>
      <c r="C45" s="246">
        <v>0.29166666666666669</v>
      </c>
      <c r="D45" s="246">
        <v>0.20833333333333334</v>
      </c>
      <c r="E45" s="246">
        <v>0.20833333333333334</v>
      </c>
      <c r="F45" s="246">
        <v>0.58333333333333337</v>
      </c>
      <c r="G45" s="244"/>
      <c r="H45" s="303" t="s">
        <v>252</v>
      </c>
      <c r="M45" s="18"/>
    </row>
    <row r="46" spans="1:13" ht="13.5" thickBot="1">
      <c r="A46" s="578" t="s">
        <v>512</v>
      </c>
      <c r="B46" s="579" t="s">
        <v>513</v>
      </c>
      <c r="C46" s="580">
        <v>0.29166666666666669</v>
      </c>
      <c r="D46" s="580">
        <v>0.38125000000000003</v>
      </c>
      <c r="E46" s="580">
        <v>0.35000000000000003</v>
      </c>
      <c r="F46" s="580">
        <v>0.29166666666666669</v>
      </c>
      <c r="G46" s="581"/>
      <c r="H46" s="582" t="s">
        <v>252</v>
      </c>
      <c r="M46" s="18"/>
    </row>
  </sheetData>
  <phoneticPr fontId="17"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20"/>
  <sheetViews>
    <sheetView zoomScale="120" zoomScaleNormal="120" workbookViewId="0">
      <selection activeCell="F6" sqref="F6"/>
    </sheetView>
  </sheetViews>
  <sheetFormatPr baseColWidth="10" defaultColWidth="11.453125" defaultRowHeight="12.5"/>
  <cols>
    <col min="1" max="1" width="8.6328125" customWidth="1"/>
    <col min="2" max="2" width="13" customWidth="1"/>
    <col min="8" max="8" width="15.6328125" customWidth="1"/>
  </cols>
  <sheetData>
    <row r="1" spans="1:11" ht="13">
      <c r="A1" s="8" t="s">
        <v>37</v>
      </c>
      <c r="B1" s="20"/>
      <c r="C1" s="20"/>
      <c r="D1" s="20"/>
      <c r="E1" s="20"/>
      <c r="F1" s="21"/>
    </row>
    <row r="2" spans="1:11" ht="13">
      <c r="A2" s="22" t="s">
        <v>0</v>
      </c>
      <c r="B2" s="23" t="s">
        <v>1</v>
      </c>
      <c r="C2" s="23" t="s">
        <v>29</v>
      </c>
      <c r="D2" s="23"/>
      <c r="E2" s="23"/>
      <c r="F2" s="24"/>
    </row>
    <row r="3" spans="1:11">
      <c r="A3" s="82" t="s">
        <v>35</v>
      </c>
      <c r="B3" s="82" t="s">
        <v>36</v>
      </c>
      <c r="C3" s="83" t="s">
        <v>221</v>
      </c>
      <c r="D3" s="83" t="s">
        <v>397</v>
      </c>
      <c r="E3" s="83" t="s">
        <v>401</v>
      </c>
      <c r="F3" s="7"/>
      <c r="G3" s="83"/>
      <c r="H3" s="83"/>
      <c r="I3" s="83"/>
      <c r="J3" s="83"/>
      <c r="K3" s="83"/>
    </row>
    <row r="4" spans="1:11">
      <c r="A4" s="82" t="s">
        <v>205</v>
      </c>
      <c r="B4" s="82" t="s">
        <v>277</v>
      </c>
      <c r="C4" s="83" t="s">
        <v>204</v>
      </c>
      <c r="D4" s="83"/>
      <c r="E4" s="83"/>
      <c r="F4" s="83"/>
      <c r="G4" s="83"/>
      <c r="H4" s="83"/>
      <c r="I4" s="83"/>
      <c r="J4" s="83"/>
      <c r="K4" s="83"/>
    </row>
    <row r="5" spans="1:11">
      <c r="A5" s="82" t="s">
        <v>278</v>
      </c>
      <c r="B5" s="82" t="s">
        <v>279</v>
      </c>
      <c r="C5" s="83" t="s">
        <v>225</v>
      </c>
      <c r="D5" s="83" t="s">
        <v>230</v>
      </c>
      <c r="E5" s="7" t="s">
        <v>404</v>
      </c>
      <c r="F5" s="7" t="s">
        <v>408</v>
      </c>
      <c r="G5" s="83"/>
      <c r="H5" s="83"/>
      <c r="J5" s="83"/>
      <c r="K5" s="83"/>
    </row>
    <row r="6" spans="1:11">
      <c r="A6" s="82" t="s">
        <v>280</v>
      </c>
      <c r="B6" s="82" t="s">
        <v>281</v>
      </c>
      <c r="C6" s="83" t="s">
        <v>235</v>
      </c>
      <c r="D6" s="83"/>
      <c r="E6" s="83"/>
      <c r="F6" s="83"/>
      <c r="G6" s="83"/>
      <c r="H6" s="83"/>
      <c r="I6" s="83"/>
      <c r="J6" s="83"/>
      <c r="K6" s="83"/>
    </row>
    <row r="7" spans="1:11">
      <c r="A7" s="82" t="s">
        <v>34</v>
      </c>
      <c r="B7" s="82" t="s">
        <v>206</v>
      </c>
      <c r="C7" s="83" t="s">
        <v>237</v>
      </c>
      <c r="D7" s="83"/>
      <c r="E7" s="83"/>
      <c r="F7" s="83"/>
      <c r="G7" s="83"/>
      <c r="H7" s="83"/>
      <c r="I7" s="83"/>
      <c r="J7" s="83"/>
      <c r="K7" s="83"/>
    </row>
    <row r="8" spans="1:11">
      <c r="A8" s="82" t="s">
        <v>282</v>
      </c>
      <c r="B8" s="82" t="s">
        <v>283</v>
      </c>
      <c r="C8" s="83" t="s">
        <v>239</v>
      </c>
      <c r="D8" s="83" t="s">
        <v>242</v>
      </c>
      <c r="E8" s="83" t="s">
        <v>244</v>
      </c>
      <c r="F8" s="83" t="s">
        <v>246</v>
      </c>
      <c r="G8" s="83" t="s">
        <v>248</v>
      </c>
      <c r="H8" s="83" t="s">
        <v>250</v>
      </c>
      <c r="I8" s="83"/>
      <c r="J8" s="83"/>
      <c r="K8" s="83"/>
    </row>
    <row r="9" spans="1:11">
      <c r="A9" s="82" t="s">
        <v>284</v>
      </c>
      <c r="B9" s="82" t="s">
        <v>285</v>
      </c>
      <c r="C9" s="83" t="s">
        <v>204</v>
      </c>
      <c r="D9" s="83" t="s">
        <v>225</v>
      </c>
      <c r="E9" s="83" t="s">
        <v>230</v>
      </c>
      <c r="F9" s="83" t="s">
        <v>235</v>
      </c>
      <c r="G9" s="83" t="s">
        <v>237</v>
      </c>
      <c r="H9" s="7" t="s">
        <v>398</v>
      </c>
      <c r="I9" s="7" t="s">
        <v>404</v>
      </c>
      <c r="J9" s="7" t="s">
        <v>407</v>
      </c>
      <c r="K9" s="7" t="s">
        <v>408</v>
      </c>
    </row>
    <row r="10" spans="1:11">
      <c r="A10" s="82" t="s">
        <v>286</v>
      </c>
      <c r="B10" s="82" t="s">
        <v>287</v>
      </c>
      <c r="C10" s="83" t="s">
        <v>204</v>
      </c>
      <c r="D10" s="83" t="s">
        <v>225</v>
      </c>
      <c r="E10" s="83" t="s">
        <v>230</v>
      </c>
      <c r="F10" s="83" t="s">
        <v>235</v>
      </c>
      <c r="G10" s="83" t="s">
        <v>237</v>
      </c>
      <c r="H10" s="7" t="s">
        <v>398</v>
      </c>
      <c r="I10" s="7" t="s">
        <v>407</v>
      </c>
    </row>
    <row r="11" spans="1:11">
      <c r="A11" s="82" t="s">
        <v>288</v>
      </c>
      <c r="B11" s="82" t="s">
        <v>289</v>
      </c>
      <c r="C11" s="83" t="s">
        <v>230</v>
      </c>
      <c r="D11" s="83" t="s">
        <v>237</v>
      </c>
      <c r="E11" s="7" t="s">
        <v>408</v>
      </c>
      <c r="I11" s="83"/>
      <c r="J11" s="83"/>
      <c r="K11" s="83"/>
    </row>
    <row r="12" spans="1:11">
      <c r="A12" s="82" t="s">
        <v>290</v>
      </c>
      <c r="B12" s="82" t="s">
        <v>291</v>
      </c>
      <c r="C12" s="83" t="s">
        <v>204</v>
      </c>
      <c r="D12" s="83" t="s">
        <v>235</v>
      </c>
      <c r="E12" s="7"/>
      <c r="I12" s="83"/>
      <c r="J12" s="83"/>
      <c r="K12" s="83"/>
    </row>
    <row r="13" spans="1:11">
      <c r="A13" s="82" t="s">
        <v>292</v>
      </c>
      <c r="B13" s="82" t="s">
        <v>293</v>
      </c>
      <c r="C13" s="83" t="s">
        <v>225</v>
      </c>
      <c r="D13" s="83" t="s">
        <v>230</v>
      </c>
      <c r="E13" s="7" t="s">
        <v>237</v>
      </c>
      <c r="I13" s="83"/>
      <c r="J13" s="83"/>
      <c r="K13" s="83"/>
    </row>
    <row r="14" spans="1:11">
      <c r="A14" s="82" t="s">
        <v>294</v>
      </c>
      <c r="B14" s="83" t="s">
        <v>295</v>
      </c>
      <c r="C14" s="83" t="s">
        <v>230</v>
      </c>
      <c r="D14" s="83" t="s">
        <v>237</v>
      </c>
      <c r="E14" s="7" t="s">
        <v>408</v>
      </c>
      <c r="G14" s="83"/>
      <c r="H14" s="83"/>
      <c r="I14" s="83"/>
      <c r="J14" s="83"/>
      <c r="K14" s="83"/>
    </row>
    <row r="15" spans="1:11">
      <c r="A15" s="83" t="s">
        <v>296</v>
      </c>
      <c r="B15" s="83" t="s">
        <v>297</v>
      </c>
      <c r="C15" s="83" t="s">
        <v>204</v>
      </c>
      <c r="D15" s="83" t="s">
        <v>235</v>
      </c>
      <c r="E15" s="83"/>
      <c r="F15" s="83"/>
      <c r="G15" s="83"/>
      <c r="H15" s="83"/>
      <c r="I15" s="83"/>
      <c r="J15" s="83"/>
      <c r="K15" s="83"/>
    </row>
    <row r="16" spans="1:11">
      <c r="A16" s="82" t="s">
        <v>298</v>
      </c>
      <c r="B16" s="82" t="s">
        <v>299</v>
      </c>
      <c r="C16" s="83" t="s">
        <v>204</v>
      </c>
      <c r="D16" s="83" t="s">
        <v>225</v>
      </c>
      <c r="E16" s="83"/>
      <c r="F16" s="83"/>
      <c r="G16" s="83"/>
      <c r="H16" s="83"/>
      <c r="I16" s="83"/>
      <c r="J16" s="83"/>
      <c r="K16" s="83"/>
    </row>
    <row r="17" spans="1:6">
      <c r="A17" s="6" t="s">
        <v>300</v>
      </c>
      <c r="B17" s="6" t="s">
        <v>301</v>
      </c>
      <c r="C17" s="7" t="s">
        <v>398</v>
      </c>
      <c r="D17" s="7" t="s">
        <v>404</v>
      </c>
      <c r="E17" s="7" t="s">
        <v>407</v>
      </c>
      <c r="F17" s="7" t="s">
        <v>408</v>
      </c>
    </row>
    <row r="18" spans="1:6">
      <c r="A18" s="82" t="s">
        <v>302</v>
      </c>
      <c r="B18" t="s">
        <v>303</v>
      </c>
      <c r="C18" s="83" t="s">
        <v>253</v>
      </c>
      <c r="D18" s="83" t="s">
        <v>255</v>
      </c>
      <c r="E18" s="83" t="s">
        <v>380</v>
      </c>
    </row>
    <row r="19" spans="1:6">
      <c r="A19" s="82" t="s">
        <v>377</v>
      </c>
      <c r="B19" t="s">
        <v>378</v>
      </c>
      <c r="C19" s="83" t="s">
        <v>204</v>
      </c>
      <c r="D19" s="83" t="s">
        <v>225</v>
      </c>
      <c r="E19" s="83" t="s">
        <v>230</v>
      </c>
    </row>
    <row r="20" spans="1:6">
      <c r="A20" s="82"/>
      <c r="C20" s="83"/>
      <c r="D20" s="83"/>
      <c r="E20" s="83"/>
      <c r="F20" s="83"/>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F15" sqref="F15"/>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76" t="s">
        <v>1</v>
      </c>
      <c r="B1" s="76" t="s">
        <v>259</v>
      </c>
      <c r="C1" s="76" t="s">
        <v>260</v>
      </c>
      <c r="D1" s="76" t="s">
        <v>261</v>
      </c>
    </row>
    <row r="2" spans="1:4" ht="13">
      <c r="A2" s="77" t="s">
        <v>222</v>
      </c>
      <c r="B2" s="78" t="s">
        <v>262</v>
      </c>
      <c r="C2" s="79" t="s">
        <v>263</v>
      </c>
      <c r="D2" s="79">
        <v>0.29166666666666669</v>
      </c>
    </row>
    <row r="3" spans="1:4" ht="13">
      <c r="A3" s="80" t="s">
        <v>224</v>
      </c>
      <c r="B3" s="44" t="s">
        <v>262</v>
      </c>
      <c r="C3" s="44" t="s">
        <v>264</v>
      </c>
      <c r="D3" s="81">
        <v>0.35000000000000003</v>
      </c>
    </row>
    <row r="4" spans="1:4" ht="13">
      <c r="A4" s="80" t="s">
        <v>226</v>
      </c>
      <c r="B4" s="44" t="s">
        <v>262</v>
      </c>
      <c r="C4" s="44" t="s">
        <v>265</v>
      </c>
      <c r="D4" s="81">
        <v>0.35000000000000003</v>
      </c>
    </row>
    <row r="5" spans="1:4" ht="13">
      <c r="A5" s="80" t="s">
        <v>231</v>
      </c>
      <c r="B5" s="44" t="s">
        <v>262</v>
      </c>
      <c r="C5" s="44" t="s">
        <v>266</v>
      </c>
      <c r="D5" s="81">
        <v>0.34375</v>
      </c>
    </row>
    <row r="6" spans="1:4">
      <c r="A6" s="44" t="s">
        <v>236</v>
      </c>
      <c r="B6" s="44" t="s">
        <v>262</v>
      </c>
      <c r="C6" s="44" t="s">
        <v>267</v>
      </c>
      <c r="D6" s="81">
        <v>0.25</v>
      </c>
    </row>
    <row r="7" spans="1:4">
      <c r="A7" s="44" t="s">
        <v>238</v>
      </c>
      <c r="B7" s="44" t="s">
        <v>262</v>
      </c>
      <c r="C7" s="44" t="s">
        <v>268</v>
      </c>
      <c r="D7" s="81">
        <v>0.34375</v>
      </c>
    </row>
    <row r="8" spans="1:4">
      <c r="A8" s="44" t="s">
        <v>269</v>
      </c>
      <c r="B8" s="44" t="s">
        <v>262</v>
      </c>
      <c r="C8" s="44" t="s">
        <v>270</v>
      </c>
      <c r="D8" s="81">
        <v>0.34375</v>
      </c>
    </row>
    <row r="9" spans="1:4" ht="13">
      <c r="A9" s="80" t="s">
        <v>240</v>
      </c>
      <c r="B9" s="44" t="s">
        <v>262</v>
      </c>
      <c r="C9" s="81" t="s">
        <v>271</v>
      </c>
      <c r="D9" s="81">
        <v>0.34375</v>
      </c>
    </row>
    <row r="10" spans="1:4" ht="13">
      <c r="A10" s="80" t="s">
        <v>243</v>
      </c>
      <c r="B10" s="44" t="s">
        <v>262</v>
      </c>
      <c r="C10" s="44" t="s">
        <v>272</v>
      </c>
      <c r="D10" s="81">
        <v>0.23958333333333334</v>
      </c>
    </row>
    <row r="11" spans="1:4">
      <c r="A11" s="44" t="s">
        <v>245</v>
      </c>
      <c r="B11" s="44" t="s">
        <v>262</v>
      </c>
      <c r="C11" s="44" t="s">
        <v>273</v>
      </c>
      <c r="D11" s="81">
        <v>0.32291666666666669</v>
      </c>
    </row>
    <row r="12" spans="1:4">
      <c r="A12" s="44" t="s">
        <v>247</v>
      </c>
      <c r="B12" s="44" t="s">
        <v>262</v>
      </c>
      <c r="C12" s="44" t="s">
        <v>274</v>
      </c>
      <c r="D12" s="81">
        <v>0.33333333333333331</v>
      </c>
    </row>
    <row r="13" spans="1:4">
      <c r="A13" s="44" t="s">
        <v>249</v>
      </c>
      <c r="B13" s="44" t="s">
        <v>262</v>
      </c>
      <c r="C13" s="44" t="s">
        <v>275</v>
      </c>
      <c r="D13" s="81">
        <v>0.10416666666666667</v>
      </c>
    </row>
    <row r="14" spans="1:4">
      <c r="A14" s="44" t="s">
        <v>251</v>
      </c>
      <c r="B14" s="44" t="s">
        <v>262</v>
      </c>
      <c r="C14" s="44" t="s">
        <v>276</v>
      </c>
      <c r="D14" s="81">
        <v>0.26041666666666669</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9"/>
  <sheetViews>
    <sheetView zoomScaleNormal="100" workbookViewId="0">
      <selection activeCell="I18" sqref="I18"/>
    </sheetView>
  </sheetViews>
  <sheetFormatPr baseColWidth="10" defaultColWidth="11.453125" defaultRowHeight="12.5"/>
  <cols>
    <col min="1" max="1" width="7.81640625" customWidth="1"/>
    <col min="2" max="2" width="30.453125" customWidth="1"/>
    <col min="3" max="3" width="13.08984375" bestFit="1" customWidth="1"/>
    <col min="4" max="4" width="13.6328125" customWidth="1"/>
    <col min="5" max="5" width="8.6328125" customWidth="1"/>
    <col min="6" max="6" width="8.81640625" bestFit="1" customWidth="1"/>
    <col min="7" max="7" width="6.1796875" bestFit="1" customWidth="1"/>
    <col min="8" max="8" width="5.1796875" bestFit="1" customWidth="1"/>
    <col min="9" max="9" width="48.54296875" style="67" customWidth="1"/>
  </cols>
  <sheetData>
    <row r="1" spans="1:9" ht="13">
      <c r="A1" s="8" t="s">
        <v>3</v>
      </c>
      <c r="B1" s="454"/>
      <c r="C1" s="588"/>
      <c r="D1" s="588"/>
      <c r="E1" s="588"/>
      <c r="F1" s="632" t="s">
        <v>4</v>
      </c>
      <c r="G1" s="633"/>
      <c r="H1" s="633"/>
    </row>
    <row r="2" spans="1:9" ht="13">
      <c r="A2" s="10" t="s">
        <v>0</v>
      </c>
      <c r="B2" s="455" t="s">
        <v>5</v>
      </c>
      <c r="C2" s="589" t="s">
        <v>6</v>
      </c>
      <c r="D2" s="589" t="s">
        <v>7</v>
      </c>
      <c r="E2" s="589" t="s">
        <v>8</v>
      </c>
      <c r="F2" s="590" t="s">
        <v>283</v>
      </c>
      <c r="G2" s="590" t="s">
        <v>285</v>
      </c>
      <c r="H2" s="591" t="s">
        <v>36</v>
      </c>
    </row>
    <row r="3" spans="1:9" ht="25">
      <c r="A3" s="485" t="s">
        <v>9</v>
      </c>
      <c r="B3" s="470" t="s">
        <v>474</v>
      </c>
      <c r="C3" s="592">
        <v>70</v>
      </c>
      <c r="D3" s="592" t="s">
        <v>199</v>
      </c>
      <c r="E3" s="593">
        <v>1</v>
      </c>
      <c r="F3" s="594"/>
      <c r="G3" s="594" t="s">
        <v>312</v>
      </c>
      <c r="H3" s="595" t="s">
        <v>312</v>
      </c>
      <c r="I3" s="456" t="s">
        <v>357</v>
      </c>
    </row>
    <row r="4" spans="1:9">
      <c r="A4" s="489" t="s">
        <v>10</v>
      </c>
      <c r="B4" s="487" t="s">
        <v>475</v>
      </c>
      <c r="C4" s="596">
        <v>90</v>
      </c>
      <c r="D4" s="596" t="s">
        <v>199</v>
      </c>
      <c r="E4" s="597">
        <v>2</v>
      </c>
      <c r="F4" s="598"/>
      <c r="G4" s="598" t="s">
        <v>312</v>
      </c>
      <c r="H4" s="599"/>
      <c r="I4" s="488" t="s">
        <v>358</v>
      </c>
    </row>
    <row r="5" spans="1:9">
      <c r="A5" s="489" t="s">
        <v>11</v>
      </c>
      <c r="B5" s="470" t="s">
        <v>477</v>
      </c>
      <c r="C5" s="592">
        <v>60</v>
      </c>
      <c r="D5" s="592" t="s">
        <v>202</v>
      </c>
      <c r="E5" s="597">
        <v>3</v>
      </c>
      <c r="F5" s="594"/>
      <c r="G5" s="594" t="s">
        <v>312</v>
      </c>
      <c r="H5" s="595"/>
      <c r="I5" s="456"/>
    </row>
    <row r="6" spans="1:9">
      <c r="A6" s="489" t="s">
        <v>12</v>
      </c>
      <c r="B6" s="469" t="s">
        <v>478</v>
      </c>
      <c r="C6" s="600">
        <v>90</v>
      </c>
      <c r="D6" s="600" t="s">
        <v>202</v>
      </c>
      <c r="E6" s="597">
        <v>4</v>
      </c>
      <c r="F6" s="601"/>
      <c r="G6" s="601" t="s">
        <v>312</v>
      </c>
      <c r="H6" s="602"/>
      <c r="I6" s="490"/>
    </row>
    <row r="7" spans="1:9" ht="25">
      <c r="A7" s="489" t="s">
        <v>13</v>
      </c>
      <c r="B7" s="491" t="s">
        <v>479</v>
      </c>
      <c r="C7" s="603">
        <v>30</v>
      </c>
      <c r="D7" s="603" t="s">
        <v>280</v>
      </c>
      <c r="E7" s="597">
        <v>5</v>
      </c>
      <c r="F7" s="604"/>
      <c r="G7" s="604"/>
      <c r="H7" s="605"/>
      <c r="I7" s="468" t="s">
        <v>501</v>
      </c>
    </row>
    <row r="8" spans="1:9">
      <c r="A8" s="489" t="s">
        <v>14</v>
      </c>
      <c r="B8" s="470" t="s">
        <v>476</v>
      </c>
      <c r="C8" s="592">
        <v>70</v>
      </c>
      <c r="D8" s="592" t="s">
        <v>207</v>
      </c>
      <c r="E8" s="597">
        <v>6</v>
      </c>
      <c r="F8" s="594"/>
      <c r="G8" s="594" t="s">
        <v>312</v>
      </c>
      <c r="H8" s="595"/>
      <c r="I8" s="456"/>
    </row>
    <row r="9" spans="1:9">
      <c r="A9" s="489" t="s">
        <v>15</v>
      </c>
      <c r="B9" s="492" t="s">
        <v>480</v>
      </c>
      <c r="C9" s="606">
        <v>0</v>
      </c>
      <c r="D9" s="606" t="s">
        <v>280</v>
      </c>
      <c r="E9" s="597">
        <v>7</v>
      </c>
      <c r="F9" s="607"/>
      <c r="G9" s="607"/>
      <c r="H9" s="608"/>
      <c r="I9" s="467" t="s">
        <v>498</v>
      </c>
    </row>
    <row r="10" spans="1:9">
      <c r="A10" s="489" t="s">
        <v>16</v>
      </c>
      <c r="B10" s="469" t="s">
        <v>483</v>
      </c>
      <c r="C10" s="600">
        <v>50</v>
      </c>
      <c r="D10" s="600" t="s">
        <v>207</v>
      </c>
      <c r="E10" s="597">
        <v>8</v>
      </c>
      <c r="F10" s="601"/>
      <c r="G10" s="601" t="s">
        <v>312</v>
      </c>
      <c r="H10" s="602"/>
      <c r="I10" s="490"/>
    </row>
    <row r="11" spans="1:9">
      <c r="A11" s="489" t="s">
        <v>17</v>
      </c>
      <c r="B11" s="487" t="s">
        <v>482</v>
      </c>
      <c r="C11" s="596">
        <v>100</v>
      </c>
      <c r="D11" s="596" t="s">
        <v>207</v>
      </c>
      <c r="E11" s="597">
        <v>9</v>
      </c>
      <c r="F11" s="598"/>
      <c r="G11" s="598" t="s">
        <v>312</v>
      </c>
      <c r="H11" s="599"/>
      <c r="I11" s="488"/>
    </row>
    <row r="12" spans="1:9">
      <c r="A12" s="489" t="s">
        <v>18</v>
      </c>
      <c r="B12" s="470" t="s">
        <v>484</v>
      </c>
      <c r="C12" s="592">
        <v>50</v>
      </c>
      <c r="D12" s="592" t="s">
        <v>215</v>
      </c>
      <c r="E12" s="597">
        <v>10</v>
      </c>
      <c r="F12" s="594"/>
      <c r="G12" s="594" t="s">
        <v>312</v>
      </c>
      <c r="H12" s="595"/>
      <c r="I12" s="456" t="s">
        <v>359</v>
      </c>
    </row>
    <row r="13" spans="1:9">
      <c r="A13" s="489" t="s">
        <v>19</v>
      </c>
      <c r="B13" s="469" t="s">
        <v>485</v>
      </c>
      <c r="C13" s="600">
        <v>30</v>
      </c>
      <c r="D13" s="600" t="s">
        <v>215</v>
      </c>
      <c r="E13" s="597">
        <v>11</v>
      </c>
      <c r="F13" s="601"/>
      <c r="G13" s="609" t="s">
        <v>312</v>
      </c>
      <c r="H13" s="602"/>
      <c r="I13" s="490"/>
    </row>
    <row r="14" spans="1:9" ht="15" customHeight="1">
      <c r="A14" s="489" t="s">
        <v>20</v>
      </c>
      <c r="B14" s="470" t="s">
        <v>486</v>
      </c>
      <c r="C14" s="610">
        <v>90</v>
      </c>
      <c r="D14" s="610" t="s">
        <v>215</v>
      </c>
      <c r="E14" s="611">
        <v>12</v>
      </c>
      <c r="F14" s="612" t="s">
        <v>312</v>
      </c>
      <c r="G14" s="612" t="s">
        <v>312</v>
      </c>
      <c r="H14" s="613"/>
      <c r="I14" s="529" t="s">
        <v>503</v>
      </c>
    </row>
    <row r="15" spans="1:9">
      <c r="A15" s="489" t="s">
        <v>21</v>
      </c>
      <c r="B15" s="469" t="s">
        <v>487</v>
      </c>
      <c r="C15" s="614">
        <v>50</v>
      </c>
      <c r="D15" s="614" t="s">
        <v>215</v>
      </c>
      <c r="E15" s="611">
        <v>13</v>
      </c>
      <c r="F15" s="609" t="s">
        <v>312</v>
      </c>
      <c r="G15" s="609"/>
      <c r="H15" s="615"/>
      <c r="I15" s="530" t="s">
        <v>502</v>
      </c>
    </row>
    <row r="16" spans="1:9" s="83" customFormat="1">
      <c r="A16" s="489" t="s">
        <v>22</v>
      </c>
      <c r="B16" s="469" t="s">
        <v>488</v>
      </c>
      <c r="C16" s="614">
        <v>80</v>
      </c>
      <c r="D16" s="614" t="s">
        <v>215</v>
      </c>
      <c r="E16" s="611">
        <v>14</v>
      </c>
      <c r="F16" s="609" t="s">
        <v>312</v>
      </c>
      <c r="G16" s="609"/>
      <c r="H16" s="615"/>
      <c r="I16" s="530" t="s">
        <v>502</v>
      </c>
    </row>
    <row r="17" spans="1:9" s="83" customFormat="1">
      <c r="A17" s="489" t="s">
        <v>208</v>
      </c>
      <c r="B17" s="487" t="s">
        <v>489</v>
      </c>
      <c r="C17" s="616">
        <v>30</v>
      </c>
      <c r="D17" s="616" t="s">
        <v>215</v>
      </c>
      <c r="E17" s="611">
        <v>15</v>
      </c>
      <c r="F17" s="617" t="s">
        <v>312</v>
      </c>
      <c r="G17" s="617"/>
      <c r="H17" s="618"/>
      <c r="I17" s="531" t="s">
        <v>502</v>
      </c>
    </row>
    <row r="18" spans="1:9" s="83" customFormat="1">
      <c r="A18" s="489" t="s">
        <v>23</v>
      </c>
      <c r="B18" s="493" t="s">
        <v>491</v>
      </c>
      <c r="C18" s="619">
        <v>100</v>
      </c>
      <c r="D18" s="619" t="s">
        <v>504</v>
      </c>
      <c r="E18" s="597">
        <v>16</v>
      </c>
      <c r="F18" s="620"/>
      <c r="G18" s="620" t="s">
        <v>312</v>
      </c>
      <c r="H18" s="621"/>
      <c r="I18" s="626" t="s">
        <v>529</v>
      </c>
    </row>
    <row r="19" spans="1:9" s="83" customFormat="1">
      <c r="A19" s="489" t="s">
        <v>24</v>
      </c>
      <c r="B19" s="470" t="s">
        <v>492</v>
      </c>
      <c r="C19" s="592">
        <v>100</v>
      </c>
      <c r="D19" s="594" t="s">
        <v>217</v>
      </c>
      <c r="E19" s="597">
        <v>17</v>
      </c>
      <c r="F19" s="594"/>
      <c r="G19" s="594" t="s">
        <v>312</v>
      </c>
      <c r="H19" s="595"/>
      <c r="I19" s="456" t="s">
        <v>499</v>
      </c>
    </row>
    <row r="20" spans="1:9" s="83" customFormat="1">
      <c r="A20" s="489" t="s">
        <v>481</v>
      </c>
      <c r="B20" s="492" t="s">
        <v>493</v>
      </c>
      <c r="C20" s="606">
        <v>100</v>
      </c>
      <c r="D20" s="607" t="s">
        <v>217</v>
      </c>
      <c r="E20" s="597">
        <v>18</v>
      </c>
      <c r="F20" s="607"/>
      <c r="G20" s="607"/>
      <c r="H20" s="608"/>
      <c r="I20" s="467" t="s">
        <v>500</v>
      </c>
    </row>
    <row r="21" spans="1:9" s="83" customFormat="1">
      <c r="A21" s="489" t="s">
        <v>490</v>
      </c>
      <c r="B21" s="492" t="s">
        <v>494</v>
      </c>
      <c r="C21" s="606">
        <v>100</v>
      </c>
      <c r="D21" s="607" t="s">
        <v>217</v>
      </c>
      <c r="E21" s="597">
        <v>19</v>
      </c>
      <c r="F21" s="607"/>
      <c r="G21" s="607"/>
      <c r="H21" s="608"/>
      <c r="I21" s="467" t="s">
        <v>500</v>
      </c>
    </row>
    <row r="22" spans="1:9" s="83" customFormat="1">
      <c r="A22" s="489" t="s">
        <v>496</v>
      </c>
      <c r="B22" s="491" t="s">
        <v>495</v>
      </c>
      <c r="C22" s="603">
        <v>100</v>
      </c>
      <c r="D22" s="604" t="s">
        <v>217</v>
      </c>
      <c r="E22" s="597">
        <v>20</v>
      </c>
      <c r="F22" s="604"/>
      <c r="G22" s="604"/>
      <c r="H22" s="605"/>
      <c r="I22" s="468" t="s">
        <v>500</v>
      </c>
    </row>
    <row r="23" spans="1:9" s="83" customFormat="1">
      <c r="A23" s="486" t="s">
        <v>497</v>
      </c>
      <c r="B23" s="494" t="s">
        <v>451</v>
      </c>
      <c r="C23" s="622">
        <v>20</v>
      </c>
      <c r="D23" s="623" t="s">
        <v>448</v>
      </c>
      <c r="E23" s="624">
        <v>21</v>
      </c>
      <c r="F23" s="623" t="s">
        <v>312</v>
      </c>
      <c r="G23" s="623" t="s">
        <v>312</v>
      </c>
      <c r="H23" s="625"/>
      <c r="I23" s="457"/>
    </row>
    <row r="24" spans="1:9" s="248" customFormat="1">
      <c r="I24" s="244"/>
    </row>
    <row r="25" spans="1:9" s="248" customFormat="1">
      <c r="B25" s="254"/>
      <c r="F25" s="250"/>
      <c r="I25" s="244"/>
    </row>
    <row r="27" spans="1:9">
      <c r="B27" s="7" t="s">
        <v>25</v>
      </c>
      <c r="D27" s="7" t="s">
        <v>26</v>
      </c>
      <c r="E27" s="7"/>
    </row>
    <row r="28" spans="1:9" ht="13">
      <c r="D28" s="7" t="s">
        <v>27</v>
      </c>
      <c r="E28" s="7"/>
      <c r="F28" s="19" t="s">
        <v>28</v>
      </c>
    </row>
    <row r="29" spans="1:9">
      <c r="D29" s="7"/>
      <c r="E29" s="7"/>
    </row>
  </sheetData>
  <sortState xmlns:xlrd2="http://schemas.microsoft.com/office/spreadsheetml/2017/richdata2" ref="A3:F23">
    <sortCondition ref="E3:E23"/>
  </sortState>
  <mergeCells count="1">
    <mergeCell ref="F1:H1"/>
  </mergeCells>
  <phoneticPr fontId="17" type="noConversion"/>
  <conditionalFormatting sqref="D3:D17">
    <cfRule type="expression" dxfId="454" priority="5" stopIfTrue="1">
      <formula>D$3="So"</formula>
    </cfRule>
    <cfRule type="expression" dxfId="453" priority="6">
      <formula>D$3="Sa"</formula>
    </cfRule>
  </conditionalFormatting>
  <conditionalFormatting sqref="D18:D22">
    <cfRule type="expression" dxfId="452" priority="3" stopIfTrue="1">
      <formula>D$3="So"</formula>
    </cfRule>
    <cfRule type="expression" dxfId="451" priority="4">
      <formula>D$3="Sa"</formula>
    </cfRule>
  </conditionalFormatting>
  <conditionalFormatting sqref="D23">
    <cfRule type="expression" dxfId="450" priority="1" stopIfTrue="1">
      <formula>D$3="So"</formula>
    </cfRule>
    <cfRule type="expression" dxfId="449" priority="2">
      <formula>D$3="Sa"</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AZ55"/>
  <sheetViews>
    <sheetView tabSelected="1" zoomScaleNormal="100" workbookViewId="0">
      <pane xSplit="2" ySplit="3" topLeftCell="I4" activePane="bottomRight" state="frozen"/>
      <selection pane="topRight" activeCell="C1" sqref="C1"/>
      <selection pane="bottomLeft" activeCell="A4" sqref="A4"/>
      <selection pane="bottomRight" activeCell="T33" sqref="T33"/>
    </sheetView>
  </sheetViews>
  <sheetFormatPr baseColWidth="10" defaultColWidth="11.453125" defaultRowHeight="15" customHeight="1"/>
  <cols>
    <col min="1" max="1" width="4.1796875" customWidth="1"/>
    <col min="2" max="2" width="22.1796875" customWidth="1"/>
    <col min="3" max="3" width="20.08984375" customWidth="1"/>
    <col min="4" max="5" width="2.6328125" customWidth="1"/>
    <col min="6" max="6" width="10.453125" customWidth="1"/>
    <col min="7" max="7" width="23.54296875" customWidth="1"/>
    <col min="8" max="8" width="24.7265625" customWidth="1"/>
    <col min="9" max="9" width="18.6328125" customWidth="1"/>
    <col min="10" max="10" width="20.36328125" customWidth="1"/>
    <col min="11" max="11" width="18.08984375" customWidth="1"/>
    <col min="12" max="12" width="18.54296875" customWidth="1"/>
    <col min="13" max="13" width="4.7265625" customWidth="1"/>
    <col min="14" max="14" width="11.08984375" customWidth="1"/>
    <col min="15" max="16" width="2.6328125" customWidth="1"/>
    <col min="17" max="17" width="2.6328125" style="14" customWidth="1"/>
    <col min="18" max="19" width="2.6328125" customWidth="1"/>
    <col min="20" max="20" width="17.7265625" customWidth="1"/>
    <col min="21" max="21" width="23" customWidth="1"/>
    <col min="22" max="23" width="2.6328125" customWidth="1"/>
    <col min="24" max="24" width="6.6328125" customWidth="1"/>
    <col min="25" max="25" width="4.90625" customWidth="1"/>
    <col min="26" max="52" width="11.453125" style="248"/>
  </cols>
  <sheetData>
    <row r="1" spans="1:52" ht="15" customHeight="1">
      <c r="A1" s="8"/>
      <c r="B1" s="9"/>
      <c r="C1" s="636" t="s">
        <v>38</v>
      </c>
      <c r="D1" s="637"/>
      <c r="E1" s="638"/>
      <c r="F1" s="475" t="s">
        <v>176</v>
      </c>
      <c r="G1" s="639" t="s">
        <v>175</v>
      </c>
      <c r="H1" s="640"/>
      <c r="I1" s="37" t="s">
        <v>39</v>
      </c>
      <c r="J1" s="636" t="s">
        <v>40</v>
      </c>
      <c r="K1" s="637"/>
      <c r="L1" s="637"/>
      <c r="M1" s="637"/>
      <c r="N1" s="638"/>
      <c r="O1" s="475" t="s">
        <v>41</v>
      </c>
      <c r="P1" s="40"/>
      <c r="Q1" s="28" t="s">
        <v>42</v>
      </c>
      <c r="R1" s="476"/>
      <c r="S1" s="477"/>
      <c r="T1" s="636" t="s">
        <v>43</v>
      </c>
      <c r="U1" s="638"/>
      <c r="V1" s="360"/>
      <c r="W1" s="372"/>
      <c r="X1" s="30"/>
      <c r="Y1" s="4"/>
    </row>
    <row r="2" spans="1:52" ht="15" customHeight="1">
      <c r="A2" s="10"/>
      <c r="B2" s="11"/>
      <c r="C2" s="15" t="s">
        <v>44</v>
      </c>
      <c r="D2" s="443" t="s">
        <v>45</v>
      </c>
      <c r="E2" s="16" t="s">
        <v>46</v>
      </c>
      <c r="F2" s="15" t="s">
        <v>47</v>
      </c>
      <c r="G2" s="15" t="s">
        <v>48</v>
      </c>
      <c r="H2" s="16" t="s">
        <v>49</v>
      </c>
      <c r="I2" s="38" t="s">
        <v>50</v>
      </c>
      <c r="J2" s="15" t="s">
        <v>51</v>
      </c>
      <c r="K2" s="443" t="s">
        <v>52</v>
      </c>
      <c r="L2" s="443" t="s">
        <v>53</v>
      </c>
      <c r="M2" s="443" t="s">
        <v>54</v>
      </c>
      <c r="N2" s="16" t="s">
        <v>163</v>
      </c>
      <c r="O2" s="41" t="s">
        <v>184</v>
      </c>
      <c r="P2" s="443" t="s">
        <v>55</v>
      </c>
      <c r="Q2" s="443" t="s">
        <v>56</v>
      </c>
      <c r="R2" s="443" t="s">
        <v>178</v>
      </c>
      <c r="S2" s="16" t="s">
        <v>57</v>
      </c>
      <c r="T2" s="515" t="s">
        <v>554</v>
      </c>
      <c r="U2" s="519" t="s">
        <v>58</v>
      </c>
      <c r="V2" s="25"/>
      <c r="W2" s="1"/>
      <c r="X2" s="31" t="s">
        <v>59</v>
      </c>
      <c r="Y2" s="248"/>
    </row>
    <row r="3" spans="1:52" ht="15" customHeight="1">
      <c r="A3" s="10" t="s">
        <v>60</v>
      </c>
      <c r="B3" s="13" t="s">
        <v>61</v>
      </c>
      <c r="C3" s="17" t="s">
        <v>62</v>
      </c>
      <c r="D3" s="5" t="s">
        <v>63</v>
      </c>
      <c r="E3" s="2" t="s">
        <v>64</v>
      </c>
      <c r="F3" s="25" t="s">
        <v>62</v>
      </c>
      <c r="G3" s="17" t="s">
        <v>65</v>
      </c>
      <c r="H3" s="2" t="s">
        <v>66</v>
      </c>
      <c r="I3" s="361" t="s">
        <v>64</v>
      </c>
      <c r="J3" s="17" t="s">
        <v>106</v>
      </c>
      <c r="K3" s="5" t="s">
        <v>64</v>
      </c>
      <c r="L3" s="5" t="s">
        <v>64</v>
      </c>
      <c r="M3" s="5" t="s">
        <v>64</v>
      </c>
      <c r="N3" s="2" t="s">
        <v>66</v>
      </c>
      <c r="O3" s="17" t="s">
        <v>65</v>
      </c>
      <c r="P3" s="5" t="s">
        <v>68</v>
      </c>
      <c r="Q3" s="5" t="s">
        <v>63</v>
      </c>
      <c r="R3" s="5" t="s">
        <v>68</v>
      </c>
      <c r="S3" s="2" t="s">
        <v>68</v>
      </c>
      <c r="T3" s="361" t="s">
        <v>68</v>
      </c>
      <c r="U3" s="361" t="s">
        <v>65</v>
      </c>
      <c r="V3" s="25"/>
      <c r="W3" s="1" t="s">
        <v>69</v>
      </c>
      <c r="X3" s="31" t="s">
        <v>70</v>
      </c>
      <c r="Y3" s="248" t="s">
        <v>167</v>
      </c>
    </row>
    <row r="4" spans="1:52" ht="15" customHeight="1">
      <c r="A4" s="10" t="s">
        <v>0</v>
      </c>
      <c r="B4" s="453" t="s">
        <v>71</v>
      </c>
      <c r="C4" s="445" t="s">
        <v>72</v>
      </c>
      <c r="D4" s="366" t="s">
        <v>72</v>
      </c>
      <c r="E4" s="446" t="s">
        <v>73</v>
      </c>
      <c r="F4" s="501" t="s">
        <v>74</v>
      </c>
      <c r="G4" s="503" t="s">
        <v>73</v>
      </c>
      <c r="H4" s="367" t="s">
        <v>75</v>
      </c>
      <c r="I4" s="232" t="s">
        <v>367</v>
      </c>
      <c r="J4" s="346" t="s">
        <v>210</v>
      </c>
      <c r="K4" s="368" t="s">
        <v>528</v>
      </c>
      <c r="L4" s="368" t="s">
        <v>373</v>
      </c>
      <c r="M4" s="369"/>
      <c r="N4" s="371"/>
      <c r="O4" s="346"/>
      <c r="P4" s="369"/>
      <c r="Q4" s="369" t="s">
        <v>76</v>
      </c>
      <c r="R4" s="369"/>
      <c r="S4" s="370"/>
      <c r="T4" s="444" t="s">
        <v>447</v>
      </c>
      <c r="U4" s="444" t="s">
        <v>77</v>
      </c>
      <c r="V4" s="360"/>
      <c r="W4" s="372"/>
      <c r="X4" s="30" t="s">
        <v>78</v>
      </c>
      <c r="Y4" s="4" t="s">
        <v>62</v>
      </c>
    </row>
    <row r="5" spans="1:52" s="4" customFormat="1" ht="15" customHeight="1">
      <c r="A5" s="364" t="s">
        <v>9</v>
      </c>
      <c r="B5" s="520" t="s">
        <v>474</v>
      </c>
      <c r="C5" s="346" t="s">
        <v>360</v>
      </c>
      <c r="D5" s="373"/>
      <c r="E5" s="447"/>
      <c r="F5" s="346" t="s">
        <v>426</v>
      </c>
      <c r="G5" s="346" t="s">
        <v>405</v>
      </c>
      <c r="H5" s="374" t="s">
        <v>284</v>
      </c>
      <c r="I5" s="232" t="s">
        <v>379</v>
      </c>
      <c r="J5" s="346"/>
      <c r="K5" s="375"/>
      <c r="L5" s="368"/>
      <c r="M5" s="376"/>
      <c r="N5" s="370"/>
      <c r="O5" s="507"/>
      <c r="P5" s="377"/>
      <c r="Q5" s="378"/>
      <c r="R5" s="377"/>
      <c r="S5" s="508"/>
      <c r="T5" s="585" t="s">
        <v>555</v>
      </c>
      <c r="U5" s="517"/>
      <c r="V5" s="360"/>
      <c r="W5" s="497"/>
      <c r="X5" s="30" t="s">
        <v>78</v>
      </c>
      <c r="Y5" s="500">
        <v>1</v>
      </c>
      <c r="Z5" s="248"/>
      <c r="AA5" s="248"/>
      <c r="AB5" s="248"/>
      <c r="AC5" s="248"/>
      <c r="AD5" s="248"/>
      <c r="AE5" s="248"/>
      <c r="AF5" s="248"/>
      <c r="AG5" s="248"/>
      <c r="AH5" s="248"/>
      <c r="AI5" s="248"/>
      <c r="AJ5" s="248"/>
      <c r="AK5" s="248"/>
      <c r="AL5" s="248"/>
      <c r="AM5" s="248"/>
      <c r="AN5" s="248"/>
      <c r="AO5" s="248"/>
      <c r="AP5" s="248"/>
      <c r="AQ5" s="248"/>
      <c r="AR5" s="248"/>
      <c r="AS5" s="248"/>
      <c r="AT5" s="248"/>
      <c r="AU5" s="248"/>
      <c r="AV5" s="248"/>
      <c r="AW5" s="248"/>
      <c r="AX5" s="248"/>
      <c r="AY5" s="248"/>
      <c r="AZ5" s="248"/>
    </row>
    <row r="6" spans="1:52" s="248" customFormat="1" ht="15" customHeight="1">
      <c r="A6" s="364" t="s">
        <v>10</v>
      </c>
      <c r="B6" s="521" t="s">
        <v>475</v>
      </c>
      <c r="C6" s="388"/>
      <c r="D6" s="389"/>
      <c r="E6" s="448"/>
      <c r="F6" s="388" t="s">
        <v>302</v>
      </c>
      <c r="G6" s="388" t="s">
        <v>290</v>
      </c>
      <c r="H6" s="390" t="s">
        <v>278</v>
      </c>
      <c r="I6" s="391" t="s">
        <v>431</v>
      </c>
      <c r="J6" s="401" t="s">
        <v>210</v>
      </c>
      <c r="K6" s="393"/>
      <c r="L6" s="394" t="s">
        <v>511</v>
      </c>
      <c r="M6" s="395"/>
      <c r="N6" s="439"/>
      <c r="O6" s="509"/>
      <c r="P6" s="396"/>
      <c r="Q6" s="397"/>
      <c r="R6" s="398"/>
      <c r="S6" s="510"/>
      <c r="T6" s="516" t="s">
        <v>558</v>
      </c>
      <c r="U6" s="516"/>
      <c r="V6" s="17"/>
      <c r="W6" s="498"/>
      <c r="X6" s="399" t="s">
        <v>78</v>
      </c>
      <c r="Y6" s="500">
        <v>2</v>
      </c>
    </row>
    <row r="7" spans="1:52" s="248" customFormat="1" ht="15" customHeight="1">
      <c r="A7" s="364" t="s">
        <v>11</v>
      </c>
      <c r="B7" s="520" t="s">
        <v>477</v>
      </c>
      <c r="C7" s="231" t="s">
        <v>81</v>
      </c>
      <c r="D7" s="440"/>
      <c r="E7" s="449"/>
      <c r="F7" s="346" t="s">
        <v>302</v>
      </c>
      <c r="G7" s="231"/>
      <c r="H7" s="371" t="s">
        <v>237</v>
      </c>
      <c r="I7" s="232" t="s">
        <v>433</v>
      </c>
      <c r="J7" s="346" t="s">
        <v>542</v>
      </c>
      <c r="K7" s="375"/>
      <c r="L7" s="369"/>
      <c r="M7" s="376"/>
      <c r="N7" s="441"/>
      <c r="O7" s="511"/>
      <c r="P7" s="400"/>
      <c r="Q7" s="378"/>
      <c r="R7" s="377"/>
      <c r="S7" s="512"/>
      <c r="T7" s="517" t="s">
        <v>558</v>
      </c>
      <c r="U7" s="517"/>
      <c r="V7" s="360"/>
      <c r="W7" s="497"/>
      <c r="X7" s="30" t="s">
        <v>78</v>
      </c>
      <c r="Y7" s="500">
        <v>3</v>
      </c>
    </row>
    <row r="8" spans="1:52" s="248" customFormat="1" ht="15" customHeight="1">
      <c r="A8" s="364" t="s">
        <v>12</v>
      </c>
      <c r="B8" s="522" t="s">
        <v>478</v>
      </c>
      <c r="C8" s="49"/>
      <c r="D8" s="379"/>
      <c r="E8" s="450"/>
      <c r="F8" s="49" t="s">
        <v>302</v>
      </c>
      <c r="G8" s="46" t="s">
        <v>290</v>
      </c>
      <c r="H8" s="45" t="s">
        <v>278</v>
      </c>
      <c r="I8" s="233" t="s">
        <v>432</v>
      </c>
      <c r="J8" s="49"/>
      <c r="K8" s="381"/>
      <c r="L8" s="380"/>
      <c r="M8" s="382"/>
      <c r="N8" s="234"/>
      <c r="O8" s="513"/>
      <c r="P8" s="383"/>
      <c r="Q8" s="384"/>
      <c r="R8" s="385"/>
      <c r="S8" s="514"/>
      <c r="T8" s="518" t="s">
        <v>558</v>
      </c>
      <c r="U8" s="518" t="s">
        <v>375</v>
      </c>
      <c r="V8" s="25"/>
      <c r="W8" s="499"/>
      <c r="X8" s="31" t="s">
        <v>78</v>
      </c>
      <c r="Y8" s="500">
        <v>4</v>
      </c>
    </row>
    <row r="9" spans="1:52" s="5" customFormat="1" ht="15" customHeight="1">
      <c r="A9" s="364" t="s">
        <v>13</v>
      </c>
      <c r="B9" s="523" t="s">
        <v>479</v>
      </c>
      <c r="C9" s="347" t="s">
        <v>141</v>
      </c>
      <c r="D9" s="379"/>
      <c r="E9" s="450"/>
      <c r="F9" s="49" t="s">
        <v>302</v>
      </c>
      <c r="G9" s="46" t="s">
        <v>363</v>
      </c>
      <c r="H9" s="45" t="s">
        <v>366</v>
      </c>
      <c r="I9" s="233" t="s">
        <v>368</v>
      </c>
      <c r="J9" s="49" t="s">
        <v>542</v>
      </c>
      <c r="K9" s="381"/>
      <c r="L9" s="380"/>
      <c r="M9" s="382"/>
      <c r="N9" s="43"/>
      <c r="O9" s="513"/>
      <c r="P9" s="383"/>
      <c r="Q9" s="384"/>
      <c r="R9" s="385"/>
      <c r="S9" s="514"/>
      <c r="T9" s="518" t="s">
        <v>558</v>
      </c>
      <c r="U9" s="518"/>
      <c r="V9" s="25"/>
      <c r="W9" s="499"/>
      <c r="X9" s="31" t="s">
        <v>78</v>
      </c>
      <c r="Y9" s="500">
        <v>5</v>
      </c>
      <c r="Z9" s="248"/>
      <c r="AA9" s="248"/>
      <c r="AB9" s="248"/>
      <c r="AC9" s="248"/>
      <c r="AD9" s="248"/>
      <c r="AE9" s="248"/>
      <c r="AF9" s="248"/>
      <c r="AG9" s="248"/>
      <c r="AH9" s="248"/>
      <c r="AI9" s="248"/>
      <c r="AJ9" s="248"/>
      <c r="AK9" s="248"/>
      <c r="AL9" s="248"/>
      <c r="AM9" s="248"/>
      <c r="AN9" s="248"/>
      <c r="AO9" s="248"/>
      <c r="AP9" s="248"/>
      <c r="AQ9" s="248"/>
      <c r="AR9" s="248"/>
      <c r="AS9" s="248"/>
      <c r="AT9" s="248"/>
      <c r="AU9" s="248"/>
      <c r="AV9" s="248"/>
      <c r="AW9" s="248"/>
      <c r="AX9" s="248"/>
      <c r="AY9" s="248"/>
      <c r="AZ9" s="248"/>
    </row>
    <row r="10" spans="1:52" s="248" customFormat="1" ht="15" customHeight="1">
      <c r="A10" s="364" t="s">
        <v>14</v>
      </c>
      <c r="B10" s="520" t="s">
        <v>476</v>
      </c>
      <c r="C10" s="346" t="s">
        <v>361</v>
      </c>
      <c r="D10" s="373"/>
      <c r="E10" s="373"/>
      <c r="F10" s="369" t="s">
        <v>302</v>
      </c>
      <c r="G10" s="346"/>
      <c r="H10" s="371" t="s">
        <v>237</v>
      </c>
      <c r="I10" s="231" t="s">
        <v>432</v>
      </c>
      <c r="J10" s="368" t="s">
        <v>543</v>
      </c>
      <c r="K10" s="375"/>
      <c r="L10" s="368" t="s">
        <v>374</v>
      </c>
      <c r="M10" s="376"/>
      <c r="N10" s="370"/>
      <c r="O10" s="511"/>
      <c r="P10" s="400"/>
      <c r="Q10" s="378"/>
      <c r="R10" s="377"/>
      <c r="S10" s="512"/>
      <c r="T10" s="517" t="s">
        <v>558</v>
      </c>
      <c r="U10" s="517"/>
      <c r="V10" s="360"/>
      <c r="W10" s="497"/>
      <c r="X10" s="30" t="s">
        <v>78</v>
      </c>
      <c r="Y10" s="500">
        <v>6</v>
      </c>
    </row>
    <row r="11" spans="1:52" s="5" customFormat="1" ht="15" customHeight="1">
      <c r="A11" s="364" t="s">
        <v>15</v>
      </c>
      <c r="B11" s="523" t="s">
        <v>480</v>
      </c>
      <c r="C11" s="49"/>
      <c r="D11" s="379"/>
      <c r="E11" s="379"/>
      <c r="F11" s="254" t="s">
        <v>302</v>
      </c>
      <c r="G11" s="49"/>
      <c r="H11" s="504" t="s">
        <v>237</v>
      </c>
      <c r="I11" s="505" t="s">
        <v>437</v>
      </c>
      <c r="J11" s="254"/>
      <c r="K11" s="381"/>
      <c r="L11" s="380"/>
      <c r="M11" s="382"/>
      <c r="N11" s="43"/>
      <c r="O11" s="513"/>
      <c r="P11" s="383"/>
      <c r="Q11" s="384"/>
      <c r="R11" s="385"/>
      <c r="S11" s="514"/>
      <c r="T11" s="518" t="s">
        <v>558</v>
      </c>
      <c r="U11" s="518"/>
      <c r="V11" s="25"/>
      <c r="W11" s="499"/>
      <c r="X11" s="31" t="s">
        <v>78</v>
      </c>
      <c r="Y11" s="500">
        <v>7</v>
      </c>
      <c r="Z11" s="248"/>
      <c r="AA11" s="248"/>
      <c r="AB11" s="248"/>
      <c r="AC11" s="248"/>
      <c r="AD11" s="248"/>
      <c r="AE11" s="248"/>
      <c r="AF11" s="248"/>
      <c r="AG11" s="248"/>
      <c r="AH11" s="248"/>
      <c r="AI11" s="248"/>
      <c r="AJ11" s="248"/>
      <c r="AK11" s="248"/>
      <c r="AL11" s="248"/>
      <c r="AM11" s="248"/>
      <c r="AN11" s="248"/>
      <c r="AO11" s="248"/>
      <c r="AP11" s="248"/>
      <c r="AQ11" s="248"/>
      <c r="AR11" s="248"/>
      <c r="AS11" s="248"/>
      <c r="AT11" s="248"/>
      <c r="AU11" s="248"/>
      <c r="AV11" s="248"/>
      <c r="AW11" s="248"/>
      <c r="AX11" s="248"/>
      <c r="AY11" s="248"/>
      <c r="AZ11" s="248"/>
    </row>
    <row r="12" spans="1:52" s="4" customFormat="1" ht="15" customHeight="1">
      <c r="A12" s="364" t="s">
        <v>16</v>
      </c>
      <c r="B12" s="524" t="s">
        <v>483</v>
      </c>
      <c r="C12" s="25"/>
      <c r="D12" s="379"/>
      <c r="E12" s="379"/>
      <c r="F12" s="248" t="s">
        <v>302</v>
      </c>
      <c r="G12" s="25"/>
      <c r="H12" s="1"/>
      <c r="I12" s="25"/>
      <c r="J12" s="254" t="s">
        <v>372</v>
      </c>
      <c r="K12" s="442"/>
      <c r="L12" s="380"/>
      <c r="M12" s="382"/>
      <c r="N12" s="16"/>
      <c r="O12" s="513"/>
      <c r="P12" s="383"/>
      <c r="Q12" s="384"/>
      <c r="R12" s="385"/>
      <c r="S12" s="514"/>
      <c r="T12" s="518" t="s">
        <v>558</v>
      </c>
      <c r="U12" s="518"/>
      <c r="V12" s="25"/>
      <c r="W12" s="499"/>
      <c r="X12" s="31" t="s">
        <v>78</v>
      </c>
      <c r="Y12" s="500">
        <v>8</v>
      </c>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row>
    <row r="13" spans="1:52" s="5" customFormat="1" ht="15" customHeight="1">
      <c r="A13" s="364" t="s">
        <v>17</v>
      </c>
      <c r="B13" s="522" t="s">
        <v>482</v>
      </c>
      <c r="C13" s="49"/>
      <c r="D13" s="379"/>
      <c r="E13" s="379"/>
      <c r="F13" s="254" t="s">
        <v>507</v>
      </c>
      <c r="G13" s="49" t="s">
        <v>508</v>
      </c>
      <c r="H13" s="504"/>
      <c r="I13" s="505"/>
      <c r="J13" s="254"/>
      <c r="K13" s="381"/>
      <c r="L13" s="380"/>
      <c r="M13" s="382"/>
      <c r="N13" s="43"/>
      <c r="O13" s="513"/>
      <c r="P13" s="383"/>
      <c r="Q13" s="384"/>
      <c r="R13" s="385"/>
      <c r="S13" s="514"/>
      <c r="T13" s="518" t="s">
        <v>558</v>
      </c>
      <c r="U13" s="518"/>
      <c r="V13" s="25"/>
      <c r="W13" s="499"/>
      <c r="X13" s="31" t="s">
        <v>78</v>
      </c>
      <c r="Y13" s="500">
        <v>9</v>
      </c>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row>
    <row r="14" spans="1:52" s="4" customFormat="1" ht="15" customHeight="1">
      <c r="A14" s="364" t="s">
        <v>18</v>
      </c>
      <c r="B14" s="520" t="s">
        <v>484</v>
      </c>
      <c r="C14" s="346"/>
      <c r="D14" s="373"/>
      <c r="E14" s="373"/>
      <c r="F14" s="369" t="s">
        <v>426</v>
      </c>
      <c r="G14" s="346"/>
      <c r="H14" s="371"/>
      <c r="I14" s="231" t="s">
        <v>369</v>
      </c>
      <c r="J14" s="369" t="s">
        <v>372</v>
      </c>
      <c r="K14" s="375"/>
      <c r="L14" s="368"/>
      <c r="M14" s="376"/>
      <c r="N14" s="370"/>
      <c r="O14" s="511"/>
      <c r="P14" s="400"/>
      <c r="Q14" s="378"/>
      <c r="R14" s="377"/>
      <c r="S14" s="512"/>
      <c r="T14" s="517" t="s">
        <v>558</v>
      </c>
      <c r="U14" s="517"/>
      <c r="V14" s="360"/>
      <c r="W14" s="314"/>
      <c r="X14" s="30" t="s">
        <v>78</v>
      </c>
      <c r="Y14" s="500">
        <v>10</v>
      </c>
      <c r="Z14" s="248"/>
      <c r="AA14" s="248"/>
      <c r="AB14" s="248"/>
      <c r="AC14" s="248"/>
      <c r="AD14" s="248"/>
      <c r="AE14" s="248"/>
      <c r="AF14" s="248"/>
      <c r="AG14" s="248"/>
      <c r="AH14" s="248"/>
      <c r="AI14" s="248"/>
      <c r="AJ14" s="248"/>
      <c r="AK14" s="248"/>
      <c r="AL14" s="248"/>
      <c r="AM14" s="248"/>
      <c r="AN14" s="248"/>
      <c r="AO14" s="248"/>
      <c r="AP14" s="248"/>
      <c r="AQ14" s="248"/>
      <c r="AR14" s="248"/>
      <c r="AS14" s="248"/>
      <c r="AT14" s="248"/>
      <c r="AU14" s="248"/>
      <c r="AV14" s="248"/>
      <c r="AW14" s="248"/>
      <c r="AX14" s="248"/>
      <c r="AY14" s="248"/>
      <c r="AZ14" s="248"/>
    </row>
    <row r="15" spans="1:52" s="248" customFormat="1" ht="15" customHeight="1">
      <c r="A15" s="364" t="s">
        <v>19</v>
      </c>
      <c r="B15" s="524" t="s">
        <v>485</v>
      </c>
      <c r="C15" s="347" t="s">
        <v>441</v>
      </c>
      <c r="D15" s="379"/>
      <c r="E15" s="379"/>
      <c r="F15" s="254" t="s">
        <v>426</v>
      </c>
      <c r="G15" s="49"/>
      <c r="H15" s="504" t="s">
        <v>235</v>
      </c>
      <c r="I15" s="505" t="s">
        <v>368</v>
      </c>
      <c r="J15" s="254" t="s">
        <v>372</v>
      </c>
      <c r="K15" s="381"/>
      <c r="L15" s="380"/>
      <c r="M15" s="382"/>
      <c r="N15" s="43"/>
      <c r="O15" s="513"/>
      <c r="P15" s="386"/>
      <c r="Q15" s="384"/>
      <c r="R15" s="385"/>
      <c r="S15" s="514"/>
      <c r="T15" s="584" t="s">
        <v>556</v>
      </c>
      <c r="U15" s="518"/>
      <c r="V15" s="25"/>
      <c r="W15" s="499"/>
      <c r="X15" s="31" t="s">
        <v>78</v>
      </c>
      <c r="Y15" s="500">
        <v>11</v>
      </c>
    </row>
    <row r="16" spans="1:52" ht="15" customHeight="1">
      <c r="A16" s="364" t="s">
        <v>20</v>
      </c>
      <c r="B16" s="520" t="s">
        <v>486</v>
      </c>
      <c r="C16" s="346"/>
      <c r="D16" s="373"/>
      <c r="E16" s="373"/>
      <c r="F16" s="369" t="s">
        <v>541</v>
      </c>
      <c r="G16" s="346" t="s">
        <v>364</v>
      </c>
      <c r="H16" s="371" t="s">
        <v>246</v>
      </c>
      <c r="I16" s="231"/>
      <c r="J16" s="369"/>
      <c r="K16" s="375"/>
      <c r="L16" s="368"/>
      <c r="M16" s="376"/>
      <c r="N16" s="370"/>
      <c r="O16" s="511"/>
      <c r="P16" s="400"/>
      <c r="Q16" s="378"/>
      <c r="R16" s="377"/>
      <c r="S16" s="512"/>
      <c r="T16" s="585" t="s">
        <v>556</v>
      </c>
      <c r="U16" s="517"/>
      <c r="V16" s="360"/>
      <c r="W16" s="497"/>
      <c r="X16" s="30" t="s">
        <v>78</v>
      </c>
      <c r="Y16" s="500">
        <v>12</v>
      </c>
    </row>
    <row r="17" spans="1:25" ht="15" customHeight="1">
      <c r="A17" s="364" t="s">
        <v>21</v>
      </c>
      <c r="B17" s="522" t="s">
        <v>487</v>
      </c>
      <c r="C17" s="49"/>
      <c r="D17" s="379"/>
      <c r="E17" s="379"/>
      <c r="F17" s="451" t="s">
        <v>541</v>
      </c>
      <c r="G17" s="505" t="s">
        <v>365</v>
      </c>
      <c r="H17" s="504"/>
      <c r="I17" s="505" t="s">
        <v>370</v>
      </c>
      <c r="J17" s="254" t="s">
        <v>372</v>
      </c>
      <c r="K17" s="381"/>
      <c r="L17" s="380"/>
      <c r="M17" s="382"/>
      <c r="N17" s="43"/>
      <c r="O17" s="513"/>
      <c r="P17" s="383"/>
      <c r="Q17" s="384"/>
      <c r="R17" s="385"/>
      <c r="S17" s="514"/>
      <c r="T17" s="584" t="s">
        <v>556</v>
      </c>
      <c r="U17" s="518"/>
      <c r="V17" s="25"/>
      <c r="W17" s="499"/>
      <c r="X17" s="31" t="s">
        <v>78</v>
      </c>
      <c r="Y17" s="500">
        <v>13</v>
      </c>
    </row>
    <row r="18" spans="1:25" ht="15" customHeight="1">
      <c r="A18" s="364" t="s">
        <v>22</v>
      </c>
      <c r="B18" s="522" t="s">
        <v>488</v>
      </c>
      <c r="C18" s="49"/>
      <c r="D18" s="379"/>
      <c r="E18" s="379"/>
      <c r="F18" s="254" t="s">
        <v>541</v>
      </c>
      <c r="G18" s="505" t="s">
        <v>365</v>
      </c>
      <c r="H18" s="504"/>
      <c r="I18" s="505"/>
      <c r="J18" s="254"/>
      <c r="K18" s="381"/>
      <c r="L18" s="380"/>
      <c r="M18" s="382"/>
      <c r="N18" s="43"/>
      <c r="O18" s="513"/>
      <c r="P18" s="383"/>
      <c r="Q18" s="384"/>
      <c r="R18" s="385"/>
      <c r="S18" s="514"/>
      <c r="T18" s="584" t="s">
        <v>557</v>
      </c>
      <c r="U18" s="518"/>
      <c r="V18" s="25"/>
      <c r="W18" s="499"/>
      <c r="X18" s="31" t="s">
        <v>78</v>
      </c>
      <c r="Y18" s="500">
        <v>14</v>
      </c>
    </row>
    <row r="19" spans="1:25" ht="15" customHeight="1">
      <c r="A19" s="364" t="s">
        <v>208</v>
      </c>
      <c r="B19" s="521" t="s">
        <v>489</v>
      </c>
      <c r="C19" s="388"/>
      <c r="D19" s="389"/>
      <c r="E19" s="389"/>
      <c r="F19" s="392" t="s">
        <v>541</v>
      </c>
      <c r="G19" s="401" t="s">
        <v>365</v>
      </c>
      <c r="H19" s="390"/>
      <c r="I19" s="401"/>
      <c r="J19" s="392" t="s">
        <v>372</v>
      </c>
      <c r="K19" s="393"/>
      <c r="L19" s="394"/>
      <c r="M19" s="395"/>
      <c r="N19" s="502"/>
      <c r="O19" s="509"/>
      <c r="P19" s="396"/>
      <c r="Q19" s="397"/>
      <c r="R19" s="398"/>
      <c r="S19" s="510"/>
      <c r="T19" s="586" t="s">
        <v>556</v>
      </c>
      <c r="U19" s="516"/>
      <c r="V19" s="17"/>
      <c r="W19" s="498"/>
      <c r="X19" s="399" t="s">
        <v>78</v>
      </c>
      <c r="Y19" s="500">
        <v>15</v>
      </c>
    </row>
    <row r="20" spans="1:25" ht="15" customHeight="1">
      <c r="A20" s="364" t="s">
        <v>23</v>
      </c>
      <c r="B20" s="520" t="s">
        <v>491</v>
      </c>
      <c r="C20" s="346"/>
      <c r="D20" s="373"/>
      <c r="E20" s="373"/>
      <c r="F20" s="369" t="s">
        <v>366</v>
      </c>
      <c r="G20" s="231"/>
      <c r="H20" s="371"/>
      <c r="I20" s="231"/>
      <c r="J20" s="369"/>
      <c r="K20" s="375"/>
      <c r="L20" s="368"/>
      <c r="M20" s="376"/>
      <c r="N20" s="370"/>
      <c r="O20" s="511"/>
      <c r="P20" s="400"/>
      <c r="Q20" s="378"/>
      <c r="R20" s="377"/>
      <c r="S20" s="512"/>
      <c r="T20" s="517" t="s">
        <v>558</v>
      </c>
      <c r="U20" s="517"/>
      <c r="V20" s="360"/>
      <c r="W20" s="497"/>
      <c r="X20" s="30" t="s">
        <v>78</v>
      </c>
      <c r="Y20" s="500">
        <v>16</v>
      </c>
    </row>
    <row r="21" spans="1:25" ht="15" customHeight="1">
      <c r="A21" s="364" t="s">
        <v>24</v>
      </c>
      <c r="B21" s="525" t="s">
        <v>492</v>
      </c>
      <c r="C21" s="360"/>
      <c r="D21" s="373"/>
      <c r="E21" s="373"/>
      <c r="F21" s="4" t="s">
        <v>427</v>
      </c>
      <c r="G21" s="346"/>
      <c r="H21" s="372" t="s">
        <v>406</v>
      </c>
      <c r="I21" s="360" t="s">
        <v>371</v>
      </c>
      <c r="J21" s="369"/>
      <c r="K21" s="438"/>
      <c r="L21" s="4"/>
      <c r="M21" s="376"/>
      <c r="N21" s="506"/>
      <c r="O21" s="511"/>
      <c r="P21" s="400"/>
      <c r="Q21" s="378"/>
      <c r="R21" s="377"/>
      <c r="S21" s="512"/>
      <c r="T21" s="585" t="s">
        <v>556</v>
      </c>
      <c r="U21" s="517" t="s">
        <v>376</v>
      </c>
      <c r="V21" s="360"/>
      <c r="W21" s="497"/>
      <c r="X21" s="30" t="s">
        <v>78</v>
      </c>
      <c r="Y21" s="500">
        <v>17</v>
      </c>
    </row>
    <row r="22" spans="1:25" ht="15" customHeight="1">
      <c r="A22" s="364" t="s">
        <v>481</v>
      </c>
      <c r="B22" s="523" t="s">
        <v>493</v>
      </c>
      <c r="C22" s="25" t="s">
        <v>362</v>
      </c>
      <c r="D22" s="379"/>
      <c r="E22" s="379"/>
      <c r="F22" s="248" t="s">
        <v>427</v>
      </c>
      <c r="G22" s="49"/>
      <c r="H22" s="1" t="s">
        <v>406</v>
      </c>
      <c r="I22" s="25" t="s">
        <v>371</v>
      </c>
      <c r="J22" s="254"/>
      <c r="K22" s="442"/>
      <c r="L22" s="248"/>
      <c r="M22" s="382"/>
      <c r="N22" s="16"/>
      <c r="O22" s="513"/>
      <c r="P22" s="383"/>
      <c r="Q22" s="384"/>
      <c r="R22" s="385"/>
      <c r="S22" s="514"/>
      <c r="T22" s="584" t="s">
        <v>556</v>
      </c>
      <c r="U22" s="518" t="s">
        <v>376</v>
      </c>
      <c r="V22" s="25"/>
      <c r="W22" s="499"/>
      <c r="X22" s="31" t="s">
        <v>78</v>
      </c>
      <c r="Y22" s="500">
        <v>18</v>
      </c>
    </row>
    <row r="23" spans="1:25" ht="15" customHeight="1">
      <c r="A23" s="364" t="s">
        <v>490</v>
      </c>
      <c r="B23" s="523" t="s">
        <v>494</v>
      </c>
      <c r="C23" s="25" t="s">
        <v>362</v>
      </c>
      <c r="D23" s="379"/>
      <c r="E23" s="379"/>
      <c r="F23" s="248" t="s">
        <v>427</v>
      </c>
      <c r="G23" s="49"/>
      <c r="H23" s="1"/>
      <c r="I23" s="25" t="s">
        <v>371</v>
      </c>
      <c r="J23" s="254"/>
      <c r="K23" s="442"/>
      <c r="L23" s="248"/>
      <c r="M23" s="382"/>
      <c r="N23" s="16"/>
      <c r="O23" s="513"/>
      <c r="P23" s="383"/>
      <c r="Q23" s="384"/>
      <c r="R23" s="385"/>
      <c r="S23" s="514"/>
      <c r="T23" s="584" t="s">
        <v>556</v>
      </c>
      <c r="U23" s="518" t="s">
        <v>376</v>
      </c>
      <c r="V23" s="25"/>
      <c r="W23" s="499"/>
      <c r="X23" s="31" t="s">
        <v>78</v>
      </c>
      <c r="Y23" s="500">
        <v>19</v>
      </c>
    </row>
    <row r="24" spans="1:25" ht="15" customHeight="1">
      <c r="A24" s="364" t="s">
        <v>496</v>
      </c>
      <c r="B24" s="523" t="s">
        <v>495</v>
      </c>
      <c r="C24" s="25" t="s">
        <v>362</v>
      </c>
      <c r="D24" s="379"/>
      <c r="E24" s="379"/>
      <c r="F24" s="248" t="s">
        <v>427</v>
      </c>
      <c r="G24" s="49"/>
      <c r="H24" s="1" t="s">
        <v>406</v>
      </c>
      <c r="I24" s="25" t="s">
        <v>371</v>
      </c>
      <c r="J24" s="254"/>
      <c r="K24" s="442"/>
      <c r="L24" s="248"/>
      <c r="M24" s="382"/>
      <c r="N24" s="16"/>
      <c r="O24" s="513"/>
      <c r="P24" s="383"/>
      <c r="Q24" s="384"/>
      <c r="R24" s="385"/>
      <c r="S24" s="514"/>
      <c r="T24" s="584" t="s">
        <v>556</v>
      </c>
      <c r="U24" s="518" t="s">
        <v>376</v>
      </c>
      <c r="V24" s="25"/>
      <c r="W24" s="499"/>
      <c r="X24" s="31" t="s">
        <v>78</v>
      </c>
      <c r="Y24" s="500">
        <v>20</v>
      </c>
    </row>
    <row r="25" spans="1:25" ht="15" customHeight="1">
      <c r="A25" s="34"/>
      <c r="T25" t="s">
        <v>197</v>
      </c>
    </row>
    <row r="26" spans="1:25" ht="15" customHeight="1">
      <c r="C26" t="s">
        <v>82</v>
      </c>
      <c r="N26" t="s">
        <v>164</v>
      </c>
      <c r="W26" s="7"/>
    </row>
    <row r="27" spans="1:25" ht="15" customHeight="1">
      <c r="C27" t="s">
        <v>83</v>
      </c>
      <c r="F27" t="s">
        <v>177</v>
      </c>
      <c r="G27" t="s">
        <v>177</v>
      </c>
      <c r="I27" t="s">
        <v>84</v>
      </c>
      <c r="L27" t="s">
        <v>179</v>
      </c>
      <c r="N27" t="s">
        <v>165</v>
      </c>
      <c r="P27" t="s">
        <v>85</v>
      </c>
      <c r="T27" t="s">
        <v>185</v>
      </c>
      <c r="W27" s="7"/>
    </row>
    <row r="28" spans="1:25" ht="15" customHeight="1">
      <c r="C28" t="s">
        <v>86</v>
      </c>
      <c r="D28" t="s">
        <v>87</v>
      </c>
      <c r="E28" t="s">
        <v>87</v>
      </c>
      <c r="N28" t="s">
        <v>166</v>
      </c>
      <c r="T28" t="s">
        <v>186</v>
      </c>
    </row>
    <row r="29" spans="1:25" ht="15" customHeight="1">
      <c r="B29" s="7" t="s">
        <v>88</v>
      </c>
      <c r="F29" s="19" t="s">
        <v>89</v>
      </c>
      <c r="K29" s="241" t="s">
        <v>198</v>
      </c>
    </row>
    <row r="30" spans="1:25" ht="15" customHeight="1">
      <c r="C30" t="s">
        <v>90</v>
      </c>
      <c r="D30" s="12" t="s">
        <v>91</v>
      </c>
      <c r="E30" s="12" t="s">
        <v>91</v>
      </c>
      <c r="G30" s="12" t="s">
        <v>91</v>
      </c>
      <c r="H30" s="12" t="s">
        <v>91</v>
      </c>
      <c r="I30" s="12" t="s">
        <v>174</v>
      </c>
      <c r="N30" s="7" t="s">
        <v>91</v>
      </c>
    </row>
    <row r="31" spans="1:25" ht="15" customHeight="1">
      <c r="C31" t="s">
        <v>92</v>
      </c>
    </row>
    <row r="32" spans="1:25" ht="15" customHeight="1">
      <c r="C32" t="s">
        <v>93</v>
      </c>
      <c r="Q32"/>
    </row>
    <row r="34" spans="2:20" ht="15" customHeight="1">
      <c r="B34" s="36"/>
    </row>
    <row r="47" spans="2:20" ht="15" customHeight="1">
      <c r="T47" t="s">
        <v>187</v>
      </c>
    </row>
    <row r="48" spans="2:20" ht="15" customHeight="1">
      <c r="T48" t="s">
        <v>188</v>
      </c>
    </row>
    <row r="49" spans="20:20" ht="15" customHeight="1">
      <c r="T49" t="s">
        <v>189</v>
      </c>
    </row>
    <row r="50" spans="20:20" ht="15" customHeight="1">
      <c r="T50" t="s">
        <v>190</v>
      </c>
    </row>
    <row r="51" spans="20:20" ht="15" customHeight="1">
      <c r="T51" t="s">
        <v>192</v>
      </c>
    </row>
    <row r="52" spans="20:20" ht="15" customHeight="1">
      <c r="T52" t="s">
        <v>193</v>
      </c>
    </row>
    <row r="53" spans="20:20" ht="15" customHeight="1">
      <c r="T53" t="s">
        <v>191</v>
      </c>
    </row>
    <row r="54" spans="20:20" ht="15" customHeight="1">
      <c r="T54" t="s">
        <v>194</v>
      </c>
    </row>
    <row r="55" spans="20:20" ht="15" customHeight="1">
      <c r="T55" t="s">
        <v>195</v>
      </c>
    </row>
  </sheetData>
  <sortState xmlns:xlrd2="http://schemas.microsoft.com/office/spreadsheetml/2017/richdata2" ref="A5:Z24">
    <sortCondition ref="B5:B24"/>
  </sortState>
  <mergeCells count="4">
    <mergeCell ref="C1:E1"/>
    <mergeCell ref="J1:N1"/>
    <mergeCell ref="T1:U1"/>
    <mergeCell ref="G1:H1"/>
  </mergeCells>
  <phoneticPr fontId="17"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EDF62C2-FA69-F245-8FA6-02C3C17F9FB0}">
          <x14:formula1>
            <xm:f>qualitativeGewichte!$A$2:$A$9</xm:f>
          </x14:formula1>
          <xm:sqref>C3:I3 K3:S3 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K45"/>
  <sheetViews>
    <sheetView zoomScaleNormal="100" workbookViewId="0">
      <pane xSplit="2" ySplit="4" topLeftCell="C5" activePane="bottomRight" state="frozen"/>
      <selection pane="topRight" activeCell="C1" sqref="C1"/>
      <selection pane="bottomLeft" activeCell="A5" sqref="A5"/>
      <selection pane="bottomRight" activeCell="P15" sqref="P15"/>
    </sheetView>
  </sheetViews>
  <sheetFormatPr baseColWidth="10" defaultColWidth="11.453125" defaultRowHeight="12.5"/>
  <cols>
    <col min="1" max="1" width="5.1796875" style="83" customWidth="1"/>
    <col min="2" max="2" width="19.36328125" style="83" customWidth="1"/>
    <col min="3" max="3" width="6.81640625" style="83" customWidth="1"/>
    <col min="4" max="9" width="5.453125" style="83" customWidth="1"/>
    <col min="10" max="10" width="5.453125" style="230" customWidth="1"/>
    <col min="11" max="41" width="5.453125" style="83" customWidth="1"/>
    <col min="42" max="45" width="5.1796875" style="83" customWidth="1"/>
    <col min="46" max="47" width="5.81640625" style="83" customWidth="1"/>
    <col min="48" max="48" width="11.6328125" style="83" customWidth="1"/>
    <col min="49" max="49" width="10" style="83" customWidth="1"/>
    <col min="50" max="50" width="31.36328125" style="83" customWidth="1"/>
    <col min="51" max="51" width="11.6328125" style="83" customWidth="1"/>
    <col min="52" max="52" width="15.453125" style="83" customWidth="1"/>
    <col min="53" max="53" width="11" style="83" customWidth="1"/>
    <col min="54" max="54" width="13.453125" style="83" customWidth="1"/>
    <col min="55" max="55" width="10" style="83" customWidth="1"/>
    <col min="56" max="56" width="6" style="83" customWidth="1"/>
    <col min="57" max="57" width="14.7265625" style="255" customWidth="1"/>
    <col min="58" max="63" width="11.453125" style="255"/>
    <col min="64" max="16384" width="11.453125" style="83"/>
  </cols>
  <sheetData>
    <row r="1" spans="1:63" ht="13">
      <c r="A1" s="407" t="s">
        <v>94</v>
      </c>
      <c r="B1" s="408"/>
      <c r="C1" s="409"/>
      <c r="D1" s="410" t="s">
        <v>95</v>
      </c>
      <c r="E1" s="410"/>
      <c r="F1" s="634">
        <v>45200</v>
      </c>
      <c r="G1" s="635"/>
      <c r="H1" s="83" t="s">
        <v>96</v>
      </c>
      <c r="L1" s="411" t="s">
        <v>97</v>
      </c>
      <c r="M1" s="411"/>
      <c r="N1" s="412">
        <v>7</v>
      </c>
      <c r="O1" s="335" t="s">
        <v>98</v>
      </c>
      <c r="P1" s="335"/>
      <c r="Q1" s="335"/>
      <c r="R1" s="335"/>
      <c r="S1" s="335"/>
      <c r="T1" s="335"/>
      <c r="U1" s="335"/>
      <c r="V1" s="335"/>
      <c r="W1" s="335"/>
      <c r="X1" s="335"/>
      <c r="Y1" s="335"/>
      <c r="Z1" s="335"/>
      <c r="AA1" s="335"/>
      <c r="AB1" s="335"/>
      <c r="AC1" s="335"/>
      <c r="AD1" s="335"/>
      <c r="AE1" s="335"/>
      <c r="AF1" s="335"/>
      <c r="AG1" s="335"/>
      <c r="AH1" s="335"/>
      <c r="AI1" s="335"/>
      <c r="AJ1" s="335"/>
      <c r="AK1" s="335"/>
      <c r="AL1" s="335"/>
      <c r="AM1" s="335"/>
      <c r="AN1" s="335"/>
      <c r="AO1" s="335"/>
      <c r="AP1" s="335"/>
      <c r="AQ1" s="335"/>
      <c r="AR1" s="335"/>
      <c r="AS1" s="335"/>
      <c r="AT1" s="335" t="s">
        <v>209</v>
      </c>
      <c r="AU1" s="335"/>
      <c r="AV1" s="413" t="s">
        <v>168</v>
      </c>
      <c r="AW1" s="414">
        <v>31</v>
      </c>
      <c r="AX1" s="415" t="s">
        <v>99</v>
      </c>
      <c r="AY1" s="335"/>
      <c r="AZ1" s="335"/>
      <c r="BA1" s="335"/>
      <c r="BB1" s="335"/>
      <c r="BC1" s="335"/>
      <c r="BD1" s="335"/>
      <c r="BE1" s="429"/>
    </row>
    <row r="2" spans="1:63" ht="13">
      <c r="A2" s="333" t="s">
        <v>100</v>
      </c>
      <c r="B2" s="416"/>
      <c r="C2" s="334"/>
      <c r="D2" s="409" t="s">
        <v>101</v>
      </c>
      <c r="E2" s="411"/>
      <c r="F2" s="634">
        <v>45230</v>
      </c>
      <c r="G2" s="635"/>
      <c r="H2" s="83" t="s">
        <v>102</v>
      </c>
      <c r="L2" s="411" t="s">
        <v>103</v>
      </c>
      <c r="M2" s="411"/>
      <c r="N2" s="335"/>
      <c r="O2" s="335"/>
      <c r="P2" s="335"/>
      <c r="Q2" s="335"/>
      <c r="R2" s="335"/>
      <c r="S2" s="335"/>
      <c r="T2" s="335"/>
      <c r="U2" s="335"/>
      <c r="V2" s="335"/>
      <c r="W2" s="335"/>
      <c r="X2" s="335"/>
      <c r="Y2" s="335"/>
      <c r="Z2" s="335"/>
      <c r="AA2" s="335"/>
      <c r="AB2" s="335"/>
      <c r="AC2" s="335"/>
      <c r="AD2" s="335"/>
      <c r="AE2" s="335"/>
      <c r="AF2" s="335"/>
      <c r="AG2" s="335"/>
      <c r="AH2" s="335"/>
      <c r="AI2" s="335"/>
      <c r="AJ2" s="335"/>
      <c r="AK2" s="335"/>
      <c r="AL2" s="335"/>
      <c r="AM2" s="335"/>
      <c r="AN2" s="335"/>
      <c r="AO2" s="335"/>
      <c r="AP2" s="335"/>
      <c r="AQ2" s="335"/>
      <c r="AR2" s="335"/>
      <c r="AS2" s="335"/>
      <c r="AT2" s="335"/>
      <c r="AU2" s="335"/>
      <c r="AV2" s="417" t="s">
        <v>169</v>
      </c>
      <c r="AW2" s="418">
        <v>9</v>
      </c>
      <c r="AX2" s="419" t="s">
        <v>515</v>
      </c>
      <c r="AY2" s="335"/>
      <c r="AZ2" s="335"/>
      <c r="BA2" s="335"/>
      <c r="BB2" s="83" t="s">
        <v>104</v>
      </c>
    </row>
    <row r="3" spans="1:63" ht="13">
      <c r="A3" s="333"/>
      <c r="B3" s="334"/>
      <c r="C3" s="334"/>
      <c r="D3" s="420" t="str">
        <f>LEFT(TEXT(WEEKDAY(D4),"TTTT"),2)</f>
        <v>So</v>
      </c>
      <c r="E3" s="421" t="str">
        <f t="shared" ref="E3:AS3" si="0">LEFT(TEXT(WEEKDAY(E4),"TTTT"),2)</f>
        <v>Mo</v>
      </c>
      <c r="F3" s="421" t="str">
        <f t="shared" si="0"/>
        <v>Di</v>
      </c>
      <c r="G3" s="421" t="str">
        <f t="shared" si="0"/>
        <v>Mi</v>
      </c>
      <c r="H3" s="421" t="str">
        <f t="shared" si="0"/>
        <v>Do</v>
      </c>
      <c r="I3" s="421" t="str">
        <f t="shared" si="0"/>
        <v>Fr</v>
      </c>
      <c r="J3" s="422" t="str">
        <f t="shared" si="0"/>
        <v>Sa</v>
      </c>
      <c r="K3" s="461" t="str">
        <f t="shared" si="0"/>
        <v>So</v>
      </c>
      <c r="L3" s="421" t="str">
        <f t="shared" si="0"/>
        <v>Mo</v>
      </c>
      <c r="M3" s="421" t="str">
        <f t="shared" si="0"/>
        <v>Di</v>
      </c>
      <c r="N3" s="421" t="str">
        <f t="shared" si="0"/>
        <v>Mi</v>
      </c>
      <c r="O3" s="421" t="str">
        <f t="shared" si="0"/>
        <v>Do</v>
      </c>
      <c r="P3" s="421" t="str">
        <f t="shared" si="0"/>
        <v>Fr</v>
      </c>
      <c r="Q3" s="421" t="str">
        <f t="shared" si="0"/>
        <v>Sa</v>
      </c>
      <c r="R3" s="421" t="str">
        <f t="shared" si="0"/>
        <v>So</v>
      </c>
      <c r="S3" s="421" t="str">
        <f t="shared" si="0"/>
        <v>Mo</v>
      </c>
      <c r="T3" s="421" t="str">
        <f t="shared" si="0"/>
        <v>Di</v>
      </c>
      <c r="U3" s="421" t="str">
        <f t="shared" si="0"/>
        <v>Mi</v>
      </c>
      <c r="V3" s="421" t="str">
        <f t="shared" si="0"/>
        <v>Do</v>
      </c>
      <c r="W3" s="421" t="str">
        <f t="shared" si="0"/>
        <v>Fr</v>
      </c>
      <c r="X3" s="421" t="str">
        <f t="shared" si="0"/>
        <v>Sa</v>
      </c>
      <c r="Y3" s="421" t="str">
        <f t="shared" si="0"/>
        <v>So</v>
      </c>
      <c r="Z3" s="421" t="str">
        <f t="shared" si="0"/>
        <v>Mo</v>
      </c>
      <c r="AA3" s="421" t="str">
        <f t="shared" si="0"/>
        <v>Di</v>
      </c>
      <c r="AB3" s="421" t="str">
        <f t="shared" si="0"/>
        <v>Mi</v>
      </c>
      <c r="AC3" s="421" t="str">
        <f t="shared" si="0"/>
        <v>Do</v>
      </c>
      <c r="AD3" s="421" t="str">
        <f t="shared" si="0"/>
        <v>Fr</v>
      </c>
      <c r="AE3" s="421" t="str">
        <f t="shared" si="0"/>
        <v>Sa</v>
      </c>
      <c r="AF3" s="421" t="str">
        <f t="shared" si="0"/>
        <v>So</v>
      </c>
      <c r="AG3" s="421" t="str">
        <f t="shared" si="0"/>
        <v>Mo</v>
      </c>
      <c r="AH3" s="421" t="str">
        <f t="shared" si="0"/>
        <v>Di</v>
      </c>
      <c r="AI3" s="421" t="str">
        <f t="shared" si="0"/>
        <v>Mi</v>
      </c>
      <c r="AJ3" s="421" t="str">
        <f t="shared" si="0"/>
        <v>Do</v>
      </c>
      <c r="AK3" s="421" t="str">
        <f t="shared" si="0"/>
        <v>Fr</v>
      </c>
      <c r="AL3" s="421" t="str">
        <f t="shared" si="0"/>
        <v>Sa</v>
      </c>
      <c r="AM3" s="421" t="str">
        <f t="shared" si="0"/>
        <v>So</v>
      </c>
      <c r="AN3" s="421" t="str">
        <f t="shared" si="0"/>
        <v>Mo</v>
      </c>
      <c r="AO3" s="422" t="str">
        <f t="shared" si="0"/>
        <v>Di</v>
      </c>
      <c r="AP3" s="420" t="str">
        <f t="shared" si="0"/>
        <v>Mi</v>
      </c>
      <c r="AQ3" s="421" t="str">
        <f t="shared" si="0"/>
        <v>Do</v>
      </c>
      <c r="AR3" s="421" t="str">
        <f t="shared" si="0"/>
        <v>Fr</v>
      </c>
      <c r="AS3" s="422" t="str">
        <f t="shared" si="0"/>
        <v>Sa</v>
      </c>
      <c r="AT3" s="335"/>
      <c r="AU3" s="335"/>
      <c r="AV3" s="464"/>
      <c r="AW3" s="465" t="s">
        <v>105</v>
      </c>
      <c r="AX3" s="466" t="s">
        <v>106</v>
      </c>
      <c r="AY3" s="423" t="s">
        <v>196</v>
      </c>
      <c r="AZ3" s="423" t="s">
        <v>107</v>
      </c>
      <c r="BA3" s="335"/>
      <c r="BB3" s="424"/>
      <c r="BC3" s="424"/>
      <c r="BD3" s="424"/>
    </row>
    <row r="4" spans="1:63" ht="13.5" thickBot="1">
      <c r="A4" s="333" t="s">
        <v>0</v>
      </c>
      <c r="B4" s="334" t="s">
        <v>5</v>
      </c>
      <c r="C4" s="334" t="s">
        <v>108</v>
      </c>
      <c r="D4" s="338">
        <f>$F$1-N1</f>
        <v>45193</v>
      </c>
      <c r="E4" s="332">
        <f>IF(D4+1&gt;=$F$2,"",D4+1)</f>
        <v>45194</v>
      </c>
      <c r="F4" s="332">
        <f t="shared" ref="F4:AN4" si="1">E4+1</f>
        <v>45195</v>
      </c>
      <c r="G4" s="332">
        <f t="shared" si="1"/>
        <v>45196</v>
      </c>
      <c r="H4" s="337">
        <f t="shared" si="1"/>
        <v>45197</v>
      </c>
      <c r="I4" s="337">
        <f t="shared" si="1"/>
        <v>45198</v>
      </c>
      <c r="J4" s="437">
        <f t="shared" si="1"/>
        <v>45199</v>
      </c>
      <c r="K4" s="462">
        <f t="shared" si="1"/>
        <v>45200</v>
      </c>
      <c r="L4" s="332">
        <f t="shared" si="1"/>
        <v>45201</v>
      </c>
      <c r="M4" s="332">
        <f t="shared" si="1"/>
        <v>45202</v>
      </c>
      <c r="N4" s="332">
        <f t="shared" si="1"/>
        <v>45203</v>
      </c>
      <c r="O4" s="332">
        <f t="shared" si="1"/>
        <v>45204</v>
      </c>
      <c r="P4" s="332">
        <f t="shared" si="1"/>
        <v>45205</v>
      </c>
      <c r="Q4" s="332">
        <f t="shared" si="1"/>
        <v>45206</v>
      </c>
      <c r="R4" s="332">
        <f t="shared" si="1"/>
        <v>45207</v>
      </c>
      <c r="S4" s="332">
        <f t="shared" si="1"/>
        <v>45208</v>
      </c>
      <c r="T4" s="332">
        <f t="shared" si="1"/>
        <v>45209</v>
      </c>
      <c r="U4" s="332">
        <f t="shared" si="1"/>
        <v>45210</v>
      </c>
      <c r="V4" s="332">
        <f t="shared" si="1"/>
        <v>45211</v>
      </c>
      <c r="W4" s="332">
        <f t="shared" si="1"/>
        <v>45212</v>
      </c>
      <c r="X4" s="332">
        <f t="shared" si="1"/>
        <v>45213</v>
      </c>
      <c r="Y4" s="332">
        <f t="shared" si="1"/>
        <v>45214</v>
      </c>
      <c r="Z4" s="332">
        <f t="shared" si="1"/>
        <v>45215</v>
      </c>
      <c r="AA4" s="332">
        <f t="shared" si="1"/>
        <v>45216</v>
      </c>
      <c r="AB4" s="332">
        <f t="shared" si="1"/>
        <v>45217</v>
      </c>
      <c r="AC4" s="332">
        <f t="shared" si="1"/>
        <v>45218</v>
      </c>
      <c r="AD4" s="332">
        <f t="shared" si="1"/>
        <v>45219</v>
      </c>
      <c r="AE4" s="332">
        <f t="shared" si="1"/>
        <v>45220</v>
      </c>
      <c r="AF4" s="332">
        <f t="shared" si="1"/>
        <v>45221</v>
      </c>
      <c r="AG4" s="332">
        <f t="shared" si="1"/>
        <v>45222</v>
      </c>
      <c r="AH4" s="332">
        <f t="shared" si="1"/>
        <v>45223</v>
      </c>
      <c r="AI4" s="332">
        <f t="shared" si="1"/>
        <v>45224</v>
      </c>
      <c r="AJ4" s="332">
        <f t="shared" si="1"/>
        <v>45225</v>
      </c>
      <c r="AK4" s="332">
        <f t="shared" si="1"/>
        <v>45226</v>
      </c>
      <c r="AL4" s="332">
        <f t="shared" si="1"/>
        <v>45227</v>
      </c>
      <c r="AM4" s="332">
        <f t="shared" si="1"/>
        <v>45228</v>
      </c>
      <c r="AN4" s="332">
        <f t="shared" si="1"/>
        <v>45229</v>
      </c>
      <c r="AO4" s="343">
        <f t="shared" ref="AO4" si="2">AN4+1</f>
        <v>45230</v>
      </c>
      <c r="AP4" s="338">
        <f t="shared" ref="AP4" si="3">AO4+1</f>
        <v>45231</v>
      </c>
      <c r="AQ4" s="332">
        <f t="shared" ref="AQ4" si="4">AP4+1</f>
        <v>45232</v>
      </c>
      <c r="AR4" s="332">
        <f t="shared" ref="AR4" si="5">AQ4+1</f>
        <v>45233</v>
      </c>
      <c r="AS4" s="343">
        <f t="shared" ref="AS4" si="6">AR4+1</f>
        <v>45234</v>
      </c>
      <c r="AT4" s="335"/>
      <c r="AU4" s="335"/>
      <c r="AV4" s="349" t="s">
        <v>109</v>
      </c>
      <c r="AW4" s="349" t="s">
        <v>110</v>
      </c>
      <c r="AX4" s="350" t="s">
        <v>111</v>
      </c>
      <c r="AY4" s="350" t="s">
        <v>112</v>
      </c>
      <c r="AZ4" s="350" t="s">
        <v>113</v>
      </c>
      <c r="BA4" s="336" t="s">
        <v>114</v>
      </c>
      <c r="BB4" s="351"/>
      <c r="BC4" s="351"/>
      <c r="BD4" s="351"/>
    </row>
    <row r="5" spans="1:63" s="175" customFormat="1" ht="13" thickBot="1">
      <c r="A5" s="485" t="s">
        <v>9</v>
      </c>
      <c r="B5" s="229" t="s">
        <v>474</v>
      </c>
      <c r="C5" s="175" t="s">
        <v>199</v>
      </c>
      <c r="D5" s="352"/>
      <c r="E5" s="353"/>
      <c r="F5" s="353"/>
      <c r="G5" s="353"/>
      <c r="H5" s="353" t="s">
        <v>434</v>
      </c>
      <c r="I5" s="353" t="s">
        <v>221</v>
      </c>
      <c r="J5" s="353" t="s">
        <v>204</v>
      </c>
      <c r="K5" s="562" t="s">
        <v>416</v>
      </c>
      <c r="L5" s="353" t="s">
        <v>221</v>
      </c>
      <c r="M5" s="353" t="s">
        <v>221</v>
      </c>
      <c r="N5" s="562" t="s">
        <v>416</v>
      </c>
      <c r="O5" s="353" t="s">
        <v>397</v>
      </c>
      <c r="P5" s="353" t="s">
        <v>221</v>
      </c>
      <c r="Q5" s="558" t="s">
        <v>519</v>
      </c>
      <c r="R5" s="559" t="s">
        <v>62</v>
      </c>
      <c r="S5" s="559" t="s">
        <v>62</v>
      </c>
      <c r="T5" s="559" t="s">
        <v>62</v>
      </c>
      <c r="U5" s="559" t="s">
        <v>62</v>
      </c>
      <c r="V5" s="559" t="s">
        <v>62</v>
      </c>
      <c r="W5" s="560" t="s">
        <v>62</v>
      </c>
      <c r="X5" s="560" t="s">
        <v>62</v>
      </c>
      <c r="Y5" s="560" t="s">
        <v>62</v>
      </c>
      <c r="Z5" s="561" t="s">
        <v>115</v>
      </c>
      <c r="AA5" s="353" t="s">
        <v>434</v>
      </c>
      <c r="AB5" s="563" t="s">
        <v>520</v>
      </c>
      <c r="AC5" s="560" t="s">
        <v>62</v>
      </c>
      <c r="AD5" s="560" t="s">
        <v>62</v>
      </c>
      <c r="AE5" s="560" t="s">
        <v>62</v>
      </c>
      <c r="AF5" s="560" t="s">
        <v>62</v>
      </c>
      <c r="AG5" s="561" t="s">
        <v>115</v>
      </c>
      <c r="AH5" s="353" t="s">
        <v>221</v>
      </c>
      <c r="AI5" s="562" t="s">
        <v>416</v>
      </c>
      <c r="AJ5" s="355" t="s">
        <v>396</v>
      </c>
      <c r="AK5" s="355" t="s">
        <v>221</v>
      </c>
      <c r="AL5" s="556" t="s">
        <v>416</v>
      </c>
      <c r="AM5" s="555" t="s">
        <v>416</v>
      </c>
      <c r="AN5" s="353" t="s">
        <v>221</v>
      </c>
      <c r="AO5" s="354" t="s">
        <v>221</v>
      </c>
      <c r="AP5" s="463"/>
      <c r="AQ5" s="355"/>
      <c r="AR5" s="355"/>
      <c r="AS5" s="540"/>
      <c r="AT5" s="425">
        <v>1</v>
      </c>
      <c r="AU5" s="414"/>
      <c r="AV5" s="478">
        <v>66</v>
      </c>
      <c r="AW5" s="195">
        <f>ROUND((AW$1-AW$2)*(_xlfn.XLOOKUP(A5,'ma-basisdaten'!$A$3:$A$26,'ma-basisdaten'!$C$3:$C$26)*8.4)/100,0)</f>
        <v>129</v>
      </c>
      <c r="AX5" s="362"/>
      <c r="AY5" s="197">
        <v>1</v>
      </c>
      <c r="AZ5" s="196">
        <v>1</v>
      </c>
      <c r="BA5" s="426"/>
      <c r="BB5" s="235"/>
      <c r="BC5" s="235"/>
      <c r="BD5" s="235"/>
      <c r="BE5" s="255"/>
      <c r="BF5" s="255"/>
      <c r="BG5" s="255"/>
      <c r="BH5" s="255"/>
      <c r="BI5" s="255"/>
      <c r="BJ5" s="255"/>
      <c r="BK5" s="255"/>
    </row>
    <row r="6" spans="1:63" s="178" customFormat="1" ht="13" thickBot="1">
      <c r="A6" s="486" t="s">
        <v>10</v>
      </c>
      <c r="B6" s="387" t="s">
        <v>475</v>
      </c>
      <c r="C6" s="178" t="s">
        <v>199</v>
      </c>
      <c r="D6" s="341"/>
      <c r="E6" s="342"/>
      <c r="F6" s="342"/>
      <c r="G6" s="342"/>
      <c r="H6" s="342"/>
      <c r="I6" s="342" t="s">
        <v>204</v>
      </c>
      <c r="J6" s="356" t="s">
        <v>230</v>
      </c>
      <c r="K6" s="341" t="s">
        <v>204</v>
      </c>
      <c r="L6" s="342"/>
      <c r="M6" s="243"/>
      <c r="N6" s="342"/>
      <c r="O6" s="342"/>
      <c r="P6" s="342"/>
      <c r="Q6" s="342"/>
      <c r="R6" s="342"/>
      <c r="S6" s="342"/>
      <c r="T6" s="243"/>
      <c r="U6" s="342"/>
      <c r="V6" s="342"/>
      <c r="W6" s="558" t="s">
        <v>521</v>
      </c>
      <c r="X6" s="559" t="s">
        <v>62</v>
      </c>
      <c r="Y6" s="559" t="s">
        <v>62</v>
      </c>
      <c r="Z6" s="559" t="s">
        <v>62</v>
      </c>
      <c r="AA6" s="559" t="s">
        <v>62</v>
      </c>
      <c r="AB6" s="559" t="s">
        <v>62</v>
      </c>
      <c r="AC6" s="559" t="s">
        <v>62</v>
      </c>
      <c r="AD6" s="559" t="s">
        <v>62</v>
      </c>
      <c r="AE6" s="559" t="s">
        <v>62</v>
      </c>
      <c r="AF6" s="559" t="s">
        <v>62</v>
      </c>
      <c r="AG6" s="559" t="s">
        <v>62</v>
      </c>
      <c r="AH6" s="559" t="s">
        <v>62</v>
      </c>
      <c r="AI6" s="559" t="s">
        <v>62</v>
      </c>
      <c r="AJ6" s="559" t="s">
        <v>62</v>
      </c>
      <c r="AK6" s="559" t="s">
        <v>62</v>
      </c>
      <c r="AL6" s="566" t="s">
        <v>115</v>
      </c>
      <c r="AM6" s="243" t="s">
        <v>204</v>
      </c>
      <c r="AN6" s="342"/>
      <c r="AO6" s="340"/>
      <c r="AP6" s="402"/>
      <c r="AQ6" s="345"/>
      <c r="AR6" s="345"/>
      <c r="AS6" s="406"/>
      <c r="AT6" s="427">
        <v>2</v>
      </c>
      <c r="AU6" s="428"/>
      <c r="AV6" s="42">
        <v>43</v>
      </c>
      <c r="AW6" s="202">
        <f>ROUND((AW$1-AW$2)*(_xlfn.XLOOKUP(A6,'ma-basisdaten'!$A$3:$A$26,'ma-basisdaten'!$C$3:$C$26)*8.4)/100,0)</f>
        <v>166</v>
      </c>
      <c r="AX6" s="363"/>
      <c r="AY6" s="201">
        <v>2</v>
      </c>
      <c r="AZ6" s="200">
        <v>1</v>
      </c>
      <c r="BA6" s="431"/>
      <c r="BB6" s="357"/>
      <c r="BC6" s="357"/>
      <c r="BD6" s="357"/>
      <c r="BE6" s="255"/>
      <c r="BF6" s="255"/>
      <c r="BG6" s="255"/>
      <c r="BH6" s="255"/>
      <c r="BI6" s="255"/>
      <c r="BJ6" s="255"/>
      <c r="BK6" s="255"/>
    </row>
    <row r="7" spans="1:63" s="255" customFormat="1" ht="13" thickBot="1">
      <c r="A7" s="485" t="s">
        <v>11</v>
      </c>
      <c r="B7" s="229" t="s">
        <v>477</v>
      </c>
      <c r="C7" s="175" t="s">
        <v>202</v>
      </c>
      <c r="D7" s="352"/>
      <c r="E7" s="353"/>
      <c r="F7" s="353"/>
      <c r="G7" s="353" t="s">
        <v>204</v>
      </c>
      <c r="H7" s="353" t="s">
        <v>225</v>
      </c>
      <c r="I7" s="353"/>
      <c r="J7" s="354"/>
      <c r="K7" s="352" t="s">
        <v>225</v>
      </c>
      <c r="L7" s="353"/>
      <c r="M7" s="562" t="s">
        <v>416</v>
      </c>
      <c r="N7" s="353"/>
      <c r="O7" s="353"/>
      <c r="P7" s="353"/>
      <c r="Q7" s="353"/>
      <c r="R7" s="353"/>
      <c r="S7" s="353"/>
      <c r="T7" s="562" t="s">
        <v>416</v>
      </c>
      <c r="U7" s="353"/>
      <c r="V7" s="353"/>
      <c r="W7" s="243"/>
      <c r="X7" s="243"/>
      <c r="Y7" s="243"/>
      <c r="Z7" s="243"/>
      <c r="AA7" s="562" t="s">
        <v>416</v>
      </c>
      <c r="AB7" s="243"/>
      <c r="AC7" s="243"/>
      <c r="AD7" s="243"/>
      <c r="AE7" s="243"/>
      <c r="AF7" s="243"/>
      <c r="AG7" s="243"/>
      <c r="AH7" s="562" t="s">
        <v>416</v>
      </c>
      <c r="AI7" s="243"/>
      <c r="AJ7" s="243"/>
      <c r="AK7" s="243"/>
      <c r="AL7" s="243" t="s">
        <v>230</v>
      </c>
      <c r="AM7" s="562" t="s">
        <v>416</v>
      </c>
      <c r="AN7" s="353"/>
      <c r="AO7" s="562" t="s">
        <v>416</v>
      </c>
      <c r="AP7" s="355"/>
      <c r="AQ7" s="355"/>
      <c r="AR7" s="355"/>
      <c r="AS7" s="540"/>
      <c r="AT7" s="427">
        <v>3</v>
      </c>
      <c r="AU7" s="428"/>
      <c r="AV7" s="250">
        <v>35</v>
      </c>
      <c r="AW7" s="256">
        <f>ROUND((AW$1-AW$2)*(_xlfn.XLOOKUP(A7,'ma-basisdaten'!$A$3:$A$26,'ma-basisdaten'!$C$3:$C$26)*8.4)/100,0)</f>
        <v>111</v>
      </c>
      <c r="AX7" s="230"/>
      <c r="AY7" s="48">
        <v>2</v>
      </c>
      <c r="AZ7" s="199">
        <v>0</v>
      </c>
      <c r="BA7" s="429"/>
      <c r="BB7" s="236"/>
      <c r="BC7" s="236"/>
      <c r="BD7" s="236"/>
    </row>
    <row r="8" spans="1:63" s="255" customFormat="1" ht="13" thickBot="1">
      <c r="A8" s="489" t="s">
        <v>12</v>
      </c>
      <c r="B8" s="364" t="s">
        <v>478</v>
      </c>
      <c r="C8" s="255" t="s">
        <v>202</v>
      </c>
      <c r="D8" s="339"/>
      <c r="E8" s="243"/>
      <c r="F8" s="243"/>
      <c r="G8" s="243"/>
      <c r="H8" s="243"/>
      <c r="I8" s="243"/>
      <c r="J8" s="340"/>
      <c r="K8" s="631" t="s">
        <v>416</v>
      </c>
      <c r="L8" s="243"/>
      <c r="M8" s="243"/>
      <c r="N8" s="243"/>
      <c r="O8" s="243"/>
      <c r="P8" s="243"/>
      <c r="Q8" s="243"/>
      <c r="R8" s="243"/>
      <c r="S8" s="243"/>
      <c r="T8" s="243"/>
      <c r="U8" s="243"/>
      <c r="V8" s="243"/>
      <c r="W8" s="243"/>
      <c r="X8" s="243"/>
      <c r="Y8" s="243"/>
      <c r="Z8" s="243"/>
      <c r="AA8" s="243"/>
      <c r="AB8" s="243"/>
      <c r="AC8" s="243"/>
      <c r="AD8" s="243"/>
      <c r="AE8" s="243"/>
      <c r="AF8" s="243"/>
      <c r="AG8" s="243"/>
      <c r="AH8" s="243" t="s">
        <v>393</v>
      </c>
      <c r="AI8" s="243"/>
      <c r="AJ8" s="243"/>
      <c r="AK8" s="243"/>
      <c r="AL8" s="558" t="s">
        <v>522</v>
      </c>
      <c r="AM8" s="559" t="s">
        <v>62</v>
      </c>
      <c r="AN8" s="559" t="s">
        <v>62</v>
      </c>
      <c r="AO8" s="566" t="s">
        <v>115</v>
      </c>
      <c r="AP8" s="242"/>
      <c r="AQ8" s="242"/>
      <c r="AR8" s="242"/>
      <c r="AS8" s="539"/>
      <c r="AT8" s="427">
        <v>4</v>
      </c>
      <c r="AU8" s="428"/>
      <c r="AV8" s="250">
        <v>29</v>
      </c>
      <c r="AW8" s="256">
        <f>ROUND((AW$1-AW$2)*(_xlfn.XLOOKUP(A8,'ma-basisdaten'!$A$3:$A$26,'ma-basisdaten'!$C$3:$C$26)*8.4)/100,0)</f>
        <v>166</v>
      </c>
      <c r="AX8" s="230"/>
      <c r="AY8" s="48">
        <v>3</v>
      </c>
      <c r="AZ8" s="199">
        <v>0</v>
      </c>
      <c r="BA8" s="429"/>
      <c r="BB8" s="236"/>
      <c r="BC8" s="236"/>
      <c r="BD8" s="236"/>
    </row>
    <row r="9" spans="1:63" s="178" customFormat="1" ht="13" thickBot="1">
      <c r="A9" s="486" t="s">
        <v>13</v>
      </c>
      <c r="B9" s="452" t="s">
        <v>479</v>
      </c>
      <c r="C9" s="178" t="s">
        <v>280</v>
      </c>
      <c r="D9" s="341"/>
      <c r="E9" s="342"/>
      <c r="F9" s="342"/>
      <c r="G9" s="342"/>
      <c r="H9" s="342"/>
      <c r="I9" s="342"/>
      <c r="J9" s="342"/>
      <c r="K9" s="563" t="s">
        <v>416</v>
      </c>
      <c r="L9" s="560" t="s">
        <v>416</v>
      </c>
      <c r="M9" s="559" t="s">
        <v>416</v>
      </c>
      <c r="N9" s="559" t="s">
        <v>416</v>
      </c>
      <c r="O9" s="559" t="s">
        <v>416</v>
      </c>
      <c r="P9" s="559" t="s">
        <v>416</v>
      </c>
      <c r="Q9" s="559" t="s">
        <v>416</v>
      </c>
      <c r="R9" s="559" t="s">
        <v>416</v>
      </c>
      <c r="S9" s="560" t="s">
        <v>416</v>
      </c>
      <c r="T9" s="559" t="s">
        <v>416</v>
      </c>
      <c r="U9" s="559" t="s">
        <v>416</v>
      </c>
      <c r="V9" s="559" t="s">
        <v>416</v>
      </c>
      <c r="W9" s="559" t="s">
        <v>416</v>
      </c>
      <c r="X9" s="559" t="s">
        <v>416</v>
      </c>
      <c r="Y9" s="559" t="s">
        <v>416</v>
      </c>
      <c r="Z9" s="560" t="s">
        <v>416</v>
      </c>
      <c r="AA9" s="559" t="s">
        <v>416</v>
      </c>
      <c r="AB9" s="559" t="s">
        <v>416</v>
      </c>
      <c r="AC9" s="559" t="s">
        <v>416</v>
      </c>
      <c r="AD9" s="559" t="s">
        <v>416</v>
      </c>
      <c r="AE9" s="559" t="s">
        <v>416</v>
      </c>
      <c r="AF9" s="559" t="s">
        <v>416</v>
      </c>
      <c r="AG9" s="560" t="s">
        <v>416</v>
      </c>
      <c r="AH9" s="559" t="s">
        <v>416</v>
      </c>
      <c r="AI9" s="559" t="s">
        <v>416</v>
      </c>
      <c r="AJ9" s="559" t="s">
        <v>416</v>
      </c>
      <c r="AK9" s="559" t="s">
        <v>416</v>
      </c>
      <c r="AL9" s="564" t="s">
        <v>416</v>
      </c>
      <c r="AM9" s="564" t="s">
        <v>416</v>
      </c>
      <c r="AN9" s="474" t="s">
        <v>416</v>
      </c>
      <c r="AO9" s="565" t="s">
        <v>416</v>
      </c>
      <c r="AP9" s="345"/>
      <c r="AQ9" s="345"/>
      <c r="AR9" s="345"/>
      <c r="AS9" s="406"/>
      <c r="AT9" s="427">
        <v>5</v>
      </c>
      <c r="AU9" s="428"/>
      <c r="AV9" s="42">
        <v>35</v>
      </c>
      <c r="AW9" s="202">
        <f>ROUND((AW$1-AW$2)*(_xlfn.XLOOKUP(A9,'ma-basisdaten'!$A$3:$A$26,'ma-basisdaten'!$C$3:$C$26)*8.4)/100,0)</f>
        <v>55</v>
      </c>
      <c r="AX9" s="363"/>
      <c r="AY9" s="201">
        <v>0</v>
      </c>
      <c r="AZ9" s="200">
        <v>0</v>
      </c>
      <c r="BA9" s="431"/>
      <c r="BB9" s="357"/>
      <c r="BC9" s="357"/>
      <c r="BD9" s="357"/>
      <c r="BE9" s="255"/>
      <c r="BF9" s="255"/>
      <c r="BG9" s="255"/>
      <c r="BH9" s="255"/>
      <c r="BI9" s="255"/>
      <c r="BJ9" s="255"/>
      <c r="BK9" s="255"/>
    </row>
    <row r="10" spans="1:63" s="255" customFormat="1" ht="13" thickBot="1">
      <c r="A10" s="485" t="s">
        <v>14</v>
      </c>
      <c r="B10" s="229" t="s">
        <v>476</v>
      </c>
      <c r="C10" s="175" t="s">
        <v>207</v>
      </c>
      <c r="D10" s="352"/>
      <c r="E10" s="353"/>
      <c r="F10" s="353" t="s">
        <v>235</v>
      </c>
      <c r="G10" s="353" t="s">
        <v>230</v>
      </c>
      <c r="H10" s="353" t="s">
        <v>235</v>
      </c>
      <c r="I10" s="353"/>
      <c r="J10" s="353"/>
      <c r="K10" s="558" t="s">
        <v>416</v>
      </c>
      <c r="L10" s="566" t="s">
        <v>416</v>
      </c>
      <c r="M10" s="243" t="s">
        <v>204</v>
      </c>
      <c r="N10" s="243"/>
      <c r="O10" s="243"/>
      <c r="P10" s="243"/>
      <c r="Q10" s="243"/>
      <c r="R10" s="243"/>
      <c r="S10" s="562" t="s">
        <v>416</v>
      </c>
      <c r="T10" s="243" t="s">
        <v>204</v>
      </c>
      <c r="U10" s="243"/>
      <c r="V10" s="243"/>
      <c r="W10" s="243"/>
      <c r="X10" s="243"/>
      <c r="Y10" s="243"/>
      <c r="Z10" s="562" t="s">
        <v>416</v>
      </c>
      <c r="AA10" s="243" t="s">
        <v>204</v>
      </c>
      <c r="AB10" s="243"/>
      <c r="AC10" s="243"/>
      <c r="AD10" s="243"/>
      <c r="AE10" s="243"/>
      <c r="AF10" s="243"/>
      <c r="AG10" s="562" t="s">
        <v>416</v>
      </c>
      <c r="AH10" s="243" t="s">
        <v>389</v>
      </c>
      <c r="AI10" s="243"/>
      <c r="AJ10" s="243"/>
      <c r="AK10" s="243"/>
      <c r="AL10" s="243" t="s">
        <v>204</v>
      </c>
      <c r="AM10" s="243" t="s">
        <v>230</v>
      </c>
      <c r="AN10" s="562" t="s">
        <v>416</v>
      </c>
      <c r="AO10" s="340" t="s">
        <v>204</v>
      </c>
      <c r="AP10" s="339"/>
      <c r="AQ10" s="242"/>
      <c r="AR10" s="242"/>
      <c r="AS10" s="539"/>
      <c r="AT10" s="427">
        <v>6</v>
      </c>
      <c r="AU10" s="428"/>
      <c r="AV10" s="250">
        <v>23</v>
      </c>
      <c r="AW10" s="256">
        <f>ROUND((AW$1-AW$2)*(_xlfn.XLOOKUP(A10,'ma-basisdaten'!$A$3:$A$26,'ma-basisdaten'!$C$3:$C$26)*8.4)/100,0)</f>
        <v>129</v>
      </c>
      <c r="AX10" s="230"/>
      <c r="AY10" s="48">
        <v>2</v>
      </c>
      <c r="AZ10" s="199">
        <v>0</v>
      </c>
      <c r="BA10" s="429"/>
      <c r="BB10" s="236"/>
      <c r="BC10" s="236"/>
      <c r="BD10" s="236"/>
    </row>
    <row r="11" spans="1:63" s="178" customFormat="1" ht="13" thickBot="1">
      <c r="A11" s="489" t="s">
        <v>15</v>
      </c>
      <c r="B11" s="471" t="s">
        <v>480</v>
      </c>
      <c r="C11" s="472" t="s">
        <v>280</v>
      </c>
      <c r="D11" s="473"/>
      <c r="E11" s="474"/>
      <c r="F11" s="474"/>
      <c r="G11" s="474"/>
      <c r="H11" s="474"/>
      <c r="I11" s="474"/>
      <c r="J11" s="474"/>
      <c r="K11" s="558" t="s">
        <v>416</v>
      </c>
      <c r="L11" s="559" t="s">
        <v>416</v>
      </c>
      <c r="M11" s="559" t="s">
        <v>416</v>
      </c>
      <c r="N11" s="559" t="s">
        <v>416</v>
      </c>
      <c r="O11" s="559" t="s">
        <v>416</v>
      </c>
      <c r="P11" s="559" t="s">
        <v>416</v>
      </c>
      <c r="Q11" s="559" t="s">
        <v>416</v>
      </c>
      <c r="R11" s="559" t="s">
        <v>416</v>
      </c>
      <c r="S11" s="559" t="s">
        <v>416</v>
      </c>
      <c r="T11" s="559" t="s">
        <v>416</v>
      </c>
      <c r="U11" s="559" t="s">
        <v>416</v>
      </c>
      <c r="V11" s="559" t="s">
        <v>416</v>
      </c>
      <c r="W11" s="559" t="s">
        <v>416</v>
      </c>
      <c r="X11" s="559" t="s">
        <v>416</v>
      </c>
      <c r="Y11" s="559" t="s">
        <v>416</v>
      </c>
      <c r="Z11" s="559" t="s">
        <v>416</v>
      </c>
      <c r="AA11" s="559" t="s">
        <v>416</v>
      </c>
      <c r="AB11" s="559" t="s">
        <v>416</v>
      </c>
      <c r="AC11" s="559" t="s">
        <v>416</v>
      </c>
      <c r="AD11" s="559" t="s">
        <v>416</v>
      </c>
      <c r="AE11" s="559" t="s">
        <v>416</v>
      </c>
      <c r="AF11" s="559" t="s">
        <v>416</v>
      </c>
      <c r="AG11" s="559" t="s">
        <v>416</v>
      </c>
      <c r="AH11" s="559" t="s">
        <v>416</v>
      </c>
      <c r="AI11" s="559" t="s">
        <v>416</v>
      </c>
      <c r="AJ11" s="559" t="s">
        <v>416</v>
      </c>
      <c r="AK11" s="559" t="s">
        <v>416</v>
      </c>
      <c r="AL11" s="559" t="s">
        <v>416</v>
      </c>
      <c r="AM11" s="559" t="s">
        <v>416</v>
      </c>
      <c r="AN11" s="559" t="s">
        <v>416</v>
      </c>
      <c r="AO11" s="566" t="s">
        <v>416</v>
      </c>
      <c r="AP11" s="242"/>
      <c r="AQ11" s="242"/>
      <c r="AR11" s="242"/>
      <c r="AS11" s="539"/>
      <c r="AT11" s="427">
        <v>7</v>
      </c>
      <c r="AU11" s="428"/>
      <c r="AV11" s="250">
        <v>-141</v>
      </c>
      <c r="AW11" s="256">
        <f>ROUND((AW$1-AW$2)*(_xlfn.XLOOKUP(A11,'ma-basisdaten'!$A$3:$A$26,'ma-basisdaten'!$C$3:$C$26)*8.4)/100,0)</f>
        <v>0</v>
      </c>
      <c r="AX11" s="230"/>
      <c r="AY11" s="48">
        <v>0</v>
      </c>
      <c r="AZ11" s="199">
        <v>0</v>
      </c>
      <c r="BA11" s="429"/>
      <c r="BB11" s="236"/>
      <c r="BC11" s="236"/>
      <c r="BD11" s="236"/>
      <c r="BE11" s="255"/>
      <c r="BF11" s="255"/>
      <c r="BG11" s="255"/>
      <c r="BH11" s="255"/>
      <c r="BI11" s="255"/>
      <c r="BJ11" s="255"/>
      <c r="BK11" s="255"/>
    </row>
    <row r="12" spans="1:63" s="175" customFormat="1">
      <c r="A12" s="489" t="s">
        <v>16</v>
      </c>
      <c r="B12" s="365" t="s">
        <v>483</v>
      </c>
      <c r="C12" s="255" t="s">
        <v>207</v>
      </c>
      <c r="D12" s="339"/>
      <c r="E12" s="243" t="s">
        <v>235</v>
      </c>
      <c r="F12" s="243" t="s">
        <v>235</v>
      </c>
      <c r="G12" s="243" t="s">
        <v>417</v>
      </c>
      <c r="H12" s="243"/>
      <c r="I12" s="243"/>
      <c r="J12" s="340"/>
      <c r="K12" s="339" t="s">
        <v>230</v>
      </c>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t="s">
        <v>417</v>
      </c>
      <c r="AL12" s="243"/>
      <c r="AM12" s="243"/>
      <c r="AN12" s="243"/>
      <c r="AO12" s="340"/>
      <c r="AP12" s="339"/>
      <c r="AQ12" s="242"/>
      <c r="AR12" s="242"/>
      <c r="AS12" s="539"/>
      <c r="AT12" s="427">
        <v>8</v>
      </c>
      <c r="AU12" s="428"/>
      <c r="AV12" s="250">
        <v>25</v>
      </c>
      <c r="AW12" s="256">
        <f>ROUND((AW$1-AW$2)*(_xlfn.XLOOKUP(A12,'ma-basisdaten'!$A$3:$A$26,'ma-basisdaten'!$C$3:$C$26)*8.4)/100,0)</f>
        <v>92</v>
      </c>
      <c r="AX12" s="230"/>
      <c r="AY12" s="48">
        <v>2</v>
      </c>
      <c r="AZ12" s="199">
        <v>0</v>
      </c>
      <c r="BA12" s="429"/>
      <c r="BB12" s="236"/>
      <c r="BC12" s="236"/>
      <c r="BD12" s="236"/>
      <c r="BE12" s="255"/>
      <c r="BF12" s="255"/>
      <c r="BG12" s="255"/>
      <c r="BH12" s="255"/>
      <c r="BI12" s="255"/>
      <c r="BJ12" s="255"/>
      <c r="BK12" s="255"/>
    </row>
    <row r="13" spans="1:63" s="255" customFormat="1">
      <c r="A13" s="486" t="s">
        <v>17</v>
      </c>
      <c r="B13" s="387" t="s">
        <v>482</v>
      </c>
      <c r="C13" s="178" t="s">
        <v>207</v>
      </c>
      <c r="D13" s="341"/>
      <c r="E13" s="342"/>
      <c r="F13" s="342"/>
      <c r="G13" s="495" t="s">
        <v>237</v>
      </c>
      <c r="H13" s="342" t="s">
        <v>237</v>
      </c>
      <c r="I13" s="342" t="s">
        <v>237</v>
      </c>
      <c r="J13" s="356" t="s">
        <v>204</v>
      </c>
      <c r="K13" s="341" t="s">
        <v>204</v>
      </c>
      <c r="L13" s="342"/>
      <c r="M13" s="342"/>
      <c r="N13" s="342"/>
      <c r="O13" s="342"/>
      <c r="P13" s="342"/>
      <c r="Q13" s="342"/>
      <c r="R13" s="342"/>
      <c r="S13" s="342"/>
      <c r="T13" s="342"/>
      <c r="U13" s="342"/>
      <c r="V13" s="342"/>
      <c r="W13" s="342"/>
      <c r="X13" s="342"/>
      <c r="Y13" s="342"/>
      <c r="Z13" s="342"/>
      <c r="AA13" s="342"/>
      <c r="AB13" s="342"/>
      <c r="AC13" s="342"/>
      <c r="AD13" s="342"/>
      <c r="AE13" s="342"/>
      <c r="AF13" s="342"/>
      <c r="AG13" s="342"/>
      <c r="AH13" s="342"/>
      <c r="AI13" s="342"/>
      <c r="AJ13" s="342"/>
      <c r="AK13" s="342"/>
      <c r="AL13" s="342"/>
      <c r="AM13" s="342"/>
      <c r="AN13" s="342"/>
      <c r="AO13" s="356"/>
      <c r="AP13" s="405"/>
      <c r="AQ13" s="242"/>
      <c r="AR13" s="242"/>
      <c r="AS13" s="539"/>
      <c r="AT13" s="427">
        <v>9</v>
      </c>
      <c r="AU13" s="428"/>
      <c r="AV13" s="250">
        <v>15</v>
      </c>
      <c r="AW13" s="256">
        <f>ROUND((AW$1-AW$2)*(_xlfn.XLOOKUP(A13,'ma-basisdaten'!$A$3:$A$26,'ma-basisdaten'!$C$3:$C$26)*8.4)/100,0)</f>
        <v>185</v>
      </c>
      <c r="AX13" s="230"/>
      <c r="AY13" s="48">
        <v>3</v>
      </c>
      <c r="AZ13" s="199">
        <v>3</v>
      </c>
      <c r="BA13" s="429"/>
      <c r="BB13" s="236"/>
      <c r="BC13" s="236"/>
      <c r="BD13" s="236"/>
    </row>
    <row r="14" spans="1:63" s="178" customFormat="1" ht="13" thickBot="1">
      <c r="A14" s="485" t="s">
        <v>18</v>
      </c>
      <c r="B14" s="229" t="s">
        <v>484</v>
      </c>
      <c r="C14" s="175" t="s">
        <v>215</v>
      </c>
      <c r="D14" s="352"/>
      <c r="E14" s="353"/>
      <c r="F14" s="353"/>
      <c r="G14" s="353"/>
      <c r="H14" s="353"/>
      <c r="I14" s="353"/>
      <c r="J14" s="354"/>
      <c r="K14" s="352"/>
      <c r="L14" s="353"/>
      <c r="M14" s="353"/>
      <c r="N14" s="353"/>
      <c r="O14" s="353"/>
      <c r="P14" s="353"/>
      <c r="Q14" s="353"/>
      <c r="R14" s="353"/>
      <c r="S14" s="353"/>
      <c r="T14" s="353"/>
      <c r="U14" s="353"/>
      <c r="V14" s="353"/>
      <c r="W14" s="353"/>
      <c r="X14" s="353"/>
      <c r="Y14" s="353"/>
      <c r="Z14" s="353"/>
      <c r="AA14" s="353"/>
      <c r="AB14" s="353"/>
      <c r="AC14" s="353"/>
      <c r="AD14" s="353"/>
      <c r="AE14" s="353"/>
      <c r="AF14" s="353"/>
      <c r="AG14" s="353"/>
      <c r="AH14" s="353" t="s">
        <v>385</v>
      </c>
      <c r="AI14" s="353"/>
      <c r="AJ14" s="353"/>
      <c r="AK14" s="353"/>
      <c r="AL14" s="353"/>
      <c r="AM14" s="353"/>
      <c r="AN14" s="353"/>
      <c r="AO14" s="354"/>
      <c r="AP14" s="463"/>
      <c r="AQ14" s="355"/>
      <c r="AR14" s="355"/>
      <c r="AS14" s="540"/>
      <c r="AT14" s="427">
        <v>10</v>
      </c>
      <c r="AU14" s="428"/>
      <c r="AV14" s="478">
        <v>27</v>
      </c>
      <c r="AW14" s="195">
        <f>ROUND((AW$1-AW$2)*(_xlfn.XLOOKUP(A14,'ma-basisdaten'!$A$3:$A$26,'ma-basisdaten'!$C$3:$C$26)*8.4)/100,0)</f>
        <v>92</v>
      </c>
      <c r="AX14" s="362"/>
      <c r="AY14" s="197">
        <v>3</v>
      </c>
      <c r="AZ14" s="196">
        <v>0</v>
      </c>
      <c r="BA14" s="426"/>
      <c r="BB14" s="235"/>
      <c r="BC14" s="235"/>
      <c r="BD14" s="235"/>
      <c r="BE14" s="255"/>
      <c r="BF14" s="255"/>
      <c r="BG14" s="255"/>
      <c r="BH14" s="255"/>
      <c r="BI14" s="255"/>
      <c r="BJ14" s="255"/>
      <c r="BK14" s="255"/>
    </row>
    <row r="15" spans="1:63" s="255" customFormat="1" ht="13" thickBot="1">
      <c r="A15" s="489" t="s">
        <v>19</v>
      </c>
      <c r="B15" s="365" t="s">
        <v>485</v>
      </c>
      <c r="C15" s="255" t="s">
        <v>215</v>
      </c>
      <c r="D15" s="339"/>
      <c r="E15" s="242"/>
      <c r="F15" s="243"/>
      <c r="G15" s="243"/>
      <c r="H15" s="243"/>
      <c r="I15" s="243"/>
      <c r="J15" s="243"/>
      <c r="K15" s="557" t="s">
        <v>416</v>
      </c>
      <c r="L15" s="243"/>
      <c r="M15" s="243" t="s">
        <v>225</v>
      </c>
      <c r="N15" s="243"/>
      <c r="O15" s="243"/>
      <c r="P15" s="243"/>
      <c r="Q15" s="243"/>
      <c r="R15" s="243"/>
      <c r="S15" s="243"/>
      <c r="T15" s="243" t="s">
        <v>225</v>
      </c>
      <c r="U15" s="243"/>
      <c r="V15" s="243"/>
      <c r="W15" s="243"/>
      <c r="X15" s="243"/>
      <c r="Y15" s="243"/>
      <c r="Z15" s="243"/>
      <c r="AA15" s="243" t="s">
        <v>225</v>
      </c>
      <c r="AB15" s="243"/>
      <c r="AC15" s="243"/>
      <c r="AD15" s="243"/>
      <c r="AE15" s="243"/>
      <c r="AF15" s="243"/>
      <c r="AG15" s="243"/>
      <c r="AH15" s="243" t="s">
        <v>225</v>
      </c>
      <c r="AI15" s="243"/>
      <c r="AJ15" s="243"/>
      <c r="AK15" s="243"/>
      <c r="AL15" s="243"/>
      <c r="AM15" s="243"/>
      <c r="AN15" s="243"/>
      <c r="AO15" s="340" t="s">
        <v>225</v>
      </c>
      <c r="AP15" s="405"/>
      <c r="AQ15" s="242"/>
      <c r="AR15" s="242"/>
      <c r="AS15" s="539"/>
      <c r="AT15" s="427">
        <v>11</v>
      </c>
      <c r="AU15" s="428"/>
      <c r="AV15" s="250">
        <v>35</v>
      </c>
      <c r="AW15" s="256">
        <f>ROUND((AW$1-AW$2)*(_xlfn.XLOOKUP(A15,'ma-basisdaten'!$A$3:$A$26,'ma-basisdaten'!$C$3:$C$26)*8.4)/100,0)</f>
        <v>55</v>
      </c>
      <c r="AX15" s="230"/>
      <c r="AY15" s="48">
        <v>1</v>
      </c>
      <c r="AZ15" s="199">
        <v>0</v>
      </c>
      <c r="BA15" s="429"/>
      <c r="BB15" s="236"/>
      <c r="BC15" s="236"/>
      <c r="BD15" s="236"/>
    </row>
    <row r="16" spans="1:63" s="255" customFormat="1" ht="13" thickBot="1">
      <c r="A16" s="489" t="s">
        <v>20</v>
      </c>
      <c r="B16" s="364" t="s">
        <v>486</v>
      </c>
      <c r="C16" s="255" t="s">
        <v>215</v>
      </c>
      <c r="D16" s="339"/>
      <c r="E16" s="243"/>
      <c r="F16" s="243"/>
      <c r="G16" s="243" t="s">
        <v>248</v>
      </c>
      <c r="H16" s="243" t="s">
        <v>204</v>
      </c>
      <c r="I16" s="243" t="s">
        <v>235</v>
      </c>
      <c r="J16" s="340" t="s">
        <v>225</v>
      </c>
      <c r="K16" s="339"/>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c r="AI16" s="243"/>
      <c r="AJ16" s="344"/>
      <c r="AK16" s="243"/>
      <c r="AL16" s="558" t="s">
        <v>416</v>
      </c>
      <c r="AM16" s="566" t="s">
        <v>416</v>
      </c>
      <c r="AN16" s="243"/>
      <c r="AO16" s="340"/>
      <c r="AP16" s="405"/>
      <c r="AQ16" s="242"/>
      <c r="AR16" s="242"/>
      <c r="AS16" s="539"/>
      <c r="AT16" s="427">
        <v>12</v>
      </c>
      <c r="AU16" s="428"/>
      <c r="AV16" s="250">
        <v>-5</v>
      </c>
      <c r="AW16" s="256">
        <f>ROUND((AW$1-AW$2)*(_xlfn.XLOOKUP(A16,'ma-basisdaten'!$A$3:$A$26,'ma-basisdaten'!$C$3:$C$26)*8.4)/100,0)</f>
        <v>166</v>
      </c>
      <c r="AX16" s="230"/>
      <c r="AY16" s="48">
        <v>2</v>
      </c>
      <c r="AZ16" s="199">
        <v>2</v>
      </c>
      <c r="BA16" s="429"/>
      <c r="BB16" s="236"/>
      <c r="BC16" s="236"/>
      <c r="BD16" s="236"/>
    </row>
    <row r="17" spans="1:63" s="178" customFormat="1" ht="13" thickBot="1">
      <c r="A17" s="489" t="s">
        <v>21</v>
      </c>
      <c r="B17" s="364" t="s">
        <v>487</v>
      </c>
      <c r="C17" s="255" t="s">
        <v>215</v>
      </c>
      <c r="D17" s="339"/>
      <c r="E17" s="243"/>
      <c r="F17" s="243"/>
      <c r="G17" s="243"/>
      <c r="H17" s="243"/>
      <c r="I17" s="243" t="s">
        <v>248</v>
      </c>
      <c r="J17" s="340" t="s">
        <v>239</v>
      </c>
      <c r="K17" s="339"/>
      <c r="L17" s="243"/>
      <c r="M17" s="243"/>
      <c r="N17" s="243"/>
      <c r="O17" s="243"/>
      <c r="P17" s="558" t="s">
        <v>523</v>
      </c>
      <c r="Q17" s="559" t="s">
        <v>62</v>
      </c>
      <c r="R17" s="559" t="s">
        <v>62</v>
      </c>
      <c r="S17" s="559" t="s">
        <v>62</v>
      </c>
      <c r="T17" s="559" t="s">
        <v>62</v>
      </c>
      <c r="U17" s="559" t="s">
        <v>62</v>
      </c>
      <c r="V17" s="559" t="s">
        <v>62</v>
      </c>
      <c r="W17" s="559" t="s">
        <v>62</v>
      </c>
      <c r="X17" s="559" t="s">
        <v>62</v>
      </c>
      <c r="Y17" s="559" t="s">
        <v>62</v>
      </c>
      <c r="Z17" s="559" t="s">
        <v>62</v>
      </c>
      <c r="AA17" s="559" t="s">
        <v>62</v>
      </c>
      <c r="AB17" s="559" t="s">
        <v>62</v>
      </c>
      <c r="AC17" s="559" t="s">
        <v>62</v>
      </c>
      <c r="AD17" s="559" t="s">
        <v>62</v>
      </c>
      <c r="AE17" s="559" t="s">
        <v>62</v>
      </c>
      <c r="AF17" s="566" t="s">
        <v>115</v>
      </c>
      <c r="AG17" s="243"/>
      <c r="AH17" s="243"/>
      <c r="AI17" s="243"/>
      <c r="AJ17" s="243"/>
      <c r="AK17" s="243"/>
      <c r="AL17" s="243"/>
      <c r="AM17" s="243"/>
      <c r="AN17" s="243"/>
      <c r="AO17" s="340"/>
      <c r="AP17" s="405"/>
      <c r="AQ17" s="242"/>
      <c r="AR17" s="242"/>
      <c r="AS17" s="539"/>
      <c r="AT17" s="427">
        <v>13</v>
      </c>
      <c r="AU17" s="428"/>
      <c r="AV17" s="250">
        <v>24</v>
      </c>
      <c r="AW17" s="256">
        <f>ROUND((AW$1-AW$2)*(_xlfn.XLOOKUP(A17,'ma-basisdaten'!$A$3:$A$26,'ma-basisdaten'!$C$3:$C$26)*8.4)/100,0)</f>
        <v>92</v>
      </c>
      <c r="AX17" s="230"/>
      <c r="AY17" s="48">
        <v>3</v>
      </c>
      <c r="AZ17" s="199">
        <v>2</v>
      </c>
      <c r="BA17" s="429"/>
      <c r="BB17" s="236"/>
      <c r="BC17" s="236"/>
      <c r="BD17" s="236"/>
      <c r="BE17" s="255"/>
      <c r="BF17" s="255"/>
      <c r="BG17" s="255"/>
      <c r="BH17" s="255"/>
      <c r="BI17" s="255"/>
      <c r="BJ17" s="255"/>
      <c r="BK17" s="255"/>
    </row>
    <row r="18" spans="1:63" s="175" customFormat="1" ht="13" thickBot="1">
      <c r="A18" s="489" t="s">
        <v>22</v>
      </c>
      <c r="B18" s="364" t="s">
        <v>488</v>
      </c>
      <c r="C18" s="255" t="s">
        <v>215</v>
      </c>
      <c r="D18" s="339"/>
      <c r="E18" s="243" t="s">
        <v>439</v>
      </c>
      <c r="F18" s="243" t="s">
        <v>239</v>
      </c>
      <c r="G18" s="243" t="s">
        <v>242</v>
      </c>
      <c r="H18" s="243" t="s">
        <v>239</v>
      </c>
      <c r="I18" s="243" t="s">
        <v>242</v>
      </c>
      <c r="J18" s="340"/>
      <c r="K18" s="339"/>
      <c r="L18" s="243" t="s">
        <v>439</v>
      </c>
      <c r="M18" s="243"/>
      <c r="N18" s="243"/>
      <c r="O18" s="243"/>
      <c r="P18" s="243"/>
      <c r="Q18" s="243"/>
      <c r="R18" s="243"/>
      <c r="S18" s="243" t="s">
        <v>439</v>
      </c>
      <c r="T18" s="243"/>
      <c r="U18" s="243"/>
      <c r="V18" s="243"/>
      <c r="W18" s="243"/>
      <c r="X18" s="243"/>
      <c r="Y18" s="243"/>
      <c r="Z18" s="243"/>
      <c r="AA18" s="243"/>
      <c r="AB18" s="243"/>
      <c r="AC18" s="243"/>
      <c r="AD18" s="243"/>
      <c r="AE18" s="243"/>
      <c r="AF18" s="243"/>
      <c r="AG18" s="243"/>
      <c r="AH18" s="243"/>
      <c r="AI18" s="243"/>
      <c r="AJ18" s="243"/>
      <c r="AK18" s="243"/>
      <c r="AL18" s="243"/>
      <c r="AM18" s="243"/>
      <c r="AN18" s="243"/>
      <c r="AO18" s="340"/>
      <c r="AP18" s="405"/>
      <c r="AQ18" s="242"/>
      <c r="AR18" s="242"/>
      <c r="AS18" s="539"/>
      <c r="AT18" s="427">
        <v>14</v>
      </c>
      <c r="AU18" s="428"/>
      <c r="AV18" s="250">
        <v>-2</v>
      </c>
      <c r="AW18" s="256">
        <f>ROUND((AW$1-AW$2)*(_xlfn.XLOOKUP(A18,'ma-basisdaten'!$A$3:$A$26,'ma-basisdaten'!$C$3:$C$26)*8)/100,0)</f>
        <v>141</v>
      </c>
      <c r="AX18" s="230"/>
      <c r="AY18" s="48">
        <v>1</v>
      </c>
      <c r="AZ18" s="199">
        <v>0</v>
      </c>
      <c r="BA18" s="429"/>
      <c r="BB18" s="236"/>
      <c r="BC18" s="236"/>
      <c r="BD18" s="236"/>
      <c r="BE18" s="255"/>
      <c r="BF18" s="255"/>
      <c r="BG18" s="255"/>
      <c r="BH18" s="255"/>
      <c r="BI18" s="255"/>
      <c r="BJ18" s="255"/>
      <c r="BK18" s="255"/>
    </row>
    <row r="19" spans="1:63" s="255" customFormat="1" ht="13" thickBot="1">
      <c r="A19" s="486" t="s">
        <v>208</v>
      </c>
      <c r="B19" s="387" t="s">
        <v>489</v>
      </c>
      <c r="C19" s="178" t="s">
        <v>215</v>
      </c>
      <c r="D19" s="341"/>
      <c r="E19" s="342"/>
      <c r="F19" s="342"/>
      <c r="G19" s="342"/>
      <c r="H19" s="342"/>
      <c r="I19" s="342"/>
      <c r="J19" s="342"/>
      <c r="K19" s="556" t="s">
        <v>524</v>
      </c>
      <c r="L19" s="560" t="s">
        <v>62</v>
      </c>
      <c r="M19" s="560" t="s">
        <v>62</v>
      </c>
      <c r="N19" s="560" t="s">
        <v>62</v>
      </c>
      <c r="O19" s="560" t="s">
        <v>62</v>
      </c>
      <c r="P19" s="560" t="s">
        <v>62</v>
      </c>
      <c r="Q19" s="560" t="s">
        <v>62</v>
      </c>
      <c r="R19" s="561" t="s">
        <v>115</v>
      </c>
      <c r="S19" s="243"/>
      <c r="T19" s="342"/>
      <c r="U19" s="243"/>
      <c r="V19" s="243"/>
      <c r="W19" s="243"/>
      <c r="X19" s="243"/>
      <c r="Y19" s="243"/>
      <c r="Z19" s="342"/>
      <c r="AA19" s="342"/>
      <c r="AB19" s="342"/>
      <c r="AC19" s="342"/>
      <c r="AD19" s="342"/>
      <c r="AE19" s="342"/>
      <c r="AF19" s="342"/>
      <c r="AG19" s="342"/>
      <c r="AH19" s="342"/>
      <c r="AI19" s="342"/>
      <c r="AJ19" s="342"/>
      <c r="AK19" s="342"/>
      <c r="AL19" s="342"/>
      <c r="AM19" s="342"/>
      <c r="AN19" s="342"/>
      <c r="AO19" s="356"/>
      <c r="AP19" s="402"/>
      <c r="AQ19" s="345"/>
      <c r="AR19" s="345"/>
      <c r="AS19" s="406"/>
      <c r="AT19" s="427">
        <v>15</v>
      </c>
      <c r="AU19" s="428"/>
      <c r="AV19" s="42">
        <v>38</v>
      </c>
      <c r="AW19" s="202">
        <f>ROUND((AW$1-AW$2)*(_xlfn.XLOOKUP(A19,'ma-basisdaten'!$A$3:$A$26,'ma-basisdaten'!$C$3:$C$26)*8)/100,0)</f>
        <v>53</v>
      </c>
      <c r="AX19" s="363"/>
      <c r="AY19" s="48">
        <v>1</v>
      </c>
      <c r="AZ19" s="199">
        <v>0</v>
      </c>
      <c r="BA19" s="429"/>
      <c r="BB19" s="236"/>
      <c r="BC19" s="236"/>
      <c r="BD19" s="236"/>
    </row>
    <row r="20" spans="1:63" s="250" customFormat="1" ht="13" thickBot="1">
      <c r="A20" s="547" t="s">
        <v>23</v>
      </c>
      <c r="B20" s="548" t="s">
        <v>491</v>
      </c>
      <c r="C20" s="526" t="s">
        <v>504</v>
      </c>
      <c r="D20" s="549"/>
      <c r="E20" s="496" t="s">
        <v>237</v>
      </c>
      <c r="F20" s="496" t="s">
        <v>204</v>
      </c>
      <c r="G20" s="496" t="s">
        <v>235</v>
      </c>
      <c r="H20" s="496" t="s">
        <v>525</v>
      </c>
      <c r="I20" s="496" t="s">
        <v>204</v>
      </c>
      <c r="J20" s="550"/>
      <c r="K20" s="587" t="s">
        <v>416</v>
      </c>
      <c r="L20" s="627" t="s">
        <v>552</v>
      </c>
      <c r="M20" s="628" t="s">
        <v>62</v>
      </c>
      <c r="N20" s="628" t="s">
        <v>62</v>
      </c>
      <c r="O20" s="628" t="s">
        <v>62</v>
      </c>
      <c r="P20" s="628" t="s">
        <v>62</v>
      </c>
      <c r="Q20" s="628" t="s">
        <v>62</v>
      </c>
      <c r="R20" s="628" t="s">
        <v>62</v>
      </c>
      <c r="S20" s="629" t="s">
        <v>115</v>
      </c>
      <c r="T20" s="353" t="s">
        <v>504</v>
      </c>
      <c r="U20" s="627" t="s">
        <v>553</v>
      </c>
      <c r="V20" s="628" t="s">
        <v>62</v>
      </c>
      <c r="W20" s="628" t="s">
        <v>62</v>
      </c>
      <c r="X20" s="628" t="s">
        <v>62</v>
      </c>
      <c r="Y20" s="629" t="s">
        <v>115</v>
      </c>
      <c r="Z20" s="551" t="s">
        <v>525</v>
      </c>
      <c r="AA20" s="551"/>
      <c r="AB20" s="551"/>
      <c r="AC20" s="551"/>
      <c r="AD20" s="551"/>
      <c r="AE20" s="551"/>
      <c r="AF20" s="551"/>
      <c r="AG20" s="496"/>
      <c r="AH20" s="496"/>
      <c r="AI20" s="551" t="s">
        <v>504</v>
      </c>
      <c r="AJ20" s="551"/>
      <c r="AK20" s="551"/>
      <c r="AL20" s="551"/>
      <c r="AM20" s="551"/>
      <c r="AN20" s="551"/>
      <c r="AO20" s="583" t="s">
        <v>525</v>
      </c>
      <c r="AP20" s="552"/>
      <c r="AQ20" s="553"/>
      <c r="AR20" s="553"/>
      <c r="AS20" s="532"/>
      <c r="AT20" s="427">
        <v>16</v>
      </c>
      <c r="AU20" s="527"/>
      <c r="AV20" s="526">
        <v>0</v>
      </c>
      <c r="AW20" s="479">
        <f>ROUND((AW$1-AW$2)*(_xlfn.XLOOKUP(A20,'ma-basisdaten'!$A$3:$A$26,'ma-basisdaten'!$C$3:$C$26)*8.4)/100,0)</f>
        <v>185</v>
      </c>
      <c r="AX20" s="480"/>
      <c r="AY20" s="481">
        <v>1</v>
      </c>
      <c r="AZ20" s="482">
        <v>1</v>
      </c>
      <c r="BA20" s="483"/>
      <c r="BB20" s="484"/>
      <c r="BC20" s="484"/>
      <c r="BD20" s="484"/>
    </row>
    <row r="21" spans="1:63" s="255" customFormat="1" ht="13" thickBot="1">
      <c r="A21" s="485" t="s">
        <v>24</v>
      </c>
      <c r="B21" s="432" t="s">
        <v>492</v>
      </c>
      <c r="C21" s="175" t="s">
        <v>217</v>
      </c>
      <c r="D21" s="352"/>
      <c r="E21" s="353" t="s">
        <v>253</v>
      </c>
      <c r="F21" s="353" t="s">
        <v>255</v>
      </c>
      <c r="G21" s="353" t="s">
        <v>257</v>
      </c>
      <c r="H21" s="353" t="s">
        <v>255</v>
      </c>
      <c r="I21" s="353" t="s">
        <v>253</v>
      </c>
      <c r="J21" s="354"/>
      <c r="K21" s="556" t="s">
        <v>527</v>
      </c>
      <c r="L21" s="559" t="s">
        <v>62</v>
      </c>
      <c r="M21" s="559" t="s">
        <v>62</v>
      </c>
      <c r="N21" s="559" t="s">
        <v>62</v>
      </c>
      <c r="O21" s="559" t="s">
        <v>62</v>
      </c>
      <c r="P21" s="559" t="s">
        <v>62</v>
      </c>
      <c r="Q21" s="559" t="s">
        <v>62</v>
      </c>
      <c r="R21" s="559" t="s">
        <v>62</v>
      </c>
      <c r="S21" s="559" t="s">
        <v>62</v>
      </c>
      <c r="T21" s="559" t="s">
        <v>62</v>
      </c>
      <c r="U21" s="559" t="s">
        <v>62</v>
      </c>
      <c r="V21" s="559" t="s">
        <v>62</v>
      </c>
      <c r="W21" s="559" t="s">
        <v>62</v>
      </c>
      <c r="X21" s="559" t="s">
        <v>62</v>
      </c>
      <c r="Y21" s="566" t="s">
        <v>115</v>
      </c>
      <c r="Z21" s="353"/>
      <c r="AA21" s="353"/>
      <c r="AB21" s="353"/>
      <c r="AC21" s="353"/>
      <c r="AD21" s="353" t="s">
        <v>410</v>
      </c>
      <c r="AE21" s="353"/>
      <c r="AF21" s="353"/>
      <c r="AG21" s="353"/>
      <c r="AH21" s="353" t="s">
        <v>410</v>
      </c>
      <c r="AI21" s="353" t="s">
        <v>257</v>
      </c>
      <c r="AJ21" s="353"/>
      <c r="AK21" s="353" t="s">
        <v>257</v>
      </c>
      <c r="AL21" s="353"/>
      <c r="AM21" s="353"/>
      <c r="AN21" s="353"/>
      <c r="AO21" s="354"/>
      <c r="AP21" s="463"/>
      <c r="AQ21" s="355"/>
      <c r="AR21" s="355"/>
      <c r="AS21" s="540"/>
      <c r="AT21" s="427">
        <v>17</v>
      </c>
      <c r="AU21" s="428"/>
      <c r="AV21" s="478">
        <v>-8</v>
      </c>
      <c r="AW21" s="195">
        <f>ROUND((AW$1-AW$2)*(_xlfn.XLOOKUP(A21,'ma-basisdaten'!$A$3:$A$26,'ma-basisdaten'!$C$3:$C$26)*8)/100,0)</f>
        <v>176</v>
      </c>
      <c r="AX21" s="362"/>
      <c r="AY21" s="197">
        <v>2</v>
      </c>
      <c r="AZ21" s="196">
        <v>0</v>
      </c>
      <c r="BA21" s="426"/>
      <c r="BB21" s="235"/>
      <c r="BC21" s="235"/>
      <c r="BD21" s="235"/>
    </row>
    <row r="22" spans="1:63" s="255" customFormat="1" ht="13" thickBot="1">
      <c r="A22" s="489" t="s">
        <v>481</v>
      </c>
      <c r="B22" s="358" t="s">
        <v>493</v>
      </c>
      <c r="C22" s="255" t="s">
        <v>217</v>
      </c>
      <c r="D22" s="339"/>
      <c r="E22" s="243"/>
      <c r="F22" s="243" t="s">
        <v>253</v>
      </c>
      <c r="G22" s="243" t="s">
        <v>255</v>
      </c>
      <c r="H22" s="243" t="s">
        <v>253</v>
      </c>
      <c r="I22" s="243" t="s">
        <v>255</v>
      </c>
      <c r="J22" s="340" t="s">
        <v>255</v>
      </c>
      <c r="K22" s="558" t="s">
        <v>416</v>
      </c>
      <c r="L22" s="566" t="s">
        <v>416</v>
      </c>
      <c r="M22" s="243"/>
      <c r="N22" s="243" t="s">
        <v>410</v>
      </c>
      <c r="O22" s="243"/>
      <c r="P22" s="243"/>
      <c r="Q22" s="556" t="s">
        <v>527</v>
      </c>
      <c r="R22" s="559" t="s">
        <v>62</v>
      </c>
      <c r="S22" s="559" t="s">
        <v>62</v>
      </c>
      <c r="T22" s="559" t="s">
        <v>62</v>
      </c>
      <c r="U22" s="559" t="s">
        <v>62</v>
      </c>
      <c r="V22" s="559" t="s">
        <v>62</v>
      </c>
      <c r="W22" s="559" t="s">
        <v>62</v>
      </c>
      <c r="X22" s="560" t="s">
        <v>62</v>
      </c>
      <c r="Y22" s="560" t="s">
        <v>62</v>
      </c>
      <c r="Z22" s="559" t="s">
        <v>62</v>
      </c>
      <c r="AA22" s="559" t="s">
        <v>62</v>
      </c>
      <c r="AB22" s="559" t="s">
        <v>62</v>
      </c>
      <c r="AC22" s="559" t="s">
        <v>62</v>
      </c>
      <c r="AD22" s="559" t="s">
        <v>62</v>
      </c>
      <c r="AE22" s="559" t="s">
        <v>62</v>
      </c>
      <c r="AF22" s="566" t="s">
        <v>115</v>
      </c>
      <c r="AG22" s="243" t="s">
        <v>257</v>
      </c>
      <c r="AH22" s="243" t="s">
        <v>257</v>
      </c>
      <c r="AI22" s="243"/>
      <c r="AJ22" s="243"/>
      <c r="AK22" s="243"/>
      <c r="AL22" s="243"/>
      <c r="AM22" s="562" t="s">
        <v>416</v>
      </c>
      <c r="AN22" s="243" t="s">
        <v>257</v>
      </c>
      <c r="AO22" s="340" t="s">
        <v>257</v>
      </c>
      <c r="AP22" s="405"/>
      <c r="AQ22" s="242"/>
      <c r="AR22" s="242"/>
      <c r="AS22" s="539"/>
      <c r="AT22" s="427">
        <v>18</v>
      </c>
      <c r="AU22" s="428"/>
      <c r="AV22" s="250">
        <v>6</v>
      </c>
      <c r="AW22" s="256">
        <f>ROUND((AW$1-AW$2)*(_xlfn.XLOOKUP(A22,'ma-basisdaten'!$A$3:$A$26,'ma-basisdaten'!$C$3:$C$26)*8)/100,0)</f>
        <v>176</v>
      </c>
      <c r="AX22" s="230"/>
      <c r="AY22" s="48">
        <v>1</v>
      </c>
      <c r="AZ22" s="199">
        <v>1</v>
      </c>
      <c r="BA22" s="429"/>
      <c r="BB22" s="236"/>
      <c r="BC22" s="236"/>
      <c r="BD22" s="236"/>
    </row>
    <row r="23" spans="1:63" s="255" customFormat="1" ht="13" thickBot="1">
      <c r="A23" s="489" t="s">
        <v>490</v>
      </c>
      <c r="B23" s="358" t="s">
        <v>494</v>
      </c>
      <c r="C23" s="255" t="s">
        <v>217</v>
      </c>
      <c r="D23" s="339"/>
      <c r="E23" s="243" t="s">
        <v>410</v>
      </c>
      <c r="F23" s="243" t="s">
        <v>255</v>
      </c>
      <c r="G23" s="243" t="s">
        <v>253</v>
      </c>
      <c r="H23" s="243" t="s">
        <v>257</v>
      </c>
      <c r="I23" s="243" t="s">
        <v>257</v>
      </c>
      <c r="J23" s="340"/>
      <c r="K23" s="556" t="s">
        <v>524</v>
      </c>
      <c r="L23" s="559" t="s">
        <v>62</v>
      </c>
      <c r="M23" s="559" t="s">
        <v>62</v>
      </c>
      <c r="N23" s="559" t="s">
        <v>62</v>
      </c>
      <c r="O23" s="559" t="s">
        <v>62</v>
      </c>
      <c r="P23" s="559" t="s">
        <v>62</v>
      </c>
      <c r="Q23" s="559" t="s">
        <v>62</v>
      </c>
      <c r="R23" s="566" t="s">
        <v>115</v>
      </c>
      <c r="S23" s="243"/>
      <c r="T23" s="243"/>
      <c r="U23" s="243"/>
      <c r="V23" s="243"/>
      <c r="W23" s="243"/>
      <c r="X23" s="563" t="s">
        <v>416</v>
      </c>
      <c r="Y23" s="561" t="s">
        <v>416</v>
      </c>
      <c r="Z23" s="243"/>
      <c r="AA23" s="243" t="s">
        <v>411</v>
      </c>
      <c r="AB23" s="243" t="s">
        <v>257</v>
      </c>
      <c r="AC23" s="243"/>
      <c r="AD23" s="243"/>
      <c r="AE23" s="563" t="s">
        <v>416</v>
      </c>
      <c r="AF23" s="561" t="s">
        <v>416</v>
      </c>
      <c r="AG23" s="243"/>
      <c r="AH23" s="243"/>
      <c r="AI23" s="243" t="s">
        <v>257</v>
      </c>
      <c r="AJ23" s="243" t="s">
        <v>257</v>
      </c>
      <c r="AK23" s="243" t="s">
        <v>257</v>
      </c>
      <c r="AL23" s="563" t="s">
        <v>416</v>
      </c>
      <c r="AM23" s="561" t="s">
        <v>416</v>
      </c>
      <c r="AN23" s="243"/>
      <c r="AO23" s="340"/>
      <c r="AP23" s="405"/>
      <c r="AQ23" s="242"/>
      <c r="AR23" s="242"/>
      <c r="AS23" s="539"/>
      <c r="AT23" s="427">
        <v>19</v>
      </c>
      <c r="AU23" s="428"/>
      <c r="AV23" s="250">
        <v>-32</v>
      </c>
      <c r="AW23" s="256">
        <f>ROUND((AW$1-AW$2)*(_xlfn.XLOOKUP(A23,'ma-basisdaten'!$A$3:$A$26,'ma-basisdaten'!$C$3:$C$26)*8.4)/100,0)</f>
        <v>185</v>
      </c>
      <c r="AX23" s="230"/>
      <c r="AY23" s="48">
        <v>0</v>
      </c>
      <c r="AZ23" s="199">
        <v>0</v>
      </c>
      <c r="BA23" s="429"/>
      <c r="BB23" s="236"/>
      <c r="BC23" s="236"/>
      <c r="BD23" s="236"/>
    </row>
    <row r="24" spans="1:63" s="178" customFormat="1" ht="13" thickBot="1">
      <c r="A24" s="486" t="s">
        <v>496</v>
      </c>
      <c r="B24" s="452" t="s">
        <v>495</v>
      </c>
      <c r="C24" s="178" t="s">
        <v>217</v>
      </c>
      <c r="D24" s="341"/>
      <c r="E24" s="342" t="s">
        <v>410</v>
      </c>
      <c r="F24" s="342" t="s">
        <v>253</v>
      </c>
      <c r="G24" s="342" t="s">
        <v>253</v>
      </c>
      <c r="H24" s="342" t="s">
        <v>257</v>
      </c>
      <c r="I24" s="342" t="s">
        <v>257</v>
      </c>
      <c r="J24" s="356"/>
      <c r="K24" s="630" t="s">
        <v>524</v>
      </c>
      <c r="L24" s="560" t="s">
        <v>62</v>
      </c>
      <c r="M24" s="560" t="s">
        <v>62</v>
      </c>
      <c r="N24" s="560" t="s">
        <v>62</v>
      </c>
      <c r="O24" s="560" t="s">
        <v>62</v>
      </c>
      <c r="P24" s="560" t="s">
        <v>62</v>
      </c>
      <c r="Q24" s="560" t="s">
        <v>62</v>
      </c>
      <c r="R24" s="561" t="s">
        <v>115</v>
      </c>
      <c r="S24" s="243"/>
      <c r="T24" s="243"/>
      <c r="U24" s="243"/>
      <c r="V24" s="243"/>
      <c r="W24" s="243"/>
      <c r="X24" s="563" t="s">
        <v>416</v>
      </c>
      <c r="Y24" s="561" t="s">
        <v>416</v>
      </c>
      <c r="Z24" s="243"/>
      <c r="AA24" s="243" t="s">
        <v>411</v>
      </c>
      <c r="AB24" s="243" t="s">
        <v>257</v>
      </c>
      <c r="AC24" s="243"/>
      <c r="AD24" s="243"/>
      <c r="AE24" s="563" t="s">
        <v>416</v>
      </c>
      <c r="AF24" s="561" t="s">
        <v>416</v>
      </c>
      <c r="AG24" s="243"/>
      <c r="AH24" s="243"/>
      <c r="AI24" s="243" t="s">
        <v>257</v>
      </c>
      <c r="AJ24" s="243" t="s">
        <v>257</v>
      </c>
      <c r="AK24" s="243" t="s">
        <v>257</v>
      </c>
      <c r="AL24" s="563" t="s">
        <v>416</v>
      </c>
      <c r="AM24" s="561" t="s">
        <v>416</v>
      </c>
      <c r="AN24" s="243"/>
      <c r="AO24" s="340"/>
      <c r="AP24" s="402"/>
      <c r="AQ24" s="345"/>
      <c r="AR24" s="345"/>
      <c r="AS24" s="406"/>
      <c r="AT24" s="427">
        <v>20</v>
      </c>
      <c r="AU24" s="428"/>
      <c r="AV24" s="42">
        <v>-32</v>
      </c>
      <c r="AW24" s="202">
        <f>ROUND((AW$1-AW$2)*(_xlfn.XLOOKUP(A24,'ma-basisdaten'!$A$3:$A$26,'ma-basisdaten'!$C$3:$C$26)*8)/100,0)</f>
        <v>176</v>
      </c>
      <c r="AX24" s="363"/>
      <c r="AY24" s="48">
        <v>0</v>
      </c>
      <c r="AZ24" s="199">
        <v>0</v>
      </c>
      <c r="BA24" s="429"/>
      <c r="BB24" s="236"/>
      <c r="BC24" s="236"/>
      <c r="BD24" s="236"/>
      <c r="BE24" s="255"/>
      <c r="BF24" s="255"/>
      <c r="BG24" s="255"/>
      <c r="BH24" s="255"/>
      <c r="BI24" s="255"/>
      <c r="BJ24" s="255"/>
      <c r="BK24" s="255"/>
    </row>
    <row r="25" spans="1:63" ht="13" thickBot="1">
      <c r="A25" s="486" t="s">
        <v>497</v>
      </c>
      <c r="B25" s="554" t="s">
        <v>451</v>
      </c>
      <c r="C25" s="178" t="s">
        <v>448</v>
      </c>
      <c r="D25" s="402"/>
      <c r="E25" s="345"/>
      <c r="F25" s="538"/>
      <c r="G25" s="345"/>
      <c r="H25" s="345"/>
      <c r="I25" s="345"/>
      <c r="J25" s="406"/>
      <c r="K25" s="558" t="s">
        <v>416</v>
      </c>
      <c r="L25" s="559" t="s">
        <v>416</v>
      </c>
      <c r="M25" s="559" t="s">
        <v>416</v>
      </c>
      <c r="N25" s="559" t="s">
        <v>416</v>
      </c>
      <c r="O25" s="559" t="s">
        <v>416</v>
      </c>
      <c r="P25" s="559" t="s">
        <v>416</v>
      </c>
      <c r="Q25" s="559" t="s">
        <v>416</v>
      </c>
      <c r="R25" s="559" t="s">
        <v>416</v>
      </c>
      <c r="S25" s="559" t="s">
        <v>416</v>
      </c>
      <c r="T25" s="559" t="s">
        <v>416</v>
      </c>
      <c r="U25" s="559" t="s">
        <v>416</v>
      </c>
      <c r="V25" s="559" t="s">
        <v>416</v>
      </c>
      <c r="W25" s="559" t="s">
        <v>416</v>
      </c>
      <c r="X25" s="559" t="s">
        <v>416</v>
      </c>
      <c r="Y25" s="559" t="s">
        <v>416</v>
      </c>
      <c r="Z25" s="559" t="s">
        <v>416</v>
      </c>
      <c r="AA25" s="559" t="s">
        <v>416</v>
      </c>
      <c r="AB25" s="559" t="s">
        <v>416</v>
      </c>
      <c r="AC25" s="559" t="s">
        <v>416</v>
      </c>
      <c r="AD25" s="559" t="s">
        <v>416</v>
      </c>
      <c r="AE25" s="559" t="s">
        <v>416</v>
      </c>
      <c r="AF25" s="559" t="s">
        <v>416</v>
      </c>
      <c r="AG25" s="559" t="s">
        <v>416</v>
      </c>
      <c r="AH25" s="559" t="s">
        <v>416</v>
      </c>
      <c r="AI25" s="559" t="s">
        <v>416</v>
      </c>
      <c r="AJ25" s="559" t="s">
        <v>416</v>
      </c>
      <c r="AK25" s="559" t="s">
        <v>416</v>
      </c>
      <c r="AL25" s="559" t="s">
        <v>416</v>
      </c>
      <c r="AM25" s="559" t="s">
        <v>416</v>
      </c>
      <c r="AN25" s="559" t="s">
        <v>416</v>
      </c>
      <c r="AO25" s="566" t="s">
        <v>416</v>
      </c>
      <c r="AP25" s="402"/>
      <c r="AQ25" s="345"/>
      <c r="AR25" s="345"/>
      <c r="AS25" s="406"/>
      <c r="AT25" s="430">
        <v>21</v>
      </c>
      <c r="AU25" s="418"/>
      <c r="AV25" s="526">
        <v>0</v>
      </c>
      <c r="AW25" s="459">
        <f>ROUND((AW$1-AW$2)*(_xlfn.XLOOKUP(A25,'ma-basisdaten'!$A$3:$A$26,'ma-basisdaten'!$C$3:$C$26)*8)/100,0)</f>
        <v>35</v>
      </c>
      <c r="AX25" s="403" t="s">
        <v>452</v>
      </c>
      <c r="AY25" s="458">
        <v>0</v>
      </c>
      <c r="AZ25" s="460">
        <v>0</v>
      </c>
      <c r="BA25" s="433"/>
      <c r="BB25" s="404"/>
      <c r="BC25" s="404"/>
      <c r="BD25" s="404"/>
    </row>
    <row r="26" spans="1:63" ht="13">
      <c r="A26" s="335"/>
      <c r="B26" s="335"/>
      <c r="C26" s="335"/>
      <c r="D26" s="335"/>
      <c r="E26" s="335"/>
      <c r="F26" s="335"/>
      <c r="G26" s="434" t="s">
        <v>121</v>
      </c>
      <c r="L26" s="335"/>
      <c r="M26" s="335"/>
      <c r="N26" s="335"/>
      <c r="O26" s="335"/>
      <c r="P26" s="335"/>
      <c r="Q26" s="335"/>
      <c r="R26" s="335"/>
      <c r="S26" s="335"/>
      <c r="T26" s="335"/>
      <c r="U26" s="335"/>
      <c r="V26" s="335"/>
      <c r="W26" s="335"/>
      <c r="X26" s="335"/>
      <c r="Y26" s="335"/>
      <c r="Z26" s="335"/>
      <c r="AA26" s="335"/>
      <c r="AB26" s="335"/>
      <c r="AC26" s="335"/>
      <c r="AD26" s="335"/>
      <c r="AE26" s="335"/>
      <c r="AF26" s="335"/>
      <c r="AG26" s="335"/>
      <c r="AH26" s="335"/>
      <c r="AI26" s="335"/>
      <c r="AJ26" s="335"/>
      <c r="AK26" s="335"/>
      <c r="AL26" s="335"/>
      <c r="AM26" s="335"/>
      <c r="AN26" s="335"/>
      <c r="AO26" s="335"/>
      <c r="AP26" s="335"/>
      <c r="AQ26" s="335"/>
      <c r="AR26" s="335"/>
      <c r="AS26" s="335"/>
      <c r="AT26" s="335"/>
      <c r="AU26" s="335"/>
      <c r="AV26" s="335"/>
      <c r="AW26" s="335"/>
      <c r="AX26" s="335"/>
      <c r="AY26" s="335"/>
      <c r="AZ26" s="335"/>
      <c r="BA26" s="335"/>
      <c r="BB26" s="335"/>
      <c r="BC26" s="335"/>
      <c r="BD26" s="335"/>
      <c r="BE26" s="429"/>
    </row>
    <row r="27" spans="1:63" ht="13">
      <c r="A27" s="335"/>
      <c r="B27" s="335"/>
      <c r="C27" s="335"/>
      <c r="D27" s="434"/>
      <c r="E27" s="335"/>
      <c r="F27" s="335"/>
      <c r="G27" s="335" t="s">
        <v>122</v>
      </c>
      <c r="L27" s="335"/>
      <c r="M27" s="335"/>
      <c r="N27" s="335"/>
      <c r="O27" s="335"/>
      <c r="P27" s="335"/>
      <c r="Q27" s="335"/>
      <c r="R27" s="335"/>
      <c r="S27" s="335"/>
      <c r="T27" s="335"/>
      <c r="U27" s="335"/>
      <c r="V27" s="335"/>
      <c r="W27" s="335"/>
      <c r="X27" s="335"/>
      <c r="Y27" s="335"/>
      <c r="Z27" s="335"/>
      <c r="AA27" s="435"/>
      <c r="AB27" s="335"/>
      <c r="AC27" s="335"/>
      <c r="AD27" s="335"/>
      <c r="AE27" s="335"/>
      <c r="AF27" s="335"/>
      <c r="AG27" s="335"/>
      <c r="AH27" s="335"/>
      <c r="AI27" s="335"/>
      <c r="AJ27" s="335"/>
      <c r="AK27" s="335"/>
      <c r="AL27" s="335"/>
      <c r="AM27" s="335"/>
      <c r="AN27" s="335"/>
      <c r="AO27" s="335"/>
      <c r="AP27" s="335"/>
      <c r="AQ27" s="335"/>
      <c r="AR27" s="335"/>
      <c r="AS27" s="335"/>
      <c r="AT27" s="335"/>
      <c r="AU27" s="335"/>
      <c r="AV27" s="335"/>
      <c r="AW27" s="335"/>
      <c r="AX27" s="335"/>
      <c r="AY27" s="335"/>
      <c r="AZ27" s="335"/>
      <c r="BA27" s="335"/>
      <c r="BB27" s="335"/>
      <c r="BC27" s="335"/>
      <c r="BD27" s="335"/>
      <c r="BE27" s="429"/>
    </row>
    <row r="28" spans="1:63">
      <c r="A28" s="335"/>
      <c r="B28" s="436" t="s">
        <v>123</v>
      </c>
      <c r="C28" s="436"/>
      <c r="D28" s="335"/>
      <c r="E28" s="335"/>
      <c r="F28" s="335"/>
      <c r="G28" s="335" t="s">
        <v>124</v>
      </c>
      <c r="L28" s="335"/>
      <c r="M28" s="335"/>
      <c r="N28" s="335"/>
      <c r="O28" s="335" t="s">
        <v>125</v>
      </c>
      <c r="P28" s="335"/>
      <c r="Q28" s="335"/>
      <c r="R28" s="335"/>
      <c r="S28" s="335"/>
      <c r="T28" s="335"/>
      <c r="U28" s="335"/>
      <c r="V28" s="335"/>
      <c r="W28" s="335"/>
      <c r="X28" s="335"/>
      <c r="Y28" s="335"/>
      <c r="Z28" s="335"/>
      <c r="AA28" s="435"/>
      <c r="AB28" s="335"/>
      <c r="AC28" s="335"/>
      <c r="AD28" s="335"/>
      <c r="AE28" s="335"/>
      <c r="AF28" s="335"/>
      <c r="AG28" s="335"/>
      <c r="AH28" s="335"/>
      <c r="AI28" s="335"/>
      <c r="AJ28" s="335"/>
      <c r="AK28" s="335"/>
      <c r="AL28" s="335"/>
      <c r="AM28" s="335"/>
      <c r="AN28" s="335"/>
      <c r="AO28" s="335"/>
      <c r="AP28" s="335"/>
      <c r="AQ28" s="335"/>
      <c r="AR28" s="335"/>
      <c r="AS28" s="335"/>
      <c r="AT28" s="335"/>
      <c r="AU28" s="335"/>
      <c r="AV28" s="335"/>
      <c r="AW28" s="335"/>
      <c r="AX28" s="335"/>
      <c r="AY28" s="335"/>
      <c r="AZ28" s="335"/>
      <c r="BA28" s="335"/>
      <c r="BB28" s="335"/>
      <c r="BC28" s="335"/>
      <c r="BD28" s="335"/>
      <c r="BE28" s="429"/>
    </row>
    <row r="29" spans="1:63">
      <c r="A29" s="335"/>
      <c r="B29" s="335" t="s">
        <v>126</v>
      </c>
      <c r="C29" s="335"/>
      <c r="D29" s="335"/>
      <c r="E29" s="335"/>
      <c r="F29" s="335"/>
      <c r="G29" s="335" t="s">
        <v>127</v>
      </c>
      <c r="L29" s="335"/>
      <c r="M29" s="335"/>
      <c r="N29" s="335"/>
      <c r="O29" s="335"/>
      <c r="P29" s="335"/>
      <c r="Q29" s="335"/>
      <c r="R29" s="335"/>
      <c r="S29" s="335"/>
      <c r="T29" s="335"/>
      <c r="U29" s="335"/>
      <c r="V29" s="335"/>
      <c r="W29" s="335"/>
      <c r="X29" s="335"/>
      <c r="Y29" s="335"/>
      <c r="Z29" s="335"/>
      <c r="AA29" s="335"/>
      <c r="AB29" s="335"/>
      <c r="AC29" s="335"/>
      <c r="AD29" s="335"/>
      <c r="AE29" s="335"/>
      <c r="AF29" s="335"/>
      <c r="AG29" s="335"/>
      <c r="AH29" s="335"/>
      <c r="AI29" s="335"/>
      <c r="AJ29" s="335"/>
      <c r="AK29" s="335"/>
      <c r="AL29" s="335"/>
      <c r="AM29" s="335"/>
      <c r="AN29" s="335"/>
      <c r="AO29" s="335"/>
      <c r="AP29" s="335"/>
      <c r="AQ29" s="335"/>
      <c r="AR29" s="335"/>
      <c r="AS29" s="335"/>
      <c r="AT29" s="335"/>
      <c r="AU29" s="335"/>
      <c r="AV29" s="335"/>
      <c r="AW29" s="335"/>
      <c r="AX29" s="335"/>
      <c r="AY29" s="335"/>
      <c r="AZ29" s="335"/>
      <c r="BA29" s="335"/>
      <c r="BB29" s="335"/>
      <c r="BC29" s="335"/>
      <c r="BD29" s="335"/>
      <c r="BE29" s="429"/>
    </row>
    <row r="30" spans="1:63">
      <c r="A30" s="335"/>
      <c r="B30" s="335"/>
      <c r="C30" s="335"/>
      <c r="D30" s="335"/>
      <c r="E30" s="335"/>
      <c r="F30" s="335"/>
      <c r="G30" s="335" t="s">
        <v>115</v>
      </c>
      <c r="L30" s="335"/>
      <c r="M30" s="335"/>
      <c r="N30" s="335"/>
      <c r="O30" s="335"/>
      <c r="P30" s="335"/>
      <c r="Q30" s="335"/>
      <c r="R30" s="335"/>
      <c r="S30" s="335"/>
      <c r="T30" s="335"/>
      <c r="U30" s="335"/>
      <c r="V30" s="335"/>
      <c r="W30" s="335"/>
      <c r="X30" s="335"/>
      <c r="Y30" s="335"/>
      <c r="Z30" s="335"/>
      <c r="AA30" s="335"/>
      <c r="AB30" s="335"/>
      <c r="AC30" s="335"/>
      <c r="AD30" s="335"/>
      <c r="AE30" s="335"/>
      <c r="AF30" s="335"/>
      <c r="AG30" s="335"/>
      <c r="AH30" s="335"/>
      <c r="AI30" s="335"/>
      <c r="AJ30" s="335"/>
      <c r="AK30" s="335"/>
      <c r="AL30" s="335"/>
      <c r="AM30" s="335"/>
      <c r="AN30" s="335"/>
      <c r="AO30" s="335"/>
      <c r="AP30" s="335"/>
      <c r="AQ30" s="335"/>
      <c r="AR30" s="335"/>
      <c r="AS30" s="335"/>
      <c r="AT30" s="335"/>
      <c r="AU30" s="335"/>
      <c r="AV30" s="335"/>
      <c r="AW30" s="335"/>
      <c r="AX30" s="335"/>
      <c r="AY30" s="335"/>
      <c r="AZ30" s="335"/>
      <c r="BA30" s="335"/>
      <c r="BB30" s="335"/>
      <c r="BC30" s="335"/>
      <c r="BD30" s="335"/>
      <c r="BE30" s="429"/>
    </row>
    <row r="31" spans="1:63" ht="13" thickBot="1">
      <c r="A31" s="335"/>
      <c r="B31" s="335"/>
      <c r="C31" s="335"/>
      <c r="D31" s="335"/>
      <c r="E31" s="335"/>
      <c r="F31" s="335"/>
      <c r="G31" s="335" t="s">
        <v>128</v>
      </c>
      <c r="H31" s="83" t="s">
        <v>129</v>
      </c>
      <c r="L31" s="335"/>
      <c r="M31" s="335"/>
      <c r="N31" s="335"/>
      <c r="O31" s="335"/>
      <c r="P31" s="335"/>
      <c r="Q31" s="335"/>
      <c r="R31" s="335"/>
      <c r="S31" s="335"/>
      <c r="T31" s="335"/>
      <c r="U31" s="335"/>
      <c r="V31" s="335"/>
      <c r="W31" s="335"/>
      <c r="X31" s="335"/>
      <c r="Y31" s="335"/>
      <c r="Z31" s="335"/>
      <c r="AA31" s="335"/>
      <c r="AB31" s="335"/>
      <c r="AC31" s="335"/>
      <c r="AD31" s="335"/>
      <c r="AE31" s="335"/>
      <c r="AF31" s="335"/>
      <c r="AG31" s="335"/>
      <c r="AH31" s="335"/>
      <c r="AI31" s="335"/>
      <c r="AJ31" s="335"/>
      <c r="AK31" s="335"/>
      <c r="AL31" s="335"/>
      <c r="AM31" s="335"/>
      <c r="AN31" s="335"/>
      <c r="AO31" s="335"/>
      <c r="AP31" s="335"/>
      <c r="AQ31" s="335"/>
      <c r="AR31" s="335"/>
      <c r="AS31" s="335"/>
      <c r="AT31" s="335"/>
      <c r="AU31" s="335"/>
      <c r="AV31" s="335"/>
      <c r="AW31" s="335"/>
      <c r="AX31" s="335"/>
      <c r="AY31" s="335"/>
      <c r="AZ31" s="335"/>
      <c r="BA31" s="335"/>
      <c r="BB31" s="335"/>
      <c r="BC31" s="335"/>
      <c r="BD31" s="335"/>
      <c r="BE31" s="429"/>
    </row>
    <row r="32" spans="1:63">
      <c r="A32" s="335"/>
      <c r="B32" s="335"/>
      <c r="C32" s="335"/>
      <c r="D32" s="335"/>
      <c r="E32" s="335"/>
      <c r="F32" s="335"/>
      <c r="G32" s="335" t="s">
        <v>130</v>
      </c>
      <c r="L32" s="335"/>
      <c r="M32" s="335"/>
      <c r="N32" s="335"/>
      <c r="O32" s="335"/>
      <c r="P32" s="335"/>
      <c r="Q32" s="335"/>
      <c r="R32" s="541" t="s">
        <v>516</v>
      </c>
      <c r="S32" s="542" t="s">
        <v>517</v>
      </c>
      <c r="T32" s="543" t="s">
        <v>518</v>
      </c>
      <c r="U32" s="335"/>
      <c r="V32" s="335"/>
      <c r="W32" s="335"/>
      <c r="X32" s="335"/>
      <c r="Y32" s="335"/>
      <c r="Z32" s="335"/>
      <c r="AA32" s="335"/>
      <c r="AB32" s="335"/>
      <c r="AC32" s="335"/>
      <c r="AD32" s="335"/>
      <c r="AE32" s="335"/>
      <c r="AF32" s="335"/>
      <c r="AG32" s="335"/>
      <c r="AH32" s="335"/>
      <c r="AI32" s="335"/>
      <c r="AJ32" s="335"/>
      <c r="AK32" s="335"/>
      <c r="AL32" s="335"/>
      <c r="AM32" s="335"/>
      <c r="AN32" s="335"/>
      <c r="AO32" s="335"/>
      <c r="AP32" s="335"/>
      <c r="AQ32" s="335"/>
      <c r="AR32" s="335"/>
      <c r="AS32" s="335"/>
      <c r="AT32" s="335"/>
      <c r="AU32" s="335"/>
      <c r="AV32" s="335"/>
      <c r="AW32" s="335"/>
      <c r="AX32" s="335"/>
      <c r="AY32" s="335"/>
      <c r="AZ32" s="335"/>
    </row>
    <row r="33" spans="1:52" ht="13" thickBot="1">
      <c r="A33" s="335"/>
      <c r="B33" s="335"/>
      <c r="C33" s="335"/>
      <c r="D33" s="335"/>
      <c r="E33" s="335"/>
      <c r="F33" s="335"/>
      <c r="G33" s="335"/>
      <c r="L33" s="335"/>
      <c r="M33" s="335"/>
      <c r="N33" s="335"/>
      <c r="O33" s="335"/>
      <c r="P33" s="335"/>
      <c r="Q33" s="335"/>
      <c r="R33" s="544">
        <v>3</v>
      </c>
      <c r="S33" s="545">
        <v>1</v>
      </c>
      <c r="T33" s="546">
        <f>R33*S33*8.4</f>
        <v>25.200000000000003</v>
      </c>
      <c r="U33" s="335"/>
      <c r="V33" s="335"/>
      <c r="W33" s="335"/>
      <c r="X33" s="335"/>
      <c r="Y33" s="335"/>
      <c r="Z33" s="335"/>
      <c r="AA33" s="335"/>
      <c r="AB33" s="335"/>
      <c r="AC33" s="335"/>
      <c r="AD33" s="335"/>
      <c r="AE33" s="335"/>
      <c r="AF33" s="335"/>
      <c r="AG33" s="335"/>
      <c r="AH33" s="335"/>
      <c r="AI33" s="335"/>
      <c r="AJ33" s="335"/>
      <c r="AK33" s="335"/>
      <c r="AL33" s="335"/>
      <c r="AM33" s="335"/>
      <c r="AN33" s="335"/>
      <c r="AO33" s="335"/>
      <c r="AP33" s="335"/>
      <c r="AQ33" s="335"/>
      <c r="AR33" s="335"/>
      <c r="AS33" s="335"/>
      <c r="AT33" s="335"/>
      <c r="AU33" s="335"/>
      <c r="AV33" s="335"/>
      <c r="AW33" s="335"/>
      <c r="AX33" s="335"/>
      <c r="AY33" s="335"/>
      <c r="AZ33" s="335"/>
    </row>
    <row r="34" spans="1:52" ht="13">
      <c r="A34" s="335"/>
      <c r="B34" s="335"/>
      <c r="C34" s="335"/>
      <c r="D34" s="335"/>
      <c r="E34" s="335"/>
      <c r="F34" s="335"/>
      <c r="G34" s="434" t="s">
        <v>131</v>
      </c>
      <c r="L34" s="335"/>
      <c r="M34" s="335"/>
      <c r="N34" s="335"/>
      <c r="O34" s="335"/>
      <c r="P34" s="335"/>
      <c r="Q34" s="335"/>
      <c r="R34" s="335"/>
      <c r="S34" s="335"/>
      <c r="T34" s="335"/>
      <c r="U34" s="335"/>
      <c r="V34" s="335"/>
      <c r="W34" s="335"/>
      <c r="X34" s="335"/>
      <c r="Y34" s="335"/>
      <c r="Z34" s="335"/>
      <c r="AA34" s="335"/>
      <c r="AB34" s="335"/>
      <c r="AC34" s="335"/>
      <c r="AD34" s="335"/>
      <c r="AE34" s="335"/>
      <c r="AF34" s="335"/>
      <c r="AG34" s="335"/>
      <c r="AH34" s="335"/>
      <c r="AI34" s="335"/>
      <c r="AJ34" s="335"/>
      <c r="AK34" s="335"/>
      <c r="AL34" s="335"/>
      <c r="AM34" s="335"/>
      <c r="AN34" s="335"/>
      <c r="AO34" s="335"/>
      <c r="AP34" s="335"/>
      <c r="AQ34" s="335"/>
      <c r="AR34" s="335"/>
      <c r="AS34" s="335"/>
      <c r="AT34" s="335"/>
      <c r="AU34" s="335"/>
      <c r="AV34" s="335"/>
      <c r="AW34" s="335"/>
      <c r="AX34" s="335"/>
      <c r="AY34" s="335"/>
      <c r="AZ34" s="335"/>
    </row>
    <row r="35" spans="1:52">
      <c r="A35" s="335"/>
      <c r="B35" s="335"/>
      <c r="C35" s="335"/>
      <c r="D35" s="335"/>
      <c r="E35" s="335"/>
      <c r="F35" s="335"/>
      <c r="G35" s="335">
        <v>2</v>
      </c>
      <c r="L35" s="335"/>
      <c r="M35" s="335"/>
      <c r="N35" s="335"/>
      <c r="O35" s="335"/>
      <c r="P35" s="335"/>
      <c r="Q35" s="335"/>
      <c r="R35" s="335"/>
      <c r="S35" s="335"/>
      <c r="T35" s="335"/>
      <c r="U35" s="335"/>
      <c r="V35" s="335"/>
      <c r="W35" s="335"/>
      <c r="X35" s="335"/>
      <c r="Y35" s="335"/>
      <c r="Z35" s="335"/>
      <c r="AA35" s="335"/>
      <c r="AB35" s="335"/>
      <c r="AC35" s="335"/>
      <c r="AD35" s="335"/>
      <c r="AE35" s="335"/>
      <c r="AF35" s="335"/>
      <c r="AG35" s="335"/>
      <c r="AH35" s="335"/>
      <c r="AI35" s="335"/>
      <c r="AJ35" s="335"/>
      <c r="AK35" s="335"/>
      <c r="AL35" s="335"/>
      <c r="AM35" s="335"/>
      <c r="AN35" s="335"/>
      <c r="AO35" s="335"/>
      <c r="AP35" s="335"/>
      <c r="AQ35" s="335"/>
      <c r="AR35" s="335"/>
      <c r="AS35" s="335"/>
      <c r="AT35" s="335"/>
      <c r="AU35" s="335"/>
      <c r="AV35" s="335"/>
      <c r="AW35" s="335"/>
      <c r="AX35" s="335"/>
      <c r="AY35" s="335"/>
      <c r="AZ35" s="335"/>
    </row>
    <row r="36" spans="1:52">
      <c r="A36" s="335"/>
      <c r="B36" s="335"/>
      <c r="C36" s="335"/>
      <c r="D36" s="335"/>
      <c r="E36" s="335"/>
      <c r="F36" s="335"/>
      <c r="G36" s="335" t="s">
        <v>180</v>
      </c>
      <c r="L36" s="335"/>
      <c r="M36" s="335"/>
      <c r="N36" s="335"/>
      <c r="O36" s="335"/>
      <c r="P36" s="335"/>
      <c r="Q36" s="335"/>
      <c r="R36" s="335"/>
      <c r="S36" s="335"/>
      <c r="T36" s="335"/>
      <c r="U36" s="335"/>
      <c r="V36" s="335"/>
      <c r="W36" s="335"/>
      <c r="X36" s="335"/>
      <c r="Y36" s="335"/>
      <c r="Z36" s="335"/>
      <c r="AA36" s="335"/>
      <c r="AB36" s="335"/>
      <c r="AC36" s="335"/>
      <c r="AD36" s="335"/>
      <c r="AE36" s="335"/>
      <c r="AF36" s="335"/>
      <c r="AG36" s="335"/>
      <c r="AH36" s="335"/>
      <c r="AI36" s="335"/>
      <c r="AJ36" s="335"/>
      <c r="AK36" s="335"/>
      <c r="AL36" s="335"/>
      <c r="AM36" s="335"/>
      <c r="AN36" s="335"/>
      <c r="AO36" s="335"/>
      <c r="AP36" s="335"/>
      <c r="AQ36" s="335"/>
      <c r="AR36" s="335"/>
      <c r="AS36" s="335"/>
      <c r="AT36" s="335"/>
      <c r="AU36" s="335"/>
      <c r="AV36" s="335"/>
      <c r="AW36" s="335"/>
      <c r="AX36" s="335"/>
      <c r="AY36" s="335"/>
      <c r="AZ36" s="335"/>
    </row>
    <row r="37" spans="1:52">
      <c r="A37" s="335"/>
      <c r="B37" s="335"/>
      <c r="C37" s="335"/>
      <c r="D37" s="335"/>
      <c r="E37" s="335"/>
      <c r="F37" s="335"/>
      <c r="G37" s="335"/>
      <c r="L37" s="335"/>
      <c r="M37" s="335"/>
      <c r="N37" s="335"/>
      <c r="O37" s="335"/>
      <c r="P37" s="335"/>
      <c r="Q37" s="335"/>
      <c r="R37" s="335"/>
      <c r="S37" s="335"/>
      <c r="T37" s="335"/>
      <c r="U37" s="335"/>
      <c r="V37" s="335"/>
      <c r="W37" s="335"/>
      <c r="X37" s="335"/>
      <c r="Y37" s="335"/>
      <c r="Z37" s="335"/>
      <c r="AA37" s="335"/>
      <c r="AB37" s="335"/>
      <c r="AC37" s="335"/>
      <c r="AD37" s="335"/>
      <c r="AE37" s="335"/>
      <c r="AF37" s="335"/>
      <c r="AG37" s="335"/>
      <c r="AH37" s="335"/>
      <c r="AI37" s="335"/>
      <c r="AJ37" s="335"/>
      <c r="AK37" s="335"/>
      <c r="AL37" s="335"/>
      <c r="AM37" s="335"/>
      <c r="AN37" s="335"/>
      <c r="AO37" s="335"/>
      <c r="AP37" s="335"/>
      <c r="AQ37" s="335"/>
      <c r="AR37" s="335"/>
      <c r="AS37" s="335"/>
      <c r="AT37" s="335"/>
      <c r="AU37" s="335"/>
      <c r="AV37" s="335"/>
      <c r="AW37" s="335"/>
      <c r="AX37" s="335"/>
      <c r="AY37" s="335"/>
      <c r="AZ37" s="335"/>
    </row>
    <row r="38" spans="1:52" ht="13">
      <c r="A38" s="335"/>
      <c r="B38" s="335"/>
      <c r="C38" s="335"/>
      <c r="D38" s="335"/>
      <c r="E38" s="335"/>
      <c r="F38" s="335"/>
      <c r="G38" s="434" t="s">
        <v>132</v>
      </c>
      <c r="L38" s="335"/>
      <c r="M38" s="335"/>
      <c r="N38" s="335"/>
      <c r="O38" s="335"/>
      <c r="P38" s="335"/>
      <c r="Q38" s="335"/>
      <c r="R38" s="335"/>
      <c r="S38" s="335"/>
      <c r="T38" s="335"/>
      <c r="U38" s="335"/>
      <c r="V38" s="335"/>
      <c r="W38" s="335"/>
      <c r="X38" s="335"/>
      <c r="Y38" s="335"/>
      <c r="Z38" s="335"/>
      <c r="AA38" s="335"/>
      <c r="AB38" s="335"/>
      <c r="AC38" s="335"/>
      <c r="AD38" s="335"/>
      <c r="AE38" s="335"/>
      <c r="AF38" s="335"/>
      <c r="AG38" s="335"/>
      <c r="AH38" s="335"/>
      <c r="AI38" s="335"/>
      <c r="AJ38" s="335"/>
      <c r="AK38" s="335"/>
      <c r="AL38" s="335"/>
      <c r="AM38" s="335"/>
      <c r="AN38" s="335"/>
      <c r="AO38" s="335"/>
      <c r="AP38" s="335"/>
      <c r="AQ38" s="335"/>
      <c r="AR38" s="335"/>
      <c r="AS38" s="335"/>
      <c r="AT38" s="335"/>
      <c r="AU38" s="335"/>
      <c r="AV38" s="335"/>
      <c r="AW38" s="335"/>
      <c r="AX38" s="335"/>
      <c r="AY38" s="335"/>
      <c r="AZ38" s="335"/>
    </row>
    <row r="39" spans="1:52">
      <c r="A39" s="335"/>
      <c r="B39" s="335"/>
      <c r="C39" s="335"/>
      <c r="D39" s="335"/>
      <c r="E39" s="335"/>
      <c r="F39" s="335"/>
      <c r="G39" s="335" t="s">
        <v>116</v>
      </c>
      <c r="I39" s="83" t="s">
        <v>133</v>
      </c>
      <c r="L39" s="335"/>
      <c r="M39" s="335"/>
      <c r="N39" s="335"/>
      <c r="O39" s="335"/>
      <c r="P39" s="335"/>
      <c r="Q39" s="335"/>
      <c r="R39" s="335"/>
      <c r="S39" s="335"/>
      <c r="T39" s="335"/>
      <c r="U39" s="335"/>
      <c r="V39" s="335"/>
      <c r="W39" s="335"/>
      <c r="X39" s="335"/>
      <c r="Y39" s="335"/>
      <c r="Z39" s="335"/>
      <c r="AA39" s="335"/>
      <c r="AB39" s="335"/>
      <c r="AC39" s="335"/>
      <c r="AD39" s="335"/>
      <c r="AE39" s="335"/>
      <c r="AF39" s="335"/>
      <c r="AG39" s="335"/>
      <c r="AH39" s="335"/>
      <c r="AI39" s="335"/>
      <c r="AJ39" s="335"/>
      <c r="AK39" s="335"/>
      <c r="AL39" s="335"/>
      <c r="AM39" s="335"/>
      <c r="AN39" s="335"/>
      <c r="AO39" s="335"/>
      <c r="AP39" s="335"/>
      <c r="AQ39" s="335"/>
      <c r="AR39" s="335"/>
      <c r="AS39" s="335"/>
      <c r="AT39" s="335"/>
      <c r="AU39" s="335"/>
      <c r="AV39" s="335"/>
      <c r="AW39" s="335"/>
      <c r="AX39" s="335"/>
      <c r="AY39" s="335"/>
      <c r="AZ39" s="335"/>
    </row>
    <row r="40" spans="1:52">
      <c r="A40" s="335"/>
      <c r="B40" s="335"/>
      <c r="C40" s="335"/>
      <c r="D40" s="335"/>
      <c r="E40" s="335"/>
      <c r="F40" s="335"/>
      <c r="G40" s="335" t="s">
        <v>117</v>
      </c>
      <c r="I40" s="83" t="s">
        <v>134</v>
      </c>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row>
    <row r="41" spans="1:52">
      <c r="A41" s="335"/>
      <c r="B41" s="335"/>
      <c r="C41" s="335"/>
      <c r="D41" s="335"/>
      <c r="E41" s="335"/>
      <c r="F41" s="335"/>
      <c r="G41" s="335" t="s">
        <v>120</v>
      </c>
      <c r="I41" s="83" t="s">
        <v>135</v>
      </c>
      <c r="L41" s="335"/>
      <c r="M41" s="335"/>
      <c r="N41" s="335"/>
      <c r="O41" s="335"/>
      <c r="P41" s="335"/>
      <c r="Q41" s="335"/>
      <c r="R41" s="335"/>
      <c r="S41" s="335"/>
      <c r="T41" s="335"/>
      <c r="U41" s="335"/>
      <c r="V41" s="335"/>
      <c r="W41" s="335"/>
      <c r="X41" s="335"/>
      <c r="Y41" s="335"/>
      <c r="Z41" s="335"/>
      <c r="AA41" s="335"/>
      <c r="AB41" s="335"/>
      <c r="AC41" s="335"/>
      <c r="AD41" s="335"/>
      <c r="AE41" s="335"/>
      <c r="AF41" s="335"/>
      <c r="AG41" s="335"/>
      <c r="AH41" s="335"/>
      <c r="AI41" s="335"/>
      <c r="AJ41" s="335"/>
      <c r="AK41" s="335"/>
      <c r="AL41" s="335"/>
      <c r="AM41" s="335"/>
      <c r="AN41" s="335"/>
      <c r="AO41" s="335"/>
      <c r="AP41" s="335"/>
      <c r="AQ41" s="335"/>
      <c r="AR41" s="335"/>
      <c r="AS41" s="335"/>
      <c r="AT41" s="335"/>
      <c r="AU41" s="335"/>
      <c r="AV41" s="335"/>
      <c r="AW41" s="335"/>
      <c r="AX41" s="335"/>
      <c r="AY41" s="335"/>
      <c r="AZ41" s="335"/>
    </row>
    <row r="42" spans="1:52">
      <c r="A42" s="335"/>
      <c r="B42" s="335"/>
      <c r="C42" s="335"/>
      <c r="D42" s="335"/>
      <c r="E42" s="335"/>
      <c r="F42" s="335"/>
      <c r="G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row>
    <row r="43" spans="1:52" ht="13">
      <c r="A43" s="335"/>
      <c r="B43" s="335"/>
      <c r="C43" s="335"/>
      <c r="D43" s="335"/>
      <c r="E43" s="335"/>
      <c r="F43" s="335"/>
      <c r="G43" s="434" t="s">
        <v>136</v>
      </c>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row>
    <row r="44" spans="1:52">
      <c r="A44" s="335"/>
      <c r="B44" s="335"/>
      <c r="C44" s="335"/>
      <c r="D44" s="335"/>
      <c r="E44" s="335"/>
      <c r="F44" s="335"/>
      <c r="G44" s="335" t="s">
        <v>119</v>
      </c>
      <c r="I44" s="83" t="s">
        <v>137</v>
      </c>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row>
    <row r="45" spans="1:52">
      <c r="A45" s="335"/>
      <c r="B45" s="335"/>
      <c r="C45" s="335"/>
      <c r="D45" s="335"/>
      <c r="E45" s="335"/>
      <c r="F45" s="335"/>
      <c r="G45" s="335" t="s">
        <v>118</v>
      </c>
      <c r="I45" s="83" t="s">
        <v>138</v>
      </c>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row>
  </sheetData>
  <sortState xmlns:xlrd2="http://schemas.microsoft.com/office/spreadsheetml/2017/richdata2" ref="A5:BE25">
    <sortCondition ref="AT5:AT25"/>
  </sortState>
  <mergeCells count="2">
    <mergeCell ref="F1:G1"/>
    <mergeCell ref="F2:G2"/>
  </mergeCells>
  <phoneticPr fontId="17" type="noConversion"/>
  <conditionalFormatting sqref="AK16 AN17 AP15 AS11 AS13 AP17:AS17 AQ7:AS7 D3:AS4 AQ10:AR13 AP14:AS14 F7:J23 AN16:AS16 T20 Z20:AA20">
    <cfRule type="expression" dxfId="448" priority="1523" stopIfTrue="1">
      <formula>D$3="So"</formula>
    </cfRule>
    <cfRule type="expression" dxfId="447" priority="1524" stopIfTrue="1">
      <formula>D$3="Sa"</formula>
    </cfRule>
  </conditionalFormatting>
  <conditionalFormatting sqref="AL8 AS12 AR18:AS18 AP19:AS23 AS10 AQ8:AS9 AQ15:AS15 AO7:AO8 AL6 AP9">
    <cfRule type="expression" dxfId="446" priority="1513" stopIfTrue="1">
      <formula>AL$3="So"</formula>
    </cfRule>
    <cfRule type="expression" dxfId="445" priority="1514" stopIfTrue="1">
      <formula>AL$3="Sa"</formula>
    </cfRule>
  </conditionalFormatting>
  <conditionalFormatting sqref="AP6:AS6 AP7:AP8 AP11">
    <cfRule type="expression" dxfId="444" priority="1511" stopIfTrue="1">
      <formula>AP$3="So"</formula>
    </cfRule>
    <cfRule type="expression" dxfId="443" priority="1512" stopIfTrue="1">
      <formula>AP$3="Sa"</formula>
    </cfRule>
  </conditionalFormatting>
  <conditionalFormatting sqref="M7 M14 M16:M17">
    <cfRule type="expression" dxfId="442" priority="1465" stopIfTrue="1">
      <formula>M$3="So"</formula>
    </cfRule>
    <cfRule type="expression" dxfId="441" priority="1466" stopIfTrue="1">
      <formula>M$3="Sa"</formula>
    </cfRule>
  </conditionalFormatting>
  <conditionalFormatting sqref="AO5">
    <cfRule type="expression" dxfId="440" priority="1387" stopIfTrue="1">
      <formula>AO$3="So"</formula>
    </cfRule>
    <cfRule type="expression" dxfId="439" priority="1388" stopIfTrue="1">
      <formula>AO$3="Sa"</formula>
    </cfRule>
  </conditionalFormatting>
  <conditionalFormatting sqref="AP5">
    <cfRule type="expression" dxfId="438" priority="1385" stopIfTrue="1">
      <formula>AP$3="So"</formula>
    </cfRule>
    <cfRule type="expression" dxfId="437" priority="1386" stopIfTrue="1">
      <formula>AP$3="Sa"</formula>
    </cfRule>
  </conditionalFormatting>
  <conditionalFormatting sqref="AQ5">
    <cfRule type="expression" dxfId="436" priority="1383" stopIfTrue="1">
      <formula>AQ$3="So"</formula>
    </cfRule>
    <cfRule type="expression" dxfId="435" priority="1384" stopIfTrue="1">
      <formula>AQ$3="Sa"</formula>
    </cfRule>
  </conditionalFormatting>
  <conditionalFormatting sqref="AS5">
    <cfRule type="expression" dxfId="434" priority="1381" stopIfTrue="1">
      <formula>AS$3="So"</formula>
    </cfRule>
    <cfRule type="expression" dxfId="433" priority="1382" stopIfTrue="1">
      <formula>AS$3="Sa"</formula>
    </cfRule>
  </conditionalFormatting>
  <conditionalFormatting sqref="AR5">
    <cfRule type="expression" dxfId="432" priority="1379" stopIfTrue="1">
      <formula>AR$3="So"</formula>
    </cfRule>
    <cfRule type="expression" dxfId="431" priority="1380" stopIfTrue="1">
      <formula>AR$3="Sa"</formula>
    </cfRule>
  </conditionalFormatting>
  <conditionalFormatting sqref="AP18:AQ18">
    <cfRule type="expression" dxfId="430" priority="1371" stopIfTrue="1">
      <formula>AP$3="So"</formula>
    </cfRule>
    <cfRule type="expression" dxfId="429" priority="1372" stopIfTrue="1">
      <formula>AP$3="Sa"</formula>
    </cfRule>
  </conditionalFormatting>
  <conditionalFormatting sqref="AN17">
    <cfRule type="expression" dxfId="428" priority="1263" stopIfTrue="1">
      <formula>AV$3="So"</formula>
    </cfRule>
    <cfRule type="expression" dxfId="427" priority="1264" stopIfTrue="1">
      <formula>AV$3="Sa"</formula>
    </cfRule>
  </conditionalFormatting>
  <conditionalFormatting sqref="C5:C23">
    <cfRule type="expression" dxfId="426" priority="1201" stopIfTrue="1">
      <formula>C$3="So"</formula>
    </cfRule>
    <cfRule type="expression" dxfId="425" priority="1202">
      <formula>C$3="Sa"</formula>
    </cfRule>
  </conditionalFormatting>
  <conditionalFormatting sqref="T8:Z8 N13 Z13 N14:O14 O7 T7 T19:Y19 X15:Y15 T18:Z18 Q6:V6 W10:Z10 N16:O16 N17 R14:AA14 R16 U16:Z16 U23:W23 N22:O22">
    <cfRule type="expression" dxfId="424" priority="1193" stopIfTrue="1">
      <formula>N$3="So"</formula>
    </cfRule>
    <cfRule type="expression" dxfId="423" priority="1194" stopIfTrue="1">
      <formula>N$3="Sa"</formula>
    </cfRule>
  </conditionalFormatting>
  <conditionalFormatting sqref="D13 D7:E11 D14:E14 I5:J6 D16:E23 D15">
    <cfRule type="expression" dxfId="422" priority="1065" stopIfTrue="1">
      <formula>D$3="So"</formula>
    </cfRule>
    <cfRule type="expression" dxfId="421" priority="1066" stopIfTrue="1">
      <formula>D$3="Sa"</formula>
    </cfRule>
  </conditionalFormatting>
  <conditionalFormatting sqref="E13">
    <cfRule type="expression" dxfId="420" priority="1059" stopIfTrue="1">
      <formula>E$3="So"</formula>
    </cfRule>
    <cfRule type="expression" dxfId="419" priority="1060" stopIfTrue="1">
      <formula>E$3="Sa"</formula>
    </cfRule>
  </conditionalFormatting>
  <conditionalFormatting sqref="D5">
    <cfRule type="expression" dxfId="418" priority="1051" stopIfTrue="1">
      <formula>D$3="So"</formula>
    </cfRule>
    <cfRule type="expression" dxfId="417" priority="1052" stopIfTrue="1">
      <formula>D$3="Sa"</formula>
    </cfRule>
  </conditionalFormatting>
  <conditionalFormatting sqref="E5">
    <cfRule type="expression" dxfId="416" priority="1049" stopIfTrue="1">
      <formula>E$3="So"</formula>
    </cfRule>
    <cfRule type="expression" dxfId="415" priority="1050" stopIfTrue="1">
      <formula>E$3="Sa"</formula>
    </cfRule>
  </conditionalFormatting>
  <conditionalFormatting sqref="F5">
    <cfRule type="expression" dxfId="414" priority="1047" stopIfTrue="1">
      <formula>F$3="So"</formula>
    </cfRule>
    <cfRule type="expression" dxfId="413" priority="1048" stopIfTrue="1">
      <formula>F$3="Sa"</formula>
    </cfRule>
  </conditionalFormatting>
  <conditionalFormatting sqref="G5:H5">
    <cfRule type="expression" dxfId="412" priority="1045" stopIfTrue="1">
      <formula>G$3="So"</formula>
    </cfRule>
    <cfRule type="expression" dxfId="411" priority="1046" stopIfTrue="1">
      <formula>G$3="Sa"</formula>
    </cfRule>
  </conditionalFormatting>
  <conditionalFormatting sqref="D6">
    <cfRule type="expression" dxfId="410" priority="1043" stopIfTrue="1">
      <formula>D$3="So"</formula>
    </cfRule>
    <cfRule type="expression" dxfId="409" priority="1044" stopIfTrue="1">
      <formula>D$3="Sa"</formula>
    </cfRule>
  </conditionalFormatting>
  <conditionalFormatting sqref="E6">
    <cfRule type="expression" dxfId="408" priority="1041" stopIfTrue="1">
      <formula>E$3="So"</formula>
    </cfRule>
    <cfRule type="expression" dxfId="407" priority="1042" stopIfTrue="1">
      <formula>E$3="Sa"</formula>
    </cfRule>
  </conditionalFormatting>
  <conditionalFormatting sqref="D12:E12">
    <cfRule type="expression" dxfId="406" priority="1035" stopIfTrue="1">
      <formula>D$3="So"</formula>
    </cfRule>
    <cfRule type="expression" dxfId="405" priority="1036" stopIfTrue="1">
      <formula>D$3="Sa"</formula>
    </cfRule>
  </conditionalFormatting>
  <conditionalFormatting sqref="L14 L16">
    <cfRule type="expression" dxfId="404" priority="997" stopIfTrue="1">
      <formula>L$3="So"</formula>
    </cfRule>
    <cfRule type="expression" dxfId="403" priority="998" stopIfTrue="1">
      <formula>L$3="Sa"</formula>
    </cfRule>
  </conditionalFormatting>
  <conditionalFormatting sqref="AG16 AF17:AG17 AF10:AI10">
    <cfRule type="expression" dxfId="402" priority="995" stopIfTrue="1">
      <formula>AF$3="So"</formula>
    </cfRule>
    <cfRule type="expression" dxfId="401" priority="996" stopIfTrue="1">
      <formula>AF$3="Sa"</formula>
    </cfRule>
  </conditionalFormatting>
  <conditionalFormatting sqref="AK17:AM17">
    <cfRule type="expression" dxfId="400" priority="849" stopIfTrue="1">
      <formula>AK$3="So"</formula>
    </cfRule>
    <cfRule type="expression" dxfId="399" priority="850" stopIfTrue="1">
      <formula>AK$3="Sa"</formula>
    </cfRule>
  </conditionalFormatting>
  <conditionalFormatting sqref="P7:Q7 P14:Q14 P16:Q16 P22">
    <cfRule type="expression" dxfId="398" priority="799" stopIfTrue="1">
      <formula>P$3="So"</formula>
    </cfRule>
    <cfRule type="expression" dxfId="397" priority="800" stopIfTrue="1">
      <formula>P$3="Sa"</formula>
    </cfRule>
  </conditionalFormatting>
  <conditionalFormatting sqref="AD15:AD16 AD19 AD8 AD21 AD10 AD23">
    <cfRule type="expression" dxfId="396" priority="795" stopIfTrue="1">
      <formula>AD$3="So"</formula>
    </cfRule>
    <cfRule type="expression" dxfId="395" priority="796" stopIfTrue="1">
      <formula>AD$3="Sa"</formula>
    </cfRule>
  </conditionalFormatting>
  <conditionalFormatting sqref="K14 K16:K17 K19 K21 K23:K24">
    <cfRule type="expression" dxfId="394" priority="785" stopIfTrue="1">
      <formula>K$3="So"</formula>
    </cfRule>
    <cfRule type="expression" dxfId="393" priority="786" stopIfTrue="1">
      <formula>K$3="Sa"</formula>
    </cfRule>
  </conditionalFormatting>
  <conditionalFormatting sqref="AJ16">
    <cfRule type="expression" dxfId="392" priority="777" stopIfTrue="1">
      <formula>AJ$3="So"</formula>
    </cfRule>
    <cfRule type="expression" dxfId="391" priority="778" stopIfTrue="1">
      <formula>AJ$3="Sa"</formula>
    </cfRule>
  </conditionalFormatting>
  <conditionalFormatting sqref="AE10">
    <cfRule type="expression" dxfId="390" priority="725" stopIfTrue="1">
      <formula>AE$3="So"</formula>
    </cfRule>
    <cfRule type="expression" dxfId="389" priority="726" stopIfTrue="1">
      <formula>AE$3="Sa"</formula>
    </cfRule>
  </conditionalFormatting>
  <conditionalFormatting sqref="AC16 AC19 AC8 AC21 AC10 AC23">
    <cfRule type="expression" dxfId="388" priority="723" stopIfTrue="1">
      <formula>AC$3="So"</formula>
    </cfRule>
    <cfRule type="expression" dxfId="387" priority="724" stopIfTrue="1">
      <formula>AC$3="Sa"</formula>
    </cfRule>
  </conditionalFormatting>
  <conditionalFormatting sqref="AK10">
    <cfRule type="expression" dxfId="386" priority="675" stopIfTrue="1">
      <formula>AK$3="So"</formula>
    </cfRule>
    <cfRule type="expression" dxfId="385" priority="676" stopIfTrue="1">
      <formula>AK$3="Sa"</formula>
    </cfRule>
  </conditionalFormatting>
  <conditionalFormatting sqref="AJ10">
    <cfRule type="expression" dxfId="384" priority="667" stopIfTrue="1">
      <formula>AJ$3="So"</formula>
    </cfRule>
    <cfRule type="expression" dxfId="383" priority="668" stopIfTrue="1">
      <formula>AJ$3="Sa"</formula>
    </cfRule>
  </conditionalFormatting>
  <conditionalFormatting sqref="AJ17">
    <cfRule type="expression" dxfId="382" priority="647" stopIfTrue="1">
      <formula>AJ$3="So"</formula>
    </cfRule>
    <cfRule type="expression" dxfId="381" priority="648" stopIfTrue="1">
      <formula>AJ$3="Sa"</formula>
    </cfRule>
  </conditionalFormatting>
  <conditionalFormatting sqref="AA5 AA16 AA19 AA8 AA21">
    <cfRule type="expression" dxfId="380" priority="555" stopIfTrue="1">
      <formula>AA$3="So"</formula>
    </cfRule>
    <cfRule type="expression" dxfId="379" priority="556" stopIfTrue="1">
      <formula>AA$3="Sa"</formula>
    </cfRule>
  </conditionalFormatting>
  <conditionalFormatting sqref="AB19 AB8 AB14:AB16 AB21 AB10 AB23">
    <cfRule type="expression" dxfId="378" priority="553" stopIfTrue="1">
      <formula>AB$3="So"</formula>
    </cfRule>
    <cfRule type="expression" dxfId="377" priority="554" stopIfTrue="1">
      <formula>AB$3="Sa"</formula>
    </cfRule>
  </conditionalFormatting>
  <conditionalFormatting sqref="AH16">
    <cfRule type="expression" dxfId="376" priority="551" stopIfTrue="1">
      <formula>AH$3="So"</formula>
    </cfRule>
    <cfRule type="expression" dxfId="375" priority="552" stopIfTrue="1">
      <formula>AH$3="Sa"</formula>
    </cfRule>
  </conditionalFormatting>
  <conditionalFormatting sqref="AI16:AI17">
    <cfRule type="expression" dxfId="374" priority="549" stopIfTrue="1">
      <formula>AI$3="So"</formula>
    </cfRule>
    <cfRule type="expression" dxfId="373" priority="550" stopIfTrue="1">
      <formula>AI$3="Sa"</formula>
    </cfRule>
  </conditionalFormatting>
  <conditionalFormatting sqref="AG5:AH5 AN5">
    <cfRule type="expression" dxfId="372" priority="545" stopIfTrue="1">
      <formula>AG$3="So"</formula>
    </cfRule>
    <cfRule type="expression" dxfId="371" priority="546" stopIfTrue="1">
      <formula>AG$3="Sa"</formula>
    </cfRule>
  </conditionalFormatting>
  <conditionalFormatting sqref="AN6">
    <cfRule type="expression" dxfId="370" priority="533" stopIfTrue="1">
      <formula>AN$3="So"</formula>
    </cfRule>
    <cfRule type="expression" dxfId="369" priority="534" stopIfTrue="1">
      <formula>AN$3="Sa"</formula>
    </cfRule>
  </conditionalFormatting>
  <conditionalFormatting sqref="AO6">
    <cfRule type="expression" dxfId="368" priority="531" stopIfTrue="1">
      <formula>AO$3="So"</formula>
    </cfRule>
    <cfRule type="expression" dxfId="367" priority="532" stopIfTrue="1">
      <formula>AO$3="Sa"</formula>
    </cfRule>
  </conditionalFormatting>
  <conditionalFormatting sqref="K7">
    <cfRule type="expression" dxfId="366" priority="529" stopIfTrue="1">
      <formula>K$3="So"</formula>
    </cfRule>
    <cfRule type="expression" dxfId="365" priority="530" stopIfTrue="1">
      <formula>K$3="Sa"</formula>
    </cfRule>
  </conditionalFormatting>
  <conditionalFormatting sqref="L8:S8">
    <cfRule type="expression" dxfId="364" priority="527" stopIfTrue="1">
      <formula>L$3="So"</formula>
    </cfRule>
    <cfRule type="expression" dxfId="363" priority="528" stopIfTrue="1">
      <formula>L$3="Sa"</formula>
    </cfRule>
  </conditionalFormatting>
  <conditionalFormatting sqref="K12">
    <cfRule type="expression" dxfId="362" priority="507" stopIfTrue="1">
      <formula>K$3="So"</formula>
    </cfRule>
    <cfRule type="expression" dxfId="361" priority="508" stopIfTrue="1">
      <formula>K$3="Sa"</formula>
    </cfRule>
  </conditionalFormatting>
  <conditionalFormatting sqref="L12:AB12 AL12:AP12">
    <cfRule type="expression" dxfId="360" priority="505" stopIfTrue="1">
      <formula>L$3="So"</formula>
    </cfRule>
    <cfRule type="expression" dxfId="359" priority="506" stopIfTrue="1">
      <formula>L$3="Sa"</formula>
    </cfRule>
  </conditionalFormatting>
  <conditionalFormatting sqref="K13:M13">
    <cfRule type="expression" dxfId="358" priority="501" stopIfTrue="1">
      <formula>K$3="So"</formula>
    </cfRule>
    <cfRule type="expression" dxfId="357" priority="502" stopIfTrue="1">
      <formula>K$3="Sa"</formula>
    </cfRule>
  </conditionalFormatting>
  <conditionalFormatting sqref="R13 S20">
    <cfRule type="expression" dxfId="356" priority="499" stopIfTrue="1">
      <formula>Q$3="So"</formula>
    </cfRule>
    <cfRule type="expression" dxfId="355" priority="500" stopIfTrue="1">
      <formula>Q$3="Sa"</formula>
    </cfRule>
  </conditionalFormatting>
  <conditionalFormatting sqref="R13:Y13">
    <cfRule type="expression" dxfId="354" priority="497" stopIfTrue="1">
      <formula>R$3="So"</formula>
    </cfRule>
    <cfRule type="expression" dxfId="353" priority="498" stopIfTrue="1">
      <formula>R$3="Sa"</formula>
    </cfRule>
  </conditionalFormatting>
  <conditionalFormatting sqref="AC14:AN14">
    <cfRule type="expression" dxfId="352" priority="487" stopIfTrue="1">
      <formula>AC$3="So"</formula>
    </cfRule>
    <cfRule type="expression" dxfId="351" priority="488" stopIfTrue="1">
      <formula>AC$3="Sa"</formula>
    </cfRule>
  </conditionalFormatting>
  <conditionalFormatting sqref="AO14">
    <cfRule type="expression" dxfId="350" priority="485" stopIfTrue="1">
      <formula>AO$3="So"</formula>
    </cfRule>
    <cfRule type="expression" dxfId="349" priority="486" stopIfTrue="1">
      <formula>AO$3="Sa"</formula>
    </cfRule>
  </conditionalFormatting>
  <conditionalFormatting sqref="AF15">
    <cfRule type="expression" dxfId="348" priority="483" stopIfTrue="1">
      <formula>AE$3="So"</formula>
    </cfRule>
    <cfRule type="expression" dxfId="347" priority="484" stopIfTrue="1">
      <formula>AE$3="Sa"</formula>
    </cfRule>
  </conditionalFormatting>
  <conditionalFormatting sqref="AF15:AG15 AK15:AN15 AI15">
    <cfRule type="expression" dxfId="346" priority="481" stopIfTrue="1">
      <formula>AF$3="So"</formula>
    </cfRule>
    <cfRule type="expression" dxfId="345" priority="482" stopIfTrue="1">
      <formula>AF$3="Sa"</formula>
    </cfRule>
  </conditionalFormatting>
  <conditionalFormatting sqref="AO15">
    <cfRule type="expression" dxfId="344" priority="479" stopIfTrue="1">
      <formula>AO$3="So"</formula>
    </cfRule>
    <cfRule type="expression" dxfId="343" priority="480" stopIfTrue="1">
      <formula>AO$3="Sa"</formula>
    </cfRule>
  </conditionalFormatting>
  <conditionalFormatting sqref="K16">
    <cfRule type="expression" dxfId="342" priority="477" stopIfTrue="1">
      <formula>K$3="So"</formula>
    </cfRule>
    <cfRule type="expression" dxfId="341" priority="478" stopIfTrue="1">
      <formula>K$3="Sa"</formula>
    </cfRule>
  </conditionalFormatting>
  <conditionalFormatting sqref="L16:R16 U16:AF16">
    <cfRule type="expression" dxfId="340" priority="475" stopIfTrue="1">
      <formula>L$3="So"</formula>
    </cfRule>
    <cfRule type="expression" dxfId="339" priority="476" stopIfTrue="1">
      <formula>L$3="Sa"</formula>
    </cfRule>
  </conditionalFormatting>
  <conditionalFormatting sqref="AC18:AH18 AJ18:AN18">
    <cfRule type="expression" dxfId="338" priority="465" stopIfTrue="1">
      <formula>AC$3="So"</formula>
    </cfRule>
    <cfRule type="expression" dxfId="337" priority="466" stopIfTrue="1">
      <formula>AC$3="Sa"</formula>
    </cfRule>
  </conditionalFormatting>
  <conditionalFormatting sqref="AC18:AH18 AJ18:AN18">
    <cfRule type="expression" dxfId="336" priority="463" stopIfTrue="1">
      <formula>AC$3="So"</formula>
    </cfRule>
    <cfRule type="expression" dxfId="335" priority="464" stopIfTrue="1">
      <formula>AC$3="Sa"</formula>
    </cfRule>
  </conditionalFormatting>
  <conditionalFormatting sqref="AO18">
    <cfRule type="expression" dxfId="334" priority="461" stopIfTrue="1">
      <formula>AO$3="So"</formula>
    </cfRule>
    <cfRule type="expression" dxfId="333" priority="462" stopIfTrue="1">
      <formula>AO$3="Sa"</formula>
    </cfRule>
  </conditionalFormatting>
  <conditionalFormatting sqref="AE19 AE21">
    <cfRule type="expression" dxfId="332" priority="451" stopIfTrue="1">
      <formula>AE$3="So"</formula>
    </cfRule>
    <cfRule type="expression" dxfId="331" priority="452" stopIfTrue="1">
      <formula>AE$3="Sa"</formula>
    </cfRule>
  </conditionalFormatting>
  <conditionalFormatting sqref="AF19:AN19 AF21:AN21 AM20 AF22:AG22 AI22:AL22 AI23:AK23 AG20:AK20 AN22">
    <cfRule type="expression" dxfId="330" priority="447" stopIfTrue="1">
      <formula>AF$3="So"</formula>
    </cfRule>
    <cfRule type="expression" dxfId="329" priority="448" stopIfTrue="1">
      <formula>AF$3="Sa"</formula>
    </cfRule>
  </conditionalFormatting>
  <conditionalFormatting sqref="AF19:AN19 AF21:AN21 AM20 AF22:AG22 AI22:AL22 AI23:AK23 AG20:AK20 AN22">
    <cfRule type="expression" dxfId="328" priority="445" stopIfTrue="1">
      <formula>AF$3="So"</formula>
    </cfRule>
    <cfRule type="expression" dxfId="327" priority="446" stopIfTrue="1">
      <formula>AF$3="Sa"</formula>
    </cfRule>
  </conditionalFormatting>
  <conditionalFormatting sqref="AO19:AO23">
    <cfRule type="expression" dxfId="326" priority="443" stopIfTrue="1">
      <formula>AO$3="So"</formula>
    </cfRule>
    <cfRule type="expression" dxfId="325" priority="444" stopIfTrue="1">
      <formula>AO$3="Sa"</formula>
    </cfRule>
  </conditionalFormatting>
  <conditionalFormatting sqref="F6:H6">
    <cfRule type="expression" dxfId="324" priority="433" stopIfTrue="1">
      <formula>F$3="So"</formula>
    </cfRule>
    <cfRule type="expression" dxfId="323" priority="434" stopIfTrue="1">
      <formula>F$3="Sa"</formula>
    </cfRule>
  </conditionalFormatting>
  <conditionalFormatting sqref="L17">
    <cfRule type="expression" dxfId="322" priority="431" stopIfTrue="1">
      <formula>L$3="So"</formula>
    </cfRule>
    <cfRule type="expression" dxfId="321" priority="432" stopIfTrue="1">
      <formula>L$3="Sa"</formula>
    </cfRule>
  </conditionalFormatting>
  <conditionalFormatting sqref="Z5">
    <cfRule type="expression" dxfId="320" priority="423" stopIfTrue="1">
      <formula>Z$3="So"</formula>
    </cfRule>
    <cfRule type="expression" dxfId="319" priority="424" stopIfTrue="1">
      <formula>Z$3="Sa"</formula>
    </cfRule>
  </conditionalFormatting>
  <conditionalFormatting sqref="N7">
    <cfRule type="expression" dxfId="318" priority="411" stopIfTrue="1">
      <formula>N$3="So"</formula>
    </cfRule>
    <cfRule type="expression" dxfId="317" priority="412" stopIfTrue="1">
      <formula>N$3="Sa"</formula>
    </cfRule>
  </conditionalFormatting>
  <conditionalFormatting sqref="U7">
    <cfRule type="expression" dxfId="316" priority="409" stopIfTrue="1">
      <formula>U$3="So"</formula>
    </cfRule>
    <cfRule type="expression" dxfId="315" priority="410" stopIfTrue="1">
      <formula>U$3="Sa"</formula>
    </cfRule>
  </conditionalFormatting>
  <conditionalFormatting sqref="AA10">
    <cfRule type="expression" dxfId="314" priority="399" stopIfTrue="1">
      <formula>AA$3="So"</formula>
    </cfRule>
    <cfRule type="expression" dxfId="313" priority="400" stopIfTrue="1">
      <formula>AA$3="Sa"</formula>
    </cfRule>
  </conditionalFormatting>
  <conditionalFormatting sqref="S19">
    <cfRule type="expression" dxfId="312" priority="391" stopIfTrue="1">
      <formula>S$3="So"</formula>
    </cfRule>
    <cfRule type="expression" dxfId="311" priority="392" stopIfTrue="1">
      <formula>S$3="Sa"</formula>
    </cfRule>
  </conditionalFormatting>
  <conditionalFormatting sqref="Z19 Z21">
    <cfRule type="expression" dxfId="310" priority="385" stopIfTrue="1">
      <formula>Z$3="So"</formula>
    </cfRule>
    <cfRule type="expression" dxfId="309" priority="386" stopIfTrue="1">
      <formula>Z$3="Sa"</formula>
    </cfRule>
  </conditionalFormatting>
  <conditionalFormatting sqref="AA18">
    <cfRule type="expression" dxfId="308" priority="383" stopIfTrue="1">
      <formula>AA$3="So"</formula>
    </cfRule>
    <cfRule type="expression" dxfId="307" priority="384" stopIfTrue="1">
      <formula>AA$3="Sa"</formula>
    </cfRule>
  </conditionalFormatting>
  <conditionalFormatting sqref="AM6">
    <cfRule type="expression" dxfId="306" priority="377" stopIfTrue="1">
      <formula>AM$3="So"</formula>
    </cfRule>
    <cfRule type="expression" dxfId="305" priority="378" stopIfTrue="1">
      <formula>AM$3="Sa"</formula>
    </cfRule>
  </conditionalFormatting>
  <conditionalFormatting sqref="AJ8">
    <cfRule type="expression" dxfId="304" priority="373" stopIfTrue="1">
      <formula>AJ$3="So"</formula>
    </cfRule>
    <cfRule type="expression" dxfId="303" priority="374" stopIfTrue="1">
      <formula>AJ$3="Sa"</formula>
    </cfRule>
  </conditionalFormatting>
  <conditionalFormatting sqref="AL10:AP10">
    <cfRule type="expression" dxfId="302" priority="371" stopIfTrue="1">
      <formula>AL$3="So"</formula>
    </cfRule>
    <cfRule type="expression" dxfId="301" priority="372" stopIfTrue="1">
      <formula>AL$3="Sa"</formula>
    </cfRule>
  </conditionalFormatting>
  <conditionalFormatting sqref="AO13:AP13">
    <cfRule type="expression" dxfId="300" priority="369" stopIfTrue="1">
      <formula>AO$3="So"</formula>
    </cfRule>
    <cfRule type="expression" dxfId="299" priority="370" stopIfTrue="1">
      <formula>AO$3="Sa"</formula>
    </cfRule>
  </conditionalFormatting>
  <conditionalFormatting sqref="AA13">
    <cfRule type="expression" dxfId="298" priority="363" stopIfTrue="1">
      <formula>AA$3="So"</formula>
    </cfRule>
    <cfRule type="expression" dxfId="297" priority="364" stopIfTrue="1">
      <formula>AA$3="Sa"</formula>
    </cfRule>
  </conditionalFormatting>
  <conditionalFormatting sqref="O13:P13">
    <cfRule type="expression" dxfId="296" priority="361" stopIfTrue="1">
      <formula>O$3="So"</formula>
    </cfRule>
    <cfRule type="expression" dxfId="295" priority="362" stopIfTrue="1">
      <formula>O$3="Sa"</formula>
    </cfRule>
  </conditionalFormatting>
  <conditionalFormatting sqref="Q13">
    <cfRule type="expression" dxfId="294" priority="359" stopIfTrue="1">
      <formula>Q$3="So"</formula>
    </cfRule>
    <cfRule type="expression" dxfId="293" priority="360" stopIfTrue="1">
      <formula>Q$3="Sa"</formula>
    </cfRule>
  </conditionalFormatting>
  <conditionalFormatting sqref="AK8">
    <cfRule type="expression" dxfId="292" priority="351" stopIfTrue="1">
      <formula>AK$3="So"</formula>
    </cfRule>
    <cfRule type="expression" dxfId="291" priority="352" stopIfTrue="1">
      <formula>AK$3="Sa"</formula>
    </cfRule>
  </conditionalFormatting>
  <conditionalFormatting sqref="AF8:AI8">
    <cfRule type="expression" dxfId="290" priority="349" stopIfTrue="1">
      <formula>AF$3="So"</formula>
    </cfRule>
    <cfRule type="expression" dxfId="289" priority="350" stopIfTrue="1">
      <formula>AF$3="Sa"</formula>
    </cfRule>
  </conditionalFormatting>
  <conditionalFormatting sqref="AE8">
    <cfRule type="expression" dxfId="288" priority="341" stopIfTrue="1">
      <formula>AE$3="So"</formula>
    </cfRule>
    <cfRule type="expression" dxfId="287" priority="342" stopIfTrue="1">
      <formula>AE$3="Sa"</formula>
    </cfRule>
  </conditionalFormatting>
  <conditionalFormatting sqref="AP24:AS24">
    <cfRule type="expression" dxfId="286" priority="335" stopIfTrue="1">
      <formula>AP$3="So"</formula>
    </cfRule>
    <cfRule type="expression" dxfId="285" priority="336" stopIfTrue="1">
      <formula>AP$3="Sa"</formula>
    </cfRule>
  </conditionalFormatting>
  <conditionalFormatting sqref="C24">
    <cfRule type="expression" dxfId="284" priority="331" stopIfTrue="1">
      <formula>C$3="So"</formula>
    </cfRule>
    <cfRule type="expression" dxfId="283" priority="332">
      <formula>C$3="Sa"</formula>
    </cfRule>
  </conditionalFormatting>
  <conditionalFormatting sqref="U24:W24">
    <cfRule type="expression" dxfId="282" priority="329" stopIfTrue="1">
      <formula>U$3="So"</formula>
    </cfRule>
    <cfRule type="expression" dxfId="281" priority="330" stopIfTrue="1">
      <formula>U$3="Sa"</formula>
    </cfRule>
  </conditionalFormatting>
  <conditionalFormatting sqref="D24:E24 H24:J24">
    <cfRule type="expression" dxfId="280" priority="327" stopIfTrue="1">
      <formula>D$3="So"</formula>
    </cfRule>
    <cfRule type="expression" dxfId="279" priority="328" stopIfTrue="1">
      <formula>D$3="Sa"</formula>
    </cfRule>
  </conditionalFormatting>
  <conditionalFormatting sqref="F24">
    <cfRule type="expression" dxfId="278" priority="325" stopIfTrue="1">
      <formula>F$3="So"</formula>
    </cfRule>
    <cfRule type="expression" dxfId="277" priority="326" stopIfTrue="1">
      <formula>F$3="Sa"</formula>
    </cfRule>
  </conditionalFormatting>
  <conditionalFormatting sqref="G24">
    <cfRule type="expression" dxfId="276" priority="323" stopIfTrue="1">
      <formula>G$3="So"</formula>
    </cfRule>
    <cfRule type="expression" dxfId="275" priority="324" stopIfTrue="1">
      <formula>G$3="Sa"</formula>
    </cfRule>
  </conditionalFormatting>
  <conditionalFormatting sqref="AD24">
    <cfRule type="expression" dxfId="274" priority="319" stopIfTrue="1">
      <formula>AD$3="So"</formula>
    </cfRule>
    <cfRule type="expression" dxfId="273" priority="320" stopIfTrue="1">
      <formula>AD$3="Sa"</formula>
    </cfRule>
  </conditionalFormatting>
  <conditionalFormatting sqref="AC24">
    <cfRule type="expression" dxfId="272" priority="317" stopIfTrue="1">
      <formula>AC$3="So"</formula>
    </cfRule>
    <cfRule type="expression" dxfId="271" priority="318" stopIfTrue="1">
      <formula>AC$3="Sa"</formula>
    </cfRule>
  </conditionalFormatting>
  <conditionalFormatting sqref="AB24">
    <cfRule type="expression" dxfId="270" priority="313" stopIfTrue="1">
      <formula>AB$3="So"</formula>
    </cfRule>
    <cfRule type="expression" dxfId="269" priority="314" stopIfTrue="1">
      <formula>AB$3="Sa"</formula>
    </cfRule>
  </conditionalFormatting>
  <conditionalFormatting sqref="AI24:AK24">
    <cfRule type="expression" dxfId="268" priority="309" stopIfTrue="1">
      <formula>AI$3="So"</formula>
    </cfRule>
    <cfRule type="expression" dxfId="267" priority="310" stopIfTrue="1">
      <formula>AI$3="Sa"</formula>
    </cfRule>
  </conditionalFormatting>
  <conditionalFormatting sqref="AI24:AK24">
    <cfRule type="expression" dxfId="266" priority="307" stopIfTrue="1">
      <formula>AI$3="So"</formula>
    </cfRule>
    <cfRule type="expression" dxfId="265" priority="308" stopIfTrue="1">
      <formula>AI$3="Sa"</formula>
    </cfRule>
  </conditionalFormatting>
  <conditionalFormatting sqref="AO24">
    <cfRule type="expression" dxfId="264" priority="305" stopIfTrue="1">
      <formula>AO$3="So"</formula>
    </cfRule>
    <cfRule type="expression" dxfId="263" priority="306" stopIfTrue="1">
      <formula>AO$3="Sa"</formula>
    </cfRule>
  </conditionalFormatting>
  <conditionalFormatting sqref="AR25:AS25">
    <cfRule type="expression" dxfId="262" priority="295" stopIfTrue="1">
      <formula>AR$3="So"</formula>
    </cfRule>
    <cfRule type="expression" dxfId="261" priority="296" stopIfTrue="1">
      <formula>AR$3="Sa"</formula>
    </cfRule>
  </conditionalFormatting>
  <conditionalFormatting sqref="AP25:AQ25">
    <cfRule type="expression" dxfId="260" priority="293" stopIfTrue="1">
      <formula>AP$3="So"</formula>
    </cfRule>
    <cfRule type="expression" dxfId="259" priority="294" stopIfTrue="1">
      <formula>AP$3="Sa"</formula>
    </cfRule>
  </conditionalFormatting>
  <conditionalFormatting sqref="C25">
    <cfRule type="expression" dxfId="258" priority="291" stopIfTrue="1">
      <formula>C$3="So"</formula>
    </cfRule>
    <cfRule type="expression" dxfId="257" priority="292">
      <formula>C$3="Sa"</formula>
    </cfRule>
  </conditionalFormatting>
  <conditionalFormatting sqref="D25:J25">
    <cfRule type="expression" dxfId="256" priority="289" stopIfTrue="1">
      <formula>D$3="So"</formula>
    </cfRule>
    <cfRule type="expression" dxfId="255" priority="290" stopIfTrue="1">
      <formula>D$3="Sa"</formula>
    </cfRule>
  </conditionalFormatting>
  <conditionalFormatting sqref="S7">
    <cfRule type="expression" dxfId="254" priority="271" stopIfTrue="1">
      <formula>S$3="So"</formula>
    </cfRule>
    <cfRule type="expression" dxfId="253" priority="272" stopIfTrue="1">
      <formula>S$3="Sa"</formula>
    </cfRule>
  </conditionalFormatting>
  <conditionalFormatting sqref="R7">
    <cfRule type="expression" dxfId="252" priority="269" stopIfTrue="1">
      <formula>R$3="So"</formula>
    </cfRule>
    <cfRule type="expression" dxfId="251" priority="270" stopIfTrue="1">
      <formula>R$3="Sa"</formula>
    </cfRule>
  </conditionalFormatting>
  <conditionalFormatting sqref="L7">
    <cfRule type="expression" dxfId="250" priority="267" stopIfTrue="1">
      <formula>L$3="So"</formula>
    </cfRule>
    <cfRule type="expression" dxfId="249" priority="268" stopIfTrue="1">
      <formula>L$3="Sa"</formula>
    </cfRule>
  </conditionalFormatting>
  <conditionalFormatting sqref="AH17">
    <cfRule type="expression" dxfId="248" priority="263" stopIfTrue="1">
      <formula>AH$3="So"</formula>
    </cfRule>
    <cfRule type="expression" dxfId="247" priority="264" stopIfTrue="1">
      <formula>AH$3="Sa"</formula>
    </cfRule>
  </conditionalFormatting>
  <conditionalFormatting sqref="AO17">
    <cfRule type="expression" dxfId="246" priority="261" stopIfTrue="1">
      <formula>AO$3="So"</formula>
    </cfRule>
    <cfRule type="expression" dxfId="245" priority="262" stopIfTrue="1">
      <formula>AO$3="Sa"</formula>
    </cfRule>
  </conditionalFormatting>
  <conditionalFormatting sqref="AE15">
    <cfRule type="expression" dxfId="244" priority="257" stopIfTrue="1">
      <formula>AE$3="So"</formula>
    </cfRule>
    <cfRule type="expression" dxfId="243" priority="258" stopIfTrue="1">
      <formula>AE$3="Sa"</formula>
    </cfRule>
  </conditionalFormatting>
  <conditionalFormatting sqref="K5">
    <cfRule type="expression" dxfId="242" priority="251" stopIfTrue="1">
      <formula>K$3="So"</formula>
    </cfRule>
    <cfRule type="expression" dxfId="241" priority="252" stopIfTrue="1">
      <formula>K$3="Sa"</formula>
    </cfRule>
  </conditionalFormatting>
  <conditionalFormatting sqref="L5:P5">
    <cfRule type="expression" dxfId="240" priority="247" stopIfTrue="1">
      <formula>L$3="So"</formula>
    </cfRule>
    <cfRule type="expression" dxfId="239" priority="248" stopIfTrue="1">
      <formula>L$3="Sa"</formula>
    </cfRule>
  </conditionalFormatting>
  <conditionalFormatting sqref="AJ5">
    <cfRule type="expression" dxfId="238" priority="235" stopIfTrue="1">
      <formula>AJ$3="So"</formula>
    </cfRule>
    <cfRule type="expression" dxfId="237" priority="236" stopIfTrue="1">
      <formula>AJ$3="Sa"</formula>
    </cfRule>
  </conditionalFormatting>
  <conditionalFormatting sqref="K6">
    <cfRule type="expression" dxfId="236" priority="229" stopIfTrue="1">
      <formula>K$3="So"</formula>
    </cfRule>
    <cfRule type="expression" dxfId="235" priority="230" stopIfTrue="1">
      <formula>K$3="Sa"</formula>
    </cfRule>
  </conditionalFormatting>
  <conditionalFormatting sqref="L6:P6">
    <cfRule type="expression" dxfId="234" priority="227" stopIfTrue="1">
      <formula>L$3="So"</formula>
    </cfRule>
    <cfRule type="expression" dxfId="233" priority="228" stopIfTrue="1">
      <formula>L$3="Sa"</formula>
    </cfRule>
  </conditionalFormatting>
  <conditionalFormatting sqref="K11:AO11">
    <cfRule type="expression" dxfId="232" priority="225" stopIfTrue="1">
      <formula>K$3="So"</formula>
    </cfRule>
    <cfRule type="expression" dxfId="231" priority="226" stopIfTrue="1">
      <formula>K$3="Sa"</formula>
    </cfRule>
  </conditionalFormatting>
  <conditionalFormatting sqref="V7">
    <cfRule type="expression" dxfId="230" priority="221" stopIfTrue="1">
      <formula>V$3="So"</formula>
    </cfRule>
    <cfRule type="expression" dxfId="229" priority="222" stopIfTrue="1">
      <formula>V$3="Sa"</formula>
    </cfRule>
  </conditionalFormatting>
  <conditionalFormatting sqref="W7:AN7">
    <cfRule type="expression" dxfId="228" priority="219" stopIfTrue="1">
      <formula>W$3="So"</formula>
    </cfRule>
    <cfRule type="expression" dxfId="227" priority="220" stopIfTrue="1">
      <formula>W$3="Sa"</formula>
    </cfRule>
  </conditionalFormatting>
  <conditionalFormatting sqref="K10">
    <cfRule type="expression" dxfId="226" priority="213" stopIfTrue="1">
      <formula>K$3="So"</formula>
    </cfRule>
    <cfRule type="expression" dxfId="225" priority="214" stopIfTrue="1">
      <formula>K$3="Sa"</formula>
    </cfRule>
  </conditionalFormatting>
  <conditionalFormatting sqref="L10:V10">
    <cfRule type="expression" dxfId="224" priority="211" stopIfTrue="1">
      <formula>L$3="So"</formula>
    </cfRule>
    <cfRule type="expression" dxfId="223" priority="212" stopIfTrue="1">
      <formula>L$3="Sa"</formula>
    </cfRule>
  </conditionalFormatting>
  <conditionalFormatting sqref="AD12:AK12">
    <cfRule type="expression" dxfId="222" priority="207" stopIfTrue="1">
      <formula>AD$3="So"</formula>
    </cfRule>
    <cfRule type="expression" dxfId="221" priority="208" stopIfTrue="1">
      <formula>AD$3="Sa"</formula>
    </cfRule>
  </conditionalFormatting>
  <conditionalFormatting sqref="AB13">
    <cfRule type="expression" dxfId="220" priority="205" stopIfTrue="1">
      <formula>AB$3="So"</formula>
    </cfRule>
    <cfRule type="expression" dxfId="219" priority="206" stopIfTrue="1">
      <formula>AB$3="Sa"</formula>
    </cfRule>
  </conditionalFormatting>
  <conditionalFormatting sqref="AC12">
    <cfRule type="expression" dxfId="218" priority="203" stopIfTrue="1">
      <formula>AC$3="So"</formula>
    </cfRule>
    <cfRule type="expression" dxfId="217" priority="204" stopIfTrue="1">
      <formula>AC$3="Sa"</formula>
    </cfRule>
  </conditionalFormatting>
  <conditionalFormatting sqref="AD13:AN13">
    <cfRule type="expression" dxfId="216" priority="201" stopIfTrue="1">
      <formula>AD$3="So"</formula>
    </cfRule>
    <cfRule type="expression" dxfId="215" priority="202" stopIfTrue="1">
      <formula>AD$3="Sa"</formula>
    </cfRule>
  </conditionalFormatting>
  <conditionalFormatting sqref="AC13">
    <cfRule type="expression" dxfId="214" priority="199" stopIfTrue="1">
      <formula>AC$3="So"</formula>
    </cfRule>
    <cfRule type="expression" dxfId="213" priority="200" stopIfTrue="1">
      <formula>AC$3="Sa"</formula>
    </cfRule>
  </conditionalFormatting>
  <conditionalFormatting sqref="W15">
    <cfRule type="expression" dxfId="212" priority="197" stopIfTrue="1">
      <formula>W$3="So"</formula>
    </cfRule>
    <cfRule type="expression" dxfId="211" priority="198" stopIfTrue="1">
      <formula>W$3="Sa"</formula>
    </cfRule>
  </conditionalFormatting>
  <conditionalFormatting sqref="P15:S15 U15">
    <cfRule type="expression" dxfId="210" priority="193" stopIfTrue="1">
      <formula>P$3="So"</formula>
    </cfRule>
    <cfRule type="expression" dxfId="209" priority="194" stopIfTrue="1">
      <formula>P$3="Sa"</formula>
    </cfRule>
  </conditionalFormatting>
  <conditionalFormatting sqref="O17">
    <cfRule type="expression" dxfId="208" priority="191" stopIfTrue="1">
      <formula>O$3="So"</formula>
    </cfRule>
    <cfRule type="expression" dxfId="207" priority="192" stopIfTrue="1">
      <formula>O$3="Sa"</formula>
    </cfRule>
  </conditionalFormatting>
  <conditionalFormatting sqref="AK5">
    <cfRule type="expression" dxfId="206" priority="189" stopIfTrue="1">
      <formula>AK$3="So"</formula>
    </cfRule>
    <cfRule type="expression" dxfId="205" priority="190" stopIfTrue="1">
      <formula>AK$3="Sa"</formula>
    </cfRule>
  </conditionalFormatting>
  <conditionalFormatting sqref="E15">
    <cfRule type="expression" dxfId="204" priority="187" stopIfTrue="1">
      <formula>E$3="So"</formula>
    </cfRule>
    <cfRule type="expression" dxfId="203" priority="188" stopIfTrue="1">
      <formula>E$3="Sa"</formula>
    </cfRule>
  </conditionalFormatting>
  <conditionalFormatting sqref="V15">
    <cfRule type="expression" dxfId="202" priority="183" stopIfTrue="1">
      <formula>V$3="So"</formula>
    </cfRule>
    <cfRule type="expression" dxfId="201" priority="184" stopIfTrue="1">
      <formula>V$3="Sa"</formula>
    </cfRule>
  </conditionalFormatting>
  <conditionalFormatting sqref="AC15">
    <cfRule type="expression" dxfId="200" priority="181" stopIfTrue="1">
      <formula>AC$3="So"</formula>
    </cfRule>
    <cfRule type="expression" dxfId="199" priority="182" stopIfTrue="1">
      <formula>AC$3="Sa"</formula>
    </cfRule>
  </conditionalFormatting>
  <conditionalFormatting sqref="Z15">
    <cfRule type="expression" dxfId="198" priority="179" stopIfTrue="1">
      <formula>Z$3="So"</formula>
    </cfRule>
    <cfRule type="expression" dxfId="197" priority="180" stopIfTrue="1">
      <formula>Z$3="Sa"</formula>
    </cfRule>
  </conditionalFormatting>
  <conditionalFormatting sqref="S16:T16">
    <cfRule type="expression" dxfId="196" priority="177" stopIfTrue="1">
      <formula>S$3="So"</formula>
    </cfRule>
    <cfRule type="expression" dxfId="195" priority="178" stopIfTrue="1">
      <formula>S$3="Sa"</formula>
    </cfRule>
  </conditionalFormatting>
  <conditionalFormatting sqref="M15:O15">
    <cfRule type="expression" dxfId="194" priority="175" stopIfTrue="1">
      <formula>M$3="So"</formula>
    </cfRule>
    <cfRule type="expression" dxfId="193" priority="176" stopIfTrue="1">
      <formula>M$3="Sa"</formula>
    </cfRule>
  </conditionalFormatting>
  <conditionalFormatting sqref="L15">
    <cfRule type="expression" dxfId="192" priority="171" stopIfTrue="1">
      <formula>L$3="So"</formula>
    </cfRule>
    <cfRule type="expression" dxfId="191" priority="172" stopIfTrue="1">
      <formula>L$3="Sa"</formula>
    </cfRule>
  </conditionalFormatting>
  <conditionalFormatting sqref="AJ15">
    <cfRule type="expression" dxfId="190" priority="169" stopIfTrue="1">
      <formula>AJ$3="So"</formula>
    </cfRule>
    <cfRule type="expression" dxfId="189" priority="170" stopIfTrue="1">
      <formula>AJ$3="Sa"</formula>
    </cfRule>
  </conditionalFormatting>
  <conditionalFormatting sqref="T18">
    <cfRule type="expression" dxfId="188" priority="167" stopIfTrue="1">
      <formula>M$3="So"</formula>
    </cfRule>
    <cfRule type="expression" dxfId="187" priority="168" stopIfTrue="1">
      <formula>M$3="Sa"</formula>
    </cfRule>
  </conditionalFormatting>
  <conditionalFormatting sqref="K18">
    <cfRule type="expression" dxfId="186" priority="165" stopIfTrue="1">
      <formula>K$3="So"</formula>
    </cfRule>
    <cfRule type="expression" dxfId="185" priority="166" stopIfTrue="1">
      <formula>K$3="Sa"</formula>
    </cfRule>
  </conditionalFormatting>
  <conditionalFormatting sqref="L18:S18">
    <cfRule type="expression" dxfId="184" priority="163" stopIfTrue="1">
      <formula>L$3="So"</formula>
    </cfRule>
    <cfRule type="expression" dxfId="183" priority="164" stopIfTrue="1">
      <formula>L$3="Sa"</formula>
    </cfRule>
  </conditionalFormatting>
  <conditionalFormatting sqref="AB18">
    <cfRule type="expression" dxfId="182" priority="161" stopIfTrue="1">
      <formula>AB$3="So"</formula>
    </cfRule>
    <cfRule type="expression" dxfId="181" priority="162" stopIfTrue="1">
      <formula>AB$3="Sa"</formula>
    </cfRule>
  </conditionalFormatting>
  <conditionalFormatting sqref="AI18">
    <cfRule type="expression" dxfId="180" priority="159" stopIfTrue="1">
      <formula>AI$3="So"</formula>
    </cfRule>
    <cfRule type="expression" dxfId="179" priority="160" stopIfTrue="1">
      <formula>AI$3="Sa"</formula>
    </cfRule>
  </conditionalFormatting>
  <conditionalFormatting sqref="AB20:AF20">
    <cfRule type="expression" dxfId="178" priority="155" stopIfTrue="1">
      <formula>AB$3="So"</formula>
    </cfRule>
    <cfRule type="expression" dxfId="177" priority="156" stopIfTrue="1">
      <formula>AB$3="Sa"</formula>
    </cfRule>
  </conditionalFormatting>
  <conditionalFormatting sqref="AN20">
    <cfRule type="expression" dxfId="176" priority="151" stopIfTrue="1">
      <formula>AN$3="So"</formula>
    </cfRule>
    <cfRule type="expression" dxfId="175" priority="152" stopIfTrue="1">
      <formula>AN$3="Sa"</formula>
    </cfRule>
  </conditionalFormatting>
  <conditionalFormatting sqref="M22">
    <cfRule type="expression" dxfId="174" priority="149" stopIfTrue="1">
      <formula>M$3="So"</formula>
    </cfRule>
    <cfRule type="expression" dxfId="173" priority="150" stopIfTrue="1">
      <formula>M$3="Sa"</formula>
    </cfRule>
  </conditionalFormatting>
  <conditionalFormatting sqref="AH22">
    <cfRule type="expression" dxfId="172" priority="141" stopIfTrue="1">
      <formula>AH$3="So"</formula>
    </cfRule>
    <cfRule type="expression" dxfId="171" priority="142" stopIfTrue="1">
      <formula>AH$3="Sa"</formula>
    </cfRule>
  </conditionalFormatting>
  <conditionalFormatting sqref="T23:T24">
    <cfRule type="expression" dxfId="170" priority="129" stopIfTrue="1">
      <formula>T$3="So"</formula>
    </cfRule>
    <cfRule type="expression" dxfId="169" priority="130" stopIfTrue="1">
      <formula>T$3="Sa"</formula>
    </cfRule>
  </conditionalFormatting>
  <conditionalFormatting sqref="S23:S24">
    <cfRule type="expression" dxfId="168" priority="127" stopIfTrue="1">
      <formula>S$3="So"</formula>
    </cfRule>
    <cfRule type="expression" dxfId="167" priority="128" stopIfTrue="1">
      <formula>S$3="Sa"</formula>
    </cfRule>
  </conditionalFormatting>
  <conditionalFormatting sqref="L20">
    <cfRule type="expression" dxfId="166" priority="115" stopIfTrue="1">
      <formula>L$3="So"</formula>
    </cfRule>
    <cfRule type="expression" dxfId="165" priority="116" stopIfTrue="1">
      <formula>L$3="Sa"</formula>
    </cfRule>
  </conditionalFormatting>
  <conditionalFormatting sqref="AA23">
    <cfRule type="expression" dxfId="164" priority="113" stopIfTrue="1">
      <formula>AA$3="So"</formula>
    </cfRule>
    <cfRule type="expression" dxfId="163" priority="114" stopIfTrue="1">
      <formula>AA$3="Sa"</formula>
    </cfRule>
  </conditionalFormatting>
  <conditionalFormatting sqref="Z23">
    <cfRule type="expression" dxfId="162" priority="111" stopIfTrue="1">
      <formula>Z$3="So"</formula>
    </cfRule>
    <cfRule type="expression" dxfId="161" priority="112" stopIfTrue="1">
      <formula>Z$3="Sa"</formula>
    </cfRule>
  </conditionalFormatting>
  <conditionalFormatting sqref="AA24">
    <cfRule type="expression" dxfId="160" priority="107" stopIfTrue="1">
      <formula>AA$3="So"</formula>
    </cfRule>
    <cfRule type="expression" dxfId="159" priority="108" stopIfTrue="1">
      <formula>AA$3="Sa"</formula>
    </cfRule>
  </conditionalFormatting>
  <conditionalFormatting sqref="Z24">
    <cfRule type="expression" dxfId="158" priority="105" stopIfTrue="1">
      <formula>Z$3="So"</formula>
    </cfRule>
    <cfRule type="expression" dxfId="157" priority="106" stopIfTrue="1">
      <formula>Z$3="Sa"</formula>
    </cfRule>
  </conditionalFormatting>
  <conditionalFormatting sqref="AH23">
    <cfRule type="expression" dxfId="156" priority="101" stopIfTrue="1">
      <formula>AH$3="So"</formula>
    </cfRule>
    <cfRule type="expression" dxfId="155" priority="102" stopIfTrue="1">
      <formula>AH$3="Sa"</formula>
    </cfRule>
  </conditionalFormatting>
  <conditionalFormatting sqref="AG23">
    <cfRule type="expression" dxfId="154" priority="99" stopIfTrue="1">
      <formula>AG$3="So"</formula>
    </cfRule>
    <cfRule type="expression" dxfId="153" priority="100" stopIfTrue="1">
      <formula>AG$3="Sa"</formula>
    </cfRule>
  </conditionalFormatting>
  <conditionalFormatting sqref="AH24">
    <cfRule type="expression" dxfId="152" priority="95" stopIfTrue="1">
      <formula>AH$3="So"</formula>
    </cfRule>
    <cfRule type="expression" dxfId="151" priority="96" stopIfTrue="1">
      <formula>AH$3="Sa"</formula>
    </cfRule>
  </conditionalFormatting>
  <conditionalFormatting sqref="AG24">
    <cfRule type="expression" dxfId="150" priority="93" stopIfTrue="1">
      <formula>AG$3="So"</formula>
    </cfRule>
    <cfRule type="expression" dxfId="149" priority="94" stopIfTrue="1">
      <formula>AG$3="Sa"</formula>
    </cfRule>
  </conditionalFormatting>
  <conditionalFormatting sqref="AN23">
    <cfRule type="expression" dxfId="148" priority="89" stopIfTrue="1">
      <formula>AN$3="So"</formula>
    </cfRule>
    <cfRule type="expression" dxfId="147" priority="90" stopIfTrue="1">
      <formula>AN$3="Sa"</formula>
    </cfRule>
  </conditionalFormatting>
  <conditionalFormatting sqref="AN24">
    <cfRule type="expression" dxfId="146" priority="85" stopIfTrue="1">
      <formula>AN$3="So"</formula>
    </cfRule>
    <cfRule type="expression" dxfId="145" priority="86" stopIfTrue="1">
      <formula>AN$3="Sa"</formula>
    </cfRule>
  </conditionalFormatting>
  <conditionalFormatting sqref="AL20">
    <cfRule type="expression" dxfId="144" priority="83" stopIfTrue="1">
      <formula>AL$3="So"</formula>
    </cfRule>
    <cfRule type="expression" dxfId="143" priority="84" stopIfTrue="1">
      <formula>AL$3="Sa"</formula>
    </cfRule>
  </conditionalFormatting>
  <conditionalFormatting sqref="Q5">
    <cfRule type="expression" dxfId="142" priority="81" stopIfTrue="1">
      <formula>Q$3="So"</formula>
    </cfRule>
    <cfRule type="expression" dxfId="141" priority="82" stopIfTrue="1">
      <formula>Q$3="Sa"</formula>
    </cfRule>
  </conditionalFormatting>
  <conditionalFormatting sqref="R5:Y5">
    <cfRule type="expression" dxfId="140" priority="79" stopIfTrue="1">
      <formula>R$3="So"</formula>
    </cfRule>
    <cfRule type="expression" dxfId="139" priority="80" stopIfTrue="1">
      <formula>R$3="Sa"</formula>
    </cfRule>
  </conditionalFormatting>
  <conditionalFormatting sqref="AB5">
    <cfRule type="expression" dxfId="138" priority="77" stopIfTrue="1">
      <formula>AB$3="So"</formula>
    </cfRule>
    <cfRule type="expression" dxfId="137" priority="78" stopIfTrue="1">
      <formula>AB$3="Sa"</formula>
    </cfRule>
  </conditionalFormatting>
  <conditionalFormatting sqref="AC5:AF5">
    <cfRule type="expression" dxfId="136" priority="75" stopIfTrue="1">
      <formula>AC$3="So"</formula>
    </cfRule>
    <cfRule type="expression" dxfId="135" priority="76" stopIfTrue="1">
      <formula>AC$3="Sa"</formula>
    </cfRule>
  </conditionalFormatting>
  <conditionalFormatting sqref="AI5">
    <cfRule type="expression" dxfId="134" priority="73" stopIfTrue="1">
      <formula>AI$3="So"</formula>
    </cfRule>
    <cfRule type="expression" dxfId="133" priority="74" stopIfTrue="1">
      <formula>AI$3="Sa"</formula>
    </cfRule>
  </conditionalFormatting>
  <conditionalFormatting sqref="AL5:AM5">
    <cfRule type="expression" dxfId="132" priority="71" stopIfTrue="1">
      <formula>AL$3="So"</formula>
    </cfRule>
    <cfRule type="expression" dxfId="131" priority="72" stopIfTrue="1">
      <formula>AL$3="Sa"</formula>
    </cfRule>
  </conditionalFormatting>
  <conditionalFormatting sqref="W6">
    <cfRule type="expression" dxfId="130" priority="69" stopIfTrue="1">
      <formula>W$3="So"</formula>
    </cfRule>
    <cfRule type="expression" dxfId="129" priority="70" stopIfTrue="1">
      <formula>W$3="Sa"</formula>
    </cfRule>
  </conditionalFormatting>
  <conditionalFormatting sqref="X6:AK6">
    <cfRule type="expression" dxfId="128" priority="67" stopIfTrue="1">
      <formula>X$3="So"</formula>
    </cfRule>
    <cfRule type="expression" dxfId="127" priority="68" stopIfTrue="1">
      <formula>X$3="Sa"</formula>
    </cfRule>
  </conditionalFormatting>
  <conditionalFormatting sqref="AM8:AN8">
    <cfRule type="expression" dxfId="126" priority="65" stopIfTrue="1">
      <formula>AM$3="So"</formula>
    </cfRule>
    <cfRule type="expression" dxfId="125" priority="66" stopIfTrue="1">
      <formula>AM$3="Sa"</formula>
    </cfRule>
  </conditionalFormatting>
  <conditionalFormatting sqref="K9:AO9">
    <cfRule type="expression" dxfId="124" priority="63" stopIfTrue="1">
      <formula>K$3="So"</formula>
    </cfRule>
    <cfRule type="expression" dxfId="123" priority="64" stopIfTrue="1">
      <formula>K$3="Sa"</formula>
    </cfRule>
  </conditionalFormatting>
  <conditionalFormatting sqref="K15">
    <cfRule type="expression" dxfId="122" priority="61" stopIfTrue="1">
      <formula>K$3="So"</formula>
    </cfRule>
    <cfRule type="expression" dxfId="121" priority="62" stopIfTrue="1">
      <formula>K$3="Sa"</formula>
    </cfRule>
  </conditionalFormatting>
  <conditionalFormatting sqref="T15">
    <cfRule type="expression" dxfId="120" priority="59" stopIfTrue="1">
      <formula>T$3="So"</formula>
    </cfRule>
    <cfRule type="expression" dxfId="119" priority="60" stopIfTrue="1">
      <formula>T$3="Sa"</formula>
    </cfRule>
  </conditionalFormatting>
  <conditionalFormatting sqref="AA15">
    <cfRule type="expression" dxfId="118" priority="57" stopIfTrue="1">
      <formula>AA$3="So"</formula>
    </cfRule>
    <cfRule type="expression" dxfId="117" priority="58" stopIfTrue="1">
      <formula>AA$3="Sa"</formula>
    </cfRule>
  </conditionalFormatting>
  <conditionalFormatting sqref="AH15">
    <cfRule type="expression" dxfId="116" priority="55" stopIfTrue="1">
      <formula>AH$3="So"</formula>
    </cfRule>
    <cfRule type="expression" dxfId="115" priority="56" stopIfTrue="1">
      <formula>AH$3="Sa"</formula>
    </cfRule>
  </conditionalFormatting>
  <conditionalFormatting sqref="AL16:AM16">
    <cfRule type="expression" dxfId="114" priority="53" stopIfTrue="1">
      <formula>AL$3="So"</formula>
    </cfRule>
    <cfRule type="expression" dxfId="113" priority="54" stopIfTrue="1">
      <formula>AL$3="Sa"</formula>
    </cfRule>
  </conditionalFormatting>
  <conditionalFormatting sqref="P17">
    <cfRule type="expression" dxfId="112" priority="51" stopIfTrue="1">
      <formula>P$3="So"</formula>
    </cfRule>
    <cfRule type="expression" dxfId="111" priority="52" stopIfTrue="1">
      <formula>P$3="Sa"</formula>
    </cfRule>
  </conditionalFormatting>
  <conditionalFormatting sqref="Q17:AE17">
    <cfRule type="expression" dxfId="110" priority="49" stopIfTrue="1">
      <formula>Q$3="So"</formula>
    </cfRule>
    <cfRule type="expression" dxfId="109" priority="50" stopIfTrue="1">
      <formula>Q$3="Sa"</formula>
    </cfRule>
  </conditionalFormatting>
  <conditionalFormatting sqref="L19:Q19">
    <cfRule type="expression" dxfId="108" priority="47" stopIfTrue="1">
      <formula>L$3="So"</formula>
    </cfRule>
    <cfRule type="expression" dxfId="107" priority="48" stopIfTrue="1">
      <formula>L$3="Sa"</formula>
    </cfRule>
  </conditionalFormatting>
  <conditionalFormatting sqref="R19">
    <cfRule type="expression" dxfId="106" priority="45" stopIfTrue="1">
      <formula>R$3="So"</formula>
    </cfRule>
    <cfRule type="expression" dxfId="105" priority="46" stopIfTrue="1">
      <formula>R$3="Sa"</formula>
    </cfRule>
  </conditionalFormatting>
  <conditionalFormatting sqref="K20">
    <cfRule type="expression" dxfId="104" priority="43" stopIfTrue="1">
      <formula>K$3="So"</formula>
    </cfRule>
    <cfRule type="expression" dxfId="103" priority="44" stopIfTrue="1">
      <formula>K$3="Sa"</formula>
    </cfRule>
  </conditionalFormatting>
  <conditionalFormatting sqref="L21:X21">
    <cfRule type="expression" dxfId="102" priority="41" stopIfTrue="1">
      <formula>L$3="So"</formula>
    </cfRule>
    <cfRule type="expression" dxfId="101" priority="42" stopIfTrue="1">
      <formula>L$3="Sa"</formula>
    </cfRule>
  </conditionalFormatting>
  <conditionalFormatting sqref="Y21">
    <cfRule type="expression" dxfId="100" priority="37" stopIfTrue="1">
      <formula>Y$3="So"</formula>
    </cfRule>
    <cfRule type="expression" dxfId="99" priority="38" stopIfTrue="1">
      <formula>Y$3="Sa"</formula>
    </cfRule>
  </conditionalFormatting>
  <conditionalFormatting sqref="K22">
    <cfRule type="expression" dxfId="98" priority="35" stopIfTrue="1">
      <formula>K$3="So"</formula>
    </cfRule>
    <cfRule type="expression" dxfId="97" priority="36" stopIfTrue="1">
      <formula>K$3="Sa"</formula>
    </cfRule>
  </conditionalFormatting>
  <conditionalFormatting sqref="L22">
    <cfRule type="expression" dxfId="96" priority="33" stopIfTrue="1">
      <formula>L$3="So"</formula>
    </cfRule>
    <cfRule type="expression" dxfId="95" priority="34" stopIfTrue="1">
      <formula>L$3="Sa"</formula>
    </cfRule>
  </conditionalFormatting>
  <conditionalFormatting sqref="Q22">
    <cfRule type="expression" dxfId="94" priority="31" stopIfTrue="1">
      <formula>Q$3="So"</formula>
    </cfRule>
    <cfRule type="expression" dxfId="93" priority="32" stopIfTrue="1">
      <formula>Q$3="Sa"</formula>
    </cfRule>
  </conditionalFormatting>
  <conditionalFormatting sqref="R22:AE22">
    <cfRule type="expression" dxfId="92" priority="29" stopIfTrue="1">
      <formula>R$3="So"</formula>
    </cfRule>
    <cfRule type="expression" dxfId="91" priority="30" stopIfTrue="1">
      <formula>R$3="Sa"</formula>
    </cfRule>
  </conditionalFormatting>
  <conditionalFormatting sqref="AF22">
    <cfRule type="expression" dxfId="90" priority="27" stopIfTrue="1">
      <formula>AE$3="So"</formula>
    </cfRule>
    <cfRule type="expression" dxfId="89" priority="28" stopIfTrue="1">
      <formula>AE$3="Sa"</formula>
    </cfRule>
  </conditionalFormatting>
  <conditionalFormatting sqref="AM22">
    <cfRule type="expression" dxfId="88" priority="25" stopIfTrue="1">
      <formula>AM$3="So"</formula>
    </cfRule>
    <cfRule type="expression" dxfId="87" priority="26" stopIfTrue="1">
      <formula>AM$3="Sa"</formula>
    </cfRule>
  </conditionalFormatting>
  <conditionalFormatting sqref="L23:Q24">
    <cfRule type="expression" dxfId="86" priority="23" stopIfTrue="1">
      <formula>L$3="So"</formula>
    </cfRule>
    <cfRule type="expression" dxfId="85" priority="24" stopIfTrue="1">
      <formula>L$3="Sa"</formula>
    </cfRule>
  </conditionalFormatting>
  <conditionalFormatting sqref="R23:R24">
    <cfRule type="expression" dxfId="84" priority="21" stopIfTrue="1">
      <formula>R$3="So"</formula>
    </cfRule>
    <cfRule type="expression" dxfId="83" priority="22" stopIfTrue="1">
      <formula>R$3="Sa"</formula>
    </cfRule>
  </conditionalFormatting>
  <conditionalFormatting sqref="X23:Y24">
    <cfRule type="expression" dxfId="82" priority="19" stopIfTrue="1">
      <formula>X$3="So"</formula>
    </cfRule>
    <cfRule type="expression" dxfId="81" priority="20" stopIfTrue="1">
      <formula>X$3="Sa"</formula>
    </cfRule>
  </conditionalFormatting>
  <conditionalFormatting sqref="AE23:AF24">
    <cfRule type="expression" dxfId="80" priority="17" stopIfTrue="1">
      <formula>AE$3="So"</formula>
    </cfRule>
    <cfRule type="expression" dxfId="79" priority="18" stopIfTrue="1">
      <formula>AE$3="Sa"</formula>
    </cfRule>
  </conditionalFormatting>
  <conditionalFormatting sqref="AL23:AM24">
    <cfRule type="expression" dxfId="78" priority="15" stopIfTrue="1">
      <formula>AL$3="So"</formula>
    </cfRule>
    <cfRule type="expression" dxfId="77" priority="16" stopIfTrue="1">
      <formula>AL$3="Sa"</formula>
    </cfRule>
  </conditionalFormatting>
  <conditionalFormatting sqref="M20:R20">
    <cfRule type="expression" dxfId="76" priority="13" stopIfTrue="1">
      <formula>M$3="So"</formula>
    </cfRule>
    <cfRule type="expression" dxfId="75" priority="14" stopIfTrue="1">
      <formula>M$3="Sa"</formula>
    </cfRule>
  </conditionalFormatting>
  <conditionalFormatting sqref="K25:AO25">
    <cfRule type="expression" dxfId="74" priority="11" stopIfTrue="1">
      <formula>K$3="So"</formula>
    </cfRule>
    <cfRule type="expression" dxfId="73" priority="12" stopIfTrue="1">
      <formula>K$3="Sa"</formula>
    </cfRule>
  </conditionalFormatting>
  <conditionalFormatting sqref="U20">
    <cfRule type="expression" dxfId="72" priority="9" stopIfTrue="1">
      <formula>U$3="So"</formula>
    </cfRule>
    <cfRule type="expression" dxfId="71" priority="10" stopIfTrue="1">
      <formula>U$3="Sa"</formula>
    </cfRule>
  </conditionalFormatting>
  <conditionalFormatting sqref="V20:W20">
    <cfRule type="expression" dxfId="70" priority="7" stopIfTrue="1">
      <formula>V$3="So"</formula>
    </cfRule>
    <cfRule type="expression" dxfId="69" priority="8" stopIfTrue="1">
      <formula>V$3="Sa"</formula>
    </cfRule>
  </conditionalFormatting>
  <conditionalFormatting sqref="Y20">
    <cfRule type="expression" dxfId="68" priority="5" stopIfTrue="1">
      <formula>X$3="So"</formula>
    </cfRule>
    <cfRule type="expression" dxfId="67" priority="6" stopIfTrue="1">
      <formula>X$3="Sa"</formula>
    </cfRule>
  </conditionalFormatting>
  <conditionalFormatting sqref="X20">
    <cfRule type="expression" dxfId="66" priority="3" stopIfTrue="1">
      <formula>X$3="So"</formula>
    </cfRule>
    <cfRule type="expression" dxfId="65" priority="4" stopIfTrue="1">
      <formula>X$3="Sa"</formula>
    </cfRule>
  </conditionalFormatting>
  <conditionalFormatting sqref="K8">
    <cfRule type="expression" dxfId="64" priority="1" stopIfTrue="1">
      <formula>K$3="So"</formula>
    </cfRule>
    <cfRule type="expression" dxfId="63" priority="2" stopIfTrue="1">
      <formula>K$3="Sa"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3"/>
  <sheetViews>
    <sheetView zoomScale="115" zoomScaleNormal="115" workbookViewId="0">
      <selection activeCell="C6" sqref="C6"/>
    </sheetView>
  </sheetViews>
  <sheetFormatPr baseColWidth="10" defaultColWidth="11.453125" defaultRowHeight="12.5"/>
  <cols>
    <col min="1" max="1" width="6" customWidth="1"/>
    <col min="2" max="2" width="25.7265625" customWidth="1"/>
    <col min="3" max="3" width="22.90625" customWidth="1"/>
    <col min="4" max="4" width="12.72656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3" bestFit="1" customWidth="1"/>
  </cols>
  <sheetData>
    <row r="1" spans="1:24" ht="13">
      <c r="A1" s="50" t="s">
        <v>139</v>
      </c>
      <c r="B1" s="51"/>
      <c r="C1" s="641" t="s">
        <v>159</v>
      </c>
      <c r="D1" s="641"/>
      <c r="E1" s="316" t="s">
        <v>140</v>
      </c>
      <c r="F1" s="50" t="s">
        <v>141</v>
      </c>
      <c r="G1" s="51"/>
      <c r="H1" s="51" t="s">
        <v>81</v>
      </c>
      <c r="I1" s="51"/>
      <c r="J1" s="51" t="s">
        <v>79</v>
      </c>
      <c r="K1" s="51"/>
      <c r="L1" s="51" t="s">
        <v>80</v>
      </c>
      <c r="M1" s="51"/>
      <c r="N1" s="51" t="s">
        <v>142</v>
      </c>
      <c r="O1" s="52"/>
      <c r="P1" s="50" t="s">
        <v>143</v>
      </c>
      <c r="Q1" s="51"/>
      <c r="R1" s="51" t="s">
        <v>144</v>
      </c>
      <c r="S1" s="52"/>
      <c r="T1" s="50" t="s">
        <v>145</v>
      </c>
      <c r="U1" s="52"/>
      <c r="V1" s="317" t="s">
        <v>146</v>
      </c>
      <c r="W1" s="318" t="s">
        <v>170</v>
      </c>
    </row>
    <row r="2" spans="1:24" ht="13.5" thickBot="1">
      <c r="A2" s="311" t="s">
        <v>147</v>
      </c>
      <c r="B2" s="348" t="s">
        <v>148</v>
      </c>
      <c r="C2" s="286" t="s">
        <v>160</v>
      </c>
      <c r="D2" s="286" t="s">
        <v>161</v>
      </c>
      <c r="E2" s="286" t="s">
        <v>149</v>
      </c>
      <c r="F2" s="311" t="s">
        <v>150</v>
      </c>
      <c r="G2" s="286" t="s">
        <v>151</v>
      </c>
      <c r="H2" s="286" t="s">
        <v>150</v>
      </c>
      <c r="I2" s="286" t="s">
        <v>151</v>
      </c>
      <c r="J2" s="286" t="s">
        <v>150</v>
      </c>
      <c r="K2" s="286" t="s">
        <v>151</v>
      </c>
      <c r="L2" s="286" t="s">
        <v>150</v>
      </c>
      <c r="M2" s="286" t="s">
        <v>151</v>
      </c>
      <c r="N2" s="286" t="s">
        <v>150</v>
      </c>
      <c r="O2" s="312" t="s">
        <v>151</v>
      </c>
      <c r="P2" s="311" t="s">
        <v>150</v>
      </c>
      <c r="Q2" s="286" t="s">
        <v>151</v>
      </c>
      <c r="R2" s="286" t="s">
        <v>150</v>
      </c>
      <c r="S2" s="312" t="s">
        <v>151</v>
      </c>
      <c r="T2" s="311" t="s">
        <v>150</v>
      </c>
      <c r="U2" s="312" t="s">
        <v>151</v>
      </c>
      <c r="V2" s="287" t="s">
        <v>152</v>
      </c>
      <c r="W2" s="319" t="s">
        <v>171</v>
      </c>
      <c r="X2" s="19" t="s">
        <v>153</v>
      </c>
    </row>
    <row r="3" spans="1:24">
      <c r="A3" s="535">
        <v>1</v>
      </c>
      <c r="B3" s="4" t="s">
        <v>332</v>
      </c>
      <c r="C3" s="175" t="s">
        <v>549</v>
      </c>
      <c r="D3" s="175" t="s">
        <v>429</v>
      </c>
      <c r="E3" s="175"/>
      <c r="F3" s="322">
        <v>0</v>
      </c>
      <c r="G3" s="180">
        <v>1</v>
      </c>
      <c r="H3" s="330">
        <v>0</v>
      </c>
      <c r="I3" s="181">
        <v>1</v>
      </c>
      <c r="J3" s="313">
        <v>0</v>
      </c>
      <c r="K3" s="180">
        <v>1</v>
      </c>
      <c r="L3" s="330">
        <v>0</v>
      </c>
      <c r="M3" s="181">
        <v>1</v>
      </c>
      <c r="N3" s="313">
        <v>0</v>
      </c>
      <c r="O3" s="182">
        <v>1</v>
      </c>
      <c r="P3" s="183">
        <v>0</v>
      </c>
      <c r="Q3" s="184">
        <v>0</v>
      </c>
      <c r="R3" s="184">
        <v>0</v>
      </c>
      <c r="S3" s="184">
        <v>0</v>
      </c>
      <c r="T3" s="184">
        <v>0</v>
      </c>
      <c r="U3" s="185">
        <v>0</v>
      </c>
      <c r="V3" s="314" t="s">
        <v>66</v>
      </c>
      <c r="W3" s="320">
        <v>1</v>
      </c>
    </row>
    <row r="4" spans="1:24">
      <c r="A4" s="536">
        <v>2</v>
      </c>
      <c r="B4" s="248" t="s">
        <v>444</v>
      </c>
      <c r="C4" s="255" t="s">
        <v>550</v>
      </c>
      <c r="D4" s="250" t="s">
        <v>443</v>
      </c>
      <c r="E4" s="255"/>
      <c r="F4" s="323">
        <v>0</v>
      </c>
      <c r="G4" s="309">
        <v>1</v>
      </c>
      <c r="H4" s="331">
        <v>0</v>
      </c>
      <c r="I4" s="186">
        <v>1</v>
      </c>
      <c r="J4" s="315">
        <v>0</v>
      </c>
      <c r="K4" s="309">
        <v>1</v>
      </c>
      <c r="L4" s="331">
        <v>0</v>
      </c>
      <c r="M4" s="186">
        <v>1</v>
      </c>
      <c r="N4" s="315">
        <v>0</v>
      </c>
      <c r="O4" s="57">
        <v>1</v>
      </c>
      <c r="P4" s="176">
        <v>0</v>
      </c>
      <c r="Q4" s="310">
        <v>0</v>
      </c>
      <c r="R4" s="310">
        <v>0</v>
      </c>
      <c r="S4" s="310">
        <v>0</v>
      </c>
      <c r="T4" s="310">
        <v>0</v>
      </c>
      <c r="U4" s="177">
        <v>0</v>
      </c>
      <c r="V4" s="240" t="s">
        <v>66</v>
      </c>
      <c r="W4" s="57">
        <v>1</v>
      </c>
    </row>
    <row r="5" spans="1:24">
      <c r="A5" s="536">
        <v>3</v>
      </c>
      <c r="B5" s="5" t="s">
        <v>333</v>
      </c>
      <c r="C5" s="178" t="s">
        <v>551</v>
      </c>
      <c r="D5" s="42" t="s">
        <v>443</v>
      </c>
      <c r="E5" s="178"/>
      <c r="F5" s="324">
        <v>1</v>
      </c>
      <c r="G5" s="202">
        <v>1</v>
      </c>
      <c r="H5" s="201">
        <v>1</v>
      </c>
      <c r="I5" s="200">
        <v>1</v>
      </c>
      <c r="J5" s="202">
        <v>1</v>
      </c>
      <c r="K5" s="202">
        <v>1</v>
      </c>
      <c r="L5" s="201">
        <v>1</v>
      </c>
      <c r="M5" s="200">
        <v>1</v>
      </c>
      <c r="N5" s="202">
        <v>1</v>
      </c>
      <c r="O5" s="239">
        <v>1</v>
      </c>
      <c r="P5" s="191">
        <v>0</v>
      </c>
      <c r="Q5" s="192">
        <v>0</v>
      </c>
      <c r="R5" s="192">
        <v>0</v>
      </c>
      <c r="S5" s="192">
        <v>0</v>
      </c>
      <c r="T5" s="192">
        <v>0</v>
      </c>
      <c r="U5" s="193">
        <v>0</v>
      </c>
      <c r="V5" s="179" t="s">
        <v>62</v>
      </c>
      <c r="W5" s="190">
        <v>2</v>
      </c>
    </row>
    <row r="6" spans="1:24">
      <c r="A6" s="536">
        <v>4</v>
      </c>
      <c r="B6" s="248" t="s">
        <v>430</v>
      </c>
      <c r="C6" s="255" t="s">
        <v>453</v>
      </c>
      <c r="D6" s="255" t="s">
        <v>544</v>
      </c>
      <c r="E6" s="255"/>
      <c r="F6" s="323">
        <v>0</v>
      </c>
      <c r="G6" s="309">
        <v>1</v>
      </c>
      <c r="H6" s="330">
        <v>0</v>
      </c>
      <c r="I6" s="181">
        <v>1</v>
      </c>
      <c r="J6" s="315">
        <v>0</v>
      </c>
      <c r="K6" s="309">
        <v>1</v>
      </c>
      <c r="L6" s="330">
        <v>0</v>
      </c>
      <c r="M6" s="181">
        <v>1</v>
      </c>
      <c r="N6" s="315">
        <v>0</v>
      </c>
      <c r="O6" s="57">
        <v>1</v>
      </c>
      <c r="P6" s="176">
        <v>0</v>
      </c>
      <c r="Q6" s="310">
        <v>0</v>
      </c>
      <c r="R6" s="310">
        <v>0</v>
      </c>
      <c r="S6" s="310">
        <v>0</v>
      </c>
      <c r="T6" s="310">
        <v>0</v>
      </c>
      <c r="U6" s="177">
        <v>0</v>
      </c>
      <c r="V6" s="240" t="s">
        <v>65</v>
      </c>
      <c r="W6" s="210">
        <v>2</v>
      </c>
    </row>
    <row r="7" spans="1:24">
      <c r="A7" s="536">
        <v>5</v>
      </c>
      <c r="B7" s="248" t="s">
        <v>334</v>
      </c>
      <c r="C7" s="255" t="s">
        <v>454</v>
      </c>
      <c r="D7" s="255" t="s">
        <v>422</v>
      </c>
      <c r="E7" s="255"/>
      <c r="F7" s="264">
        <v>1</v>
      </c>
      <c r="G7" s="309">
        <v>2</v>
      </c>
      <c r="H7" s="265">
        <v>1</v>
      </c>
      <c r="I7" s="186">
        <v>2</v>
      </c>
      <c r="J7" s="308">
        <v>1</v>
      </c>
      <c r="K7" s="309">
        <v>2</v>
      </c>
      <c r="L7" s="265">
        <v>1</v>
      </c>
      <c r="M7" s="186">
        <v>2</v>
      </c>
      <c r="N7" s="308">
        <v>1</v>
      </c>
      <c r="O7" s="57">
        <v>2</v>
      </c>
      <c r="P7" s="176">
        <v>0</v>
      </c>
      <c r="Q7" s="310">
        <v>0</v>
      </c>
      <c r="R7" s="310">
        <v>0</v>
      </c>
      <c r="S7" s="310">
        <v>0</v>
      </c>
      <c r="T7" s="310">
        <v>0</v>
      </c>
      <c r="U7" s="177">
        <v>0</v>
      </c>
      <c r="V7" s="309" t="s">
        <v>66</v>
      </c>
      <c r="W7" s="266">
        <v>2</v>
      </c>
    </row>
    <row r="8" spans="1:24">
      <c r="A8" s="536">
        <v>6</v>
      </c>
      <c r="B8" s="248" t="s">
        <v>335</v>
      </c>
      <c r="C8" s="255" t="s">
        <v>455</v>
      </c>
      <c r="D8" s="255" t="s">
        <v>423</v>
      </c>
      <c r="E8" s="255"/>
      <c r="F8" s="56">
        <v>1</v>
      </c>
      <c r="G8" s="309">
        <v>1</v>
      </c>
      <c r="H8" s="47">
        <v>1</v>
      </c>
      <c r="I8" s="186">
        <v>1</v>
      </c>
      <c r="J8" s="309">
        <v>1</v>
      </c>
      <c r="K8" s="309">
        <v>1</v>
      </c>
      <c r="L8" s="47">
        <v>1</v>
      </c>
      <c r="M8" s="186">
        <v>1</v>
      </c>
      <c r="N8" s="309">
        <v>1</v>
      </c>
      <c r="O8" s="57">
        <v>1</v>
      </c>
      <c r="P8" s="176">
        <v>0</v>
      </c>
      <c r="Q8" s="310">
        <v>0</v>
      </c>
      <c r="R8" s="310">
        <v>0</v>
      </c>
      <c r="S8" s="310">
        <v>0</v>
      </c>
      <c r="T8" s="310">
        <v>0</v>
      </c>
      <c r="U8" s="177">
        <v>0</v>
      </c>
      <c r="V8" s="186" t="s">
        <v>62</v>
      </c>
      <c r="W8" s="266">
        <v>2</v>
      </c>
    </row>
    <row r="9" spans="1:24">
      <c r="A9" s="536">
        <v>7</v>
      </c>
      <c r="B9" s="248" t="s">
        <v>336</v>
      </c>
      <c r="C9" s="255" t="s">
        <v>456</v>
      </c>
      <c r="D9" s="255" t="s">
        <v>402</v>
      </c>
      <c r="E9" s="255"/>
      <c r="F9" s="56">
        <v>1</v>
      </c>
      <c r="G9" s="309">
        <v>1</v>
      </c>
      <c r="H9" s="47">
        <v>1</v>
      </c>
      <c r="I9" s="186">
        <v>1</v>
      </c>
      <c r="J9" s="309">
        <v>1</v>
      </c>
      <c r="K9" s="309">
        <v>1</v>
      </c>
      <c r="L9" s="47">
        <v>1</v>
      </c>
      <c r="M9" s="186">
        <v>1</v>
      </c>
      <c r="N9" s="309">
        <v>1</v>
      </c>
      <c r="O9" s="57">
        <v>1</v>
      </c>
      <c r="P9" s="176">
        <v>0</v>
      </c>
      <c r="Q9" s="310">
        <v>0</v>
      </c>
      <c r="R9" s="310">
        <v>0</v>
      </c>
      <c r="S9" s="310">
        <v>0</v>
      </c>
      <c r="T9" s="310">
        <v>0</v>
      </c>
      <c r="U9" s="177">
        <v>0</v>
      </c>
      <c r="V9" s="186" t="s">
        <v>62</v>
      </c>
      <c r="W9" s="55">
        <v>1</v>
      </c>
    </row>
    <row r="10" spans="1:24" s="7" customFormat="1">
      <c r="A10" s="536">
        <v>8</v>
      </c>
      <c r="B10" s="255" t="s">
        <v>337</v>
      </c>
      <c r="C10" s="255" t="s">
        <v>457</v>
      </c>
      <c r="D10" s="255" t="s">
        <v>446</v>
      </c>
      <c r="E10" s="255"/>
      <c r="F10" s="264">
        <v>1</v>
      </c>
      <c r="G10" s="309">
        <v>2</v>
      </c>
      <c r="H10" s="265">
        <v>1</v>
      </c>
      <c r="I10" s="186">
        <v>2</v>
      </c>
      <c r="J10" s="308">
        <v>1</v>
      </c>
      <c r="K10" s="309">
        <v>2</v>
      </c>
      <c r="L10" s="265">
        <v>1</v>
      </c>
      <c r="M10" s="186">
        <v>2</v>
      </c>
      <c r="N10" s="308">
        <v>1</v>
      </c>
      <c r="O10" s="57">
        <v>2</v>
      </c>
      <c r="P10" s="176">
        <v>0</v>
      </c>
      <c r="Q10" s="310">
        <v>0</v>
      </c>
      <c r="R10" s="310">
        <v>0</v>
      </c>
      <c r="S10" s="310">
        <v>0</v>
      </c>
      <c r="T10" s="310">
        <v>0</v>
      </c>
      <c r="U10" s="177">
        <v>0</v>
      </c>
      <c r="V10" s="186" t="s">
        <v>66</v>
      </c>
      <c r="W10" s="266">
        <v>2</v>
      </c>
    </row>
    <row r="11" spans="1:24">
      <c r="A11" s="536">
        <v>9</v>
      </c>
      <c r="B11" s="248" t="s">
        <v>338</v>
      </c>
      <c r="C11" s="255" t="s">
        <v>458</v>
      </c>
      <c r="D11" s="178" t="s">
        <v>446</v>
      </c>
      <c r="E11" s="178"/>
      <c r="F11" s="325">
        <v>1</v>
      </c>
      <c r="G11" s="188">
        <v>1</v>
      </c>
      <c r="H11" s="189">
        <v>1</v>
      </c>
      <c r="I11" s="179">
        <v>1</v>
      </c>
      <c r="J11" s="188">
        <v>1</v>
      </c>
      <c r="K11" s="188">
        <v>1</v>
      </c>
      <c r="L11" s="189">
        <v>1</v>
      </c>
      <c r="M11" s="179">
        <v>1</v>
      </c>
      <c r="N11" s="188">
        <v>1</v>
      </c>
      <c r="O11" s="190">
        <v>1</v>
      </c>
      <c r="P11" s="191">
        <v>0</v>
      </c>
      <c r="Q11" s="192">
        <v>0</v>
      </c>
      <c r="R11" s="192">
        <v>0</v>
      </c>
      <c r="S11" s="192">
        <v>0</v>
      </c>
      <c r="T11" s="192">
        <v>0</v>
      </c>
      <c r="U11" s="193">
        <v>0</v>
      </c>
      <c r="V11" s="179" t="s">
        <v>62</v>
      </c>
      <c r="W11" s="194">
        <v>1</v>
      </c>
    </row>
    <row r="12" spans="1:24">
      <c r="A12" s="536">
        <v>10</v>
      </c>
      <c r="B12" s="4" t="s">
        <v>339</v>
      </c>
      <c r="C12" s="175" t="s">
        <v>530</v>
      </c>
      <c r="D12" s="175" t="s">
        <v>413</v>
      </c>
      <c r="E12" s="175" t="s">
        <v>285</v>
      </c>
      <c r="F12" s="326">
        <v>2</v>
      </c>
      <c r="G12" s="196">
        <v>2</v>
      </c>
      <c r="H12" s="197">
        <v>2</v>
      </c>
      <c r="I12" s="196">
        <v>2</v>
      </c>
      <c r="J12" s="195">
        <v>2</v>
      </c>
      <c r="K12" s="196">
        <v>2</v>
      </c>
      <c r="L12" s="197">
        <v>2</v>
      </c>
      <c r="M12" s="196">
        <v>2</v>
      </c>
      <c r="N12" s="195">
        <v>2</v>
      </c>
      <c r="O12" s="198">
        <v>2</v>
      </c>
      <c r="P12" s="183">
        <v>0</v>
      </c>
      <c r="Q12" s="184">
        <v>0</v>
      </c>
      <c r="R12" s="184">
        <v>0</v>
      </c>
      <c r="S12" s="184">
        <v>0</v>
      </c>
      <c r="T12" s="184">
        <v>0</v>
      </c>
      <c r="U12" s="185">
        <v>0</v>
      </c>
      <c r="V12" s="186" t="s">
        <v>62</v>
      </c>
      <c r="W12" s="187">
        <v>2</v>
      </c>
    </row>
    <row r="13" spans="1:24">
      <c r="A13" s="536">
        <v>11</v>
      </c>
      <c r="B13" s="248" t="s">
        <v>340</v>
      </c>
      <c r="C13" s="255" t="s">
        <v>531</v>
      </c>
      <c r="D13" s="255" t="s">
        <v>424</v>
      </c>
      <c r="E13" s="255" t="s">
        <v>285</v>
      </c>
      <c r="F13" s="53">
        <v>4</v>
      </c>
      <c r="G13" s="199">
        <v>4</v>
      </c>
      <c r="H13" s="48">
        <v>4</v>
      </c>
      <c r="I13" s="199">
        <v>4</v>
      </c>
      <c r="J13" s="256">
        <v>4</v>
      </c>
      <c r="K13" s="199">
        <v>4</v>
      </c>
      <c r="L13" s="48">
        <v>4</v>
      </c>
      <c r="M13" s="199">
        <v>4</v>
      </c>
      <c r="N13" s="256">
        <v>4</v>
      </c>
      <c r="O13" s="54">
        <v>4</v>
      </c>
      <c r="P13" s="176">
        <v>0</v>
      </c>
      <c r="Q13" s="310">
        <v>0</v>
      </c>
      <c r="R13" s="310">
        <v>0</v>
      </c>
      <c r="S13" s="310">
        <v>0</v>
      </c>
      <c r="T13" s="310">
        <v>0</v>
      </c>
      <c r="U13" s="177">
        <v>0</v>
      </c>
      <c r="V13" s="186" t="s">
        <v>62</v>
      </c>
      <c r="W13" s="55">
        <v>2</v>
      </c>
    </row>
    <row r="14" spans="1:24">
      <c r="A14" s="536">
        <v>12</v>
      </c>
      <c r="B14" s="248" t="s">
        <v>341</v>
      </c>
      <c r="C14" s="255" t="s">
        <v>532</v>
      </c>
      <c r="D14" s="255" t="s">
        <v>425</v>
      </c>
      <c r="E14" s="255" t="s">
        <v>285</v>
      </c>
      <c r="F14" s="53">
        <v>3</v>
      </c>
      <c r="G14" s="199">
        <v>3</v>
      </c>
      <c r="H14" s="48">
        <v>3</v>
      </c>
      <c r="I14" s="199">
        <v>3</v>
      </c>
      <c r="J14" s="256">
        <v>3</v>
      </c>
      <c r="K14" s="199">
        <v>3</v>
      </c>
      <c r="L14" s="48">
        <v>3</v>
      </c>
      <c r="M14" s="199">
        <v>3</v>
      </c>
      <c r="N14" s="256">
        <v>3</v>
      </c>
      <c r="O14" s="54">
        <v>3</v>
      </c>
      <c r="P14" s="176">
        <v>0</v>
      </c>
      <c r="Q14" s="310">
        <v>0</v>
      </c>
      <c r="R14" s="310">
        <v>0</v>
      </c>
      <c r="S14" s="310">
        <v>0</v>
      </c>
      <c r="T14" s="310">
        <v>0</v>
      </c>
      <c r="U14" s="177">
        <v>0</v>
      </c>
      <c r="V14" s="186" t="s">
        <v>62</v>
      </c>
      <c r="W14" s="55">
        <v>2</v>
      </c>
    </row>
    <row r="15" spans="1:24">
      <c r="A15" s="536">
        <v>13</v>
      </c>
      <c r="B15" s="248" t="s">
        <v>342</v>
      </c>
      <c r="C15" s="255" t="s">
        <v>533</v>
      </c>
      <c r="D15" s="255" t="s">
        <v>545</v>
      </c>
      <c r="E15" s="255" t="s">
        <v>285</v>
      </c>
      <c r="F15" s="53">
        <v>2</v>
      </c>
      <c r="G15" s="199">
        <v>2</v>
      </c>
      <c r="H15" s="48">
        <v>2</v>
      </c>
      <c r="I15" s="199">
        <v>2</v>
      </c>
      <c r="J15" s="256">
        <v>2</v>
      </c>
      <c r="K15" s="199">
        <v>2</v>
      </c>
      <c r="L15" s="48">
        <v>2</v>
      </c>
      <c r="M15" s="199">
        <v>2</v>
      </c>
      <c r="N15" s="256">
        <v>2</v>
      </c>
      <c r="O15" s="54">
        <v>2</v>
      </c>
      <c r="P15" s="176">
        <v>0</v>
      </c>
      <c r="Q15" s="310">
        <v>0</v>
      </c>
      <c r="R15" s="310">
        <v>0</v>
      </c>
      <c r="S15" s="310">
        <v>0</v>
      </c>
      <c r="T15" s="310">
        <v>0</v>
      </c>
      <c r="U15" s="177">
        <v>0</v>
      </c>
      <c r="V15" s="186" t="s">
        <v>62</v>
      </c>
      <c r="W15" s="55">
        <v>3</v>
      </c>
    </row>
    <row r="16" spans="1:24">
      <c r="A16" s="536">
        <v>14</v>
      </c>
      <c r="B16" s="248" t="s">
        <v>343</v>
      </c>
      <c r="C16" s="255" t="s">
        <v>534</v>
      </c>
      <c r="D16" s="255" t="s">
        <v>546</v>
      </c>
      <c r="E16" s="255" t="s">
        <v>285</v>
      </c>
      <c r="F16" s="53">
        <v>4</v>
      </c>
      <c r="G16" s="199">
        <v>4</v>
      </c>
      <c r="H16" s="48">
        <v>4</v>
      </c>
      <c r="I16" s="199">
        <v>4</v>
      </c>
      <c r="J16" s="256">
        <v>4</v>
      </c>
      <c r="K16" s="199">
        <v>4</v>
      </c>
      <c r="L16" s="48">
        <v>4</v>
      </c>
      <c r="M16" s="199">
        <v>4</v>
      </c>
      <c r="N16" s="256">
        <v>4</v>
      </c>
      <c r="O16" s="54">
        <v>4</v>
      </c>
      <c r="P16" s="176">
        <v>0</v>
      </c>
      <c r="Q16" s="310">
        <v>0</v>
      </c>
      <c r="R16" s="310">
        <v>0</v>
      </c>
      <c r="S16" s="310">
        <v>0</v>
      </c>
      <c r="T16" s="310">
        <v>0</v>
      </c>
      <c r="U16" s="177">
        <v>0</v>
      </c>
      <c r="V16" s="186" t="s">
        <v>62</v>
      </c>
      <c r="W16" s="55">
        <v>2</v>
      </c>
    </row>
    <row r="17" spans="1:23">
      <c r="A17" s="536">
        <v>15</v>
      </c>
      <c r="B17" s="248" t="s">
        <v>344</v>
      </c>
      <c r="C17" s="255" t="s">
        <v>535</v>
      </c>
      <c r="D17" s="255" t="s">
        <v>547</v>
      </c>
      <c r="E17" s="255" t="s">
        <v>285</v>
      </c>
      <c r="F17" s="53">
        <v>2</v>
      </c>
      <c r="G17" s="199">
        <v>2</v>
      </c>
      <c r="H17" s="48">
        <v>2</v>
      </c>
      <c r="I17" s="199">
        <v>2</v>
      </c>
      <c r="J17" s="256">
        <v>2</v>
      </c>
      <c r="K17" s="199">
        <v>2</v>
      </c>
      <c r="L17" s="48">
        <v>2</v>
      </c>
      <c r="M17" s="199">
        <v>2</v>
      </c>
      <c r="N17" s="256">
        <v>2</v>
      </c>
      <c r="O17" s="54">
        <v>2</v>
      </c>
      <c r="P17" s="176">
        <v>0</v>
      </c>
      <c r="Q17" s="310">
        <v>0</v>
      </c>
      <c r="R17" s="310">
        <v>0</v>
      </c>
      <c r="S17" s="310">
        <v>0</v>
      </c>
      <c r="T17" s="310">
        <v>0</v>
      </c>
      <c r="U17" s="177">
        <v>0</v>
      </c>
      <c r="V17" s="186" t="s">
        <v>62</v>
      </c>
      <c r="W17" s="55">
        <v>1</v>
      </c>
    </row>
    <row r="18" spans="1:23">
      <c r="A18" s="536">
        <v>16</v>
      </c>
      <c r="B18" s="5" t="s">
        <v>345</v>
      </c>
      <c r="C18" s="178" t="s">
        <v>536</v>
      </c>
      <c r="D18" s="178" t="s">
        <v>548</v>
      </c>
      <c r="E18" s="178" t="s">
        <v>285</v>
      </c>
      <c r="F18" s="325">
        <v>1</v>
      </c>
      <c r="G18" s="200">
        <v>1</v>
      </c>
      <c r="H18" s="201">
        <v>1</v>
      </c>
      <c r="I18" s="200">
        <v>1</v>
      </c>
      <c r="J18" s="202">
        <v>1</v>
      </c>
      <c r="K18" s="179">
        <v>1</v>
      </c>
      <c r="L18" s="189">
        <v>1</v>
      </c>
      <c r="M18" s="179">
        <v>1</v>
      </c>
      <c r="N18" s="188">
        <v>1</v>
      </c>
      <c r="O18" s="190">
        <v>1</v>
      </c>
      <c r="P18" s="191">
        <v>0</v>
      </c>
      <c r="Q18" s="192">
        <v>0</v>
      </c>
      <c r="R18" s="192">
        <v>0</v>
      </c>
      <c r="S18" s="192">
        <v>0</v>
      </c>
      <c r="T18" s="192">
        <v>0</v>
      </c>
      <c r="U18" s="193">
        <v>0</v>
      </c>
      <c r="V18" s="179" t="s">
        <v>62</v>
      </c>
      <c r="W18" s="194">
        <v>0</v>
      </c>
    </row>
    <row r="19" spans="1:23">
      <c r="A19" s="536">
        <v>17</v>
      </c>
      <c r="B19" s="248" t="s">
        <v>470</v>
      </c>
      <c r="C19" s="255" t="s">
        <v>459</v>
      </c>
      <c r="D19" s="255"/>
      <c r="E19" s="255" t="s">
        <v>285</v>
      </c>
      <c r="F19" s="176">
        <v>0</v>
      </c>
      <c r="G19" s="203">
        <v>0</v>
      </c>
      <c r="H19" s="310">
        <v>0</v>
      </c>
      <c r="I19" s="310">
        <v>0</v>
      </c>
      <c r="J19" s="204">
        <v>0</v>
      </c>
      <c r="K19" s="203">
        <v>0</v>
      </c>
      <c r="L19" s="310">
        <v>0</v>
      </c>
      <c r="M19" s="310">
        <v>0</v>
      </c>
      <c r="N19" s="204">
        <v>0</v>
      </c>
      <c r="O19" s="177">
        <v>0</v>
      </c>
      <c r="P19" s="53">
        <v>1</v>
      </c>
      <c r="Q19" s="256">
        <v>1</v>
      </c>
      <c r="R19" s="48">
        <v>1</v>
      </c>
      <c r="S19" s="199">
        <v>1</v>
      </c>
      <c r="T19" s="256">
        <v>1</v>
      </c>
      <c r="U19" s="54">
        <v>1</v>
      </c>
      <c r="V19" s="186" t="s">
        <v>62</v>
      </c>
      <c r="W19" s="55">
        <v>3</v>
      </c>
    </row>
    <row r="20" spans="1:23">
      <c r="A20" s="536">
        <v>18</v>
      </c>
      <c r="B20" s="248" t="s">
        <v>471</v>
      </c>
      <c r="C20" s="255" t="s">
        <v>460</v>
      </c>
      <c r="D20" s="255"/>
      <c r="E20" s="255" t="s">
        <v>285</v>
      </c>
      <c r="F20" s="176">
        <v>0</v>
      </c>
      <c r="G20" s="203">
        <v>0</v>
      </c>
      <c r="H20" s="310">
        <v>0</v>
      </c>
      <c r="I20" s="310">
        <v>0</v>
      </c>
      <c r="J20" s="204">
        <v>0</v>
      </c>
      <c r="K20" s="203">
        <v>0</v>
      </c>
      <c r="L20" s="310">
        <v>0</v>
      </c>
      <c r="M20" s="310">
        <v>0</v>
      </c>
      <c r="N20" s="204">
        <v>0</v>
      </c>
      <c r="O20" s="177">
        <v>0</v>
      </c>
      <c r="P20" s="264">
        <v>0</v>
      </c>
      <c r="Q20" s="309">
        <v>1</v>
      </c>
      <c r="R20" s="265">
        <v>0</v>
      </c>
      <c r="S20" s="186">
        <v>1</v>
      </c>
      <c r="T20" s="308">
        <v>0</v>
      </c>
      <c r="U20" s="57">
        <v>1</v>
      </c>
      <c r="V20" s="186" t="s">
        <v>68</v>
      </c>
      <c r="W20" s="57">
        <v>1</v>
      </c>
    </row>
    <row r="21" spans="1:23">
      <c r="A21" s="536">
        <v>19</v>
      </c>
      <c r="B21" s="248" t="s">
        <v>472</v>
      </c>
      <c r="C21" s="255" t="s">
        <v>537</v>
      </c>
      <c r="D21" s="255"/>
      <c r="E21" s="255" t="s">
        <v>285</v>
      </c>
      <c r="F21" s="176">
        <v>0</v>
      </c>
      <c r="G21" s="203">
        <v>0</v>
      </c>
      <c r="H21" s="310">
        <v>0</v>
      </c>
      <c r="I21" s="310">
        <v>0</v>
      </c>
      <c r="J21" s="204">
        <v>0</v>
      </c>
      <c r="K21" s="203">
        <v>0</v>
      </c>
      <c r="L21" s="310">
        <v>0</v>
      </c>
      <c r="M21" s="310">
        <v>0</v>
      </c>
      <c r="N21" s="204">
        <v>0</v>
      </c>
      <c r="O21" s="177">
        <v>0</v>
      </c>
      <c r="P21" s="56">
        <v>1</v>
      </c>
      <c r="Q21" s="309">
        <v>1</v>
      </c>
      <c r="R21" s="47">
        <v>1</v>
      </c>
      <c r="S21" s="186">
        <v>1</v>
      </c>
      <c r="T21" s="309">
        <v>1</v>
      </c>
      <c r="U21" s="57">
        <v>1</v>
      </c>
      <c r="V21" s="186" t="s">
        <v>68</v>
      </c>
      <c r="W21" s="57">
        <v>1</v>
      </c>
    </row>
    <row r="22" spans="1:23">
      <c r="A22" s="536">
        <v>20</v>
      </c>
      <c r="B22" s="248" t="s">
        <v>473</v>
      </c>
      <c r="C22" s="255" t="s">
        <v>538</v>
      </c>
      <c r="D22" s="255"/>
      <c r="E22" s="255" t="s">
        <v>285</v>
      </c>
      <c r="F22" s="176">
        <v>0</v>
      </c>
      <c r="G22" s="203">
        <v>0</v>
      </c>
      <c r="H22" s="310">
        <v>0</v>
      </c>
      <c r="I22" s="310">
        <v>0</v>
      </c>
      <c r="J22" s="204">
        <v>0</v>
      </c>
      <c r="K22" s="203">
        <v>0</v>
      </c>
      <c r="L22" s="310">
        <v>0</v>
      </c>
      <c r="M22" s="310">
        <v>0</v>
      </c>
      <c r="N22" s="204">
        <v>0</v>
      </c>
      <c r="O22" s="177">
        <v>0</v>
      </c>
      <c r="P22" s="56">
        <v>2</v>
      </c>
      <c r="Q22" s="309">
        <v>2</v>
      </c>
      <c r="R22" s="47">
        <v>2</v>
      </c>
      <c r="S22" s="186">
        <v>2</v>
      </c>
      <c r="T22" s="309">
        <v>2</v>
      </c>
      <c r="U22" s="57">
        <v>2</v>
      </c>
      <c r="V22" s="186" t="s">
        <v>62</v>
      </c>
      <c r="W22" s="57">
        <v>0</v>
      </c>
    </row>
    <row r="23" spans="1:23">
      <c r="A23" s="536">
        <v>21</v>
      </c>
      <c r="B23" s="248" t="s">
        <v>468</v>
      </c>
      <c r="C23" s="255" t="s">
        <v>539</v>
      </c>
      <c r="D23" s="255"/>
      <c r="E23" s="255" t="s">
        <v>285</v>
      </c>
      <c r="F23" s="176">
        <v>0</v>
      </c>
      <c r="G23" s="203">
        <v>0</v>
      </c>
      <c r="H23" s="310">
        <v>0</v>
      </c>
      <c r="I23" s="310">
        <v>0</v>
      </c>
      <c r="J23" s="204">
        <v>0</v>
      </c>
      <c r="K23" s="203">
        <v>0</v>
      </c>
      <c r="L23" s="310">
        <v>0</v>
      </c>
      <c r="M23" s="310">
        <v>0</v>
      </c>
      <c r="N23" s="204">
        <v>0</v>
      </c>
      <c r="O23" s="177">
        <v>0</v>
      </c>
      <c r="P23" s="56">
        <v>1</v>
      </c>
      <c r="Q23" s="309">
        <v>1</v>
      </c>
      <c r="R23" s="47">
        <v>1</v>
      </c>
      <c r="S23" s="186">
        <v>1</v>
      </c>
      <c r="T23" s="309">
        <v>1</v>
      </c>
      <c r="U23" s="57">
        <v>1</v>
      </c>
      <c r="V23" s="186" t="s">
        <v>62</v>
      </c>
      <c r="W23" s="57">
        <v>0</v>
      </c>
    </row>
    <row r="24" spans="1:23" ht="13" thickBot="1">
      <c r="A24" s="536">
        <v>22</v>
      </c>
      <c r="B24" s="321" t="s">
        <v>469</v>
      </c>
      <c r="C24" s="205" t="s">
        <v>540</v>
      </c>
      <c r="D24" s="205"/>
      <c r="E24" s="205" t="s">
        <v>285</v>
      </c>
      <c r="F24" s="212">
        <v>0</v>
      </c>
      <c r="G24" s="213">
        <v>0</v>
      </c>
      <c r="H24" s="214">
        <v>0</v>
      </c>
      <c r="I24" s="214">
        <v>0</v>
      </c>
      <c r="J24" s="215">
        <v>0</v>
      </c>
      <c r="K24" s="213">
        <v>0</v>
      </c>
      <c r="L24" s="214">
        <v>0</v>
      </c>
      <c r="M24" s="214">
        <v>0</v>
      </c>
      <c r="N24" s="215">
        <v>0</v>
      </c>
      <c r="O24" s="216">
        <v>0</v>
      </c>
      <c r="P24" s="58">
        <v>1</v>
      </c>
      <c r="Q24" s="59">
        <v>1</v>
      </c>
      <c r="R24" s="60">
        <v>1</v>
      </c>
      <c r="S24" s="206">
        <v>1</v>
      </c>
      <c r="T24" s="59">
        <v>1</v>
      </c>
      <c r="U24" s="61">
        <v>1</v>
      </c>
      <c r="V24" s="206" t="s">
        <v>62</v>
      </c>
      <c r="W24" s="61">
        <v>0</v>
      </c>
    </row>
    <row r="25" spans="1:23">
      <c r="A25" s="536">
        <v>23</v>
      </c>
      <c r="B25" s="248" t="s">
        <v>346</v>
      </c>
      <c r="C25" s="255" t="s">
        <v>461</v>
      </c>
      <c r="D25" s="255"/>
      <c r="E25" s="248" t="s">
        <v>283</v>
      </c>
      <c r="F25" s="56">
        <v>1</v>
      </c>
      <c r="G25" s="186">
        <v>1</v>
      </c>
      <c r="H25" s="309">
        <v>1</v>
      </c>
      <c r="I25" s="309">
        <v>1</v>
      </c>
      <c r="J25" s="47">
        <v>1</v>
      </c>
      <c r="K25" s="186">
        <v>1</v>
      </c>
      <c r="L25" s="309">
        <v>1</v>
      </c>
      <c r="M25" s="309">
        <v>1</v>
      </c>
      <c r="N25" s="47">
        <v>1</v>
      </c>
      <c r="O25" s="57">
        <v>1</v>
      </c>
      <c r="P25" s="176">
        <v>0</v>
      </c>
      <c r="Q25" s="310">
        <v>0</v>
      </c>
      <c r="R25" s="204">
        <v>0</v>
      </c>
      <c r="S25" s="203">
        <v>0</v>
      </c>
      <c r="T25" s="310">
        <v>0</v>
      </c>
      <c r="U25" s="177">
        <v>0</v>
      </c>
      <c r="V25" s="186" t="s">
        <v>62</v>
      </c>
      <c r="W25" s="57">
        <v>0</v>
      </c>
    </row>
    <row r="26" spans="1:23">
      <c r="A26" s="536">
        <v>24</v>
      </c>
      <c r="B26" s="248" t="s">
        <v>347</v>
      </c>
      <c r="C26" s="255" t="s">
        <v>462</v>
      </c>
      <c r="D26" s="255"/>
      <c r="E26" s="248" t="s">
        <v>283</v>
      </c>
      <c r="F26" s="56">
        <v>1</v>
      </c>
      <c r="G26" s="186">
        <v>1</v>
      </c>
      <c r="H26" s="309">
        <v>1</v>
      </c>
      <c r="I26" s="309">
        <v>1</v>
      </c>
      <c r="J26" s="47">
        <v>1</v>
      </c>
      <c r="K26" s="186">
        <v>1</v>
      </c>
      <c r="L26" s="309">
        <v>1</v>
      </c>
      <c r="M26" s="309">
        <v>1</v>
      </c>
      <c r="N26" s="47">
        <v>1</v>
      </c>
      <c r="O26" s="57">
        <v>1</v>
      </c>
      <c r="P26" s="176">
        <v>0</v>
      </c>
      <c r="Q26" s="310">
        <v>0</v>
      </c>
      <c r="R26" s="204">
        <v>0</v>
      </c>
      <c r="S26" s="203">
        <v>0</v>
      </c>
      <c r="T26" s="310">
        <v>0</v>
      </c>
      <c r="U26" s="177">
        <v>0</v>
      </c>
      <c r="V26" s="186" t="s">
        <v>62</v>
      </c>
      <c r="W26" s="210">
        <v>1</v>
      </c>
    </row>
    <row r="27" spans="1:23">
      <c r="A27" s="536">
        <v>25</v>
      </c>
      <c r="B27" s="248" t="s">
        <v>348</v>
      </c>
      <c r="C27" s="255" t="s">
        <v>463</v>
      </c>
      <c r="D27" s="255"/>
      <c r="E27" s="248" t="s">
        <v>283</v>
      </c>
      <c r="F27" s="56">
        <v>1</v>
      </c>
      <c r="G27" s="186">
        <v>1</v>
      </c>
      <c r="H27" s="309">
        <v>1</v>
      </c>
      <c r="I27" s="309">
        <v>1</v>
      </c>
      <c r="J27" s="47">
        <v>1</v>
      </c>
      <c r="K27" s="186">
        <v>1</v>
      </c>
      <c r="L27" s="309">
        <v>1</v>
      </c>
      <c r="M27" s="309">
        <v>1</v>
      </c>
      <c r="N27" s="47">
        <v>1</v>
      </c>
      <c r="O27" s="57">
        <v>1</v>
      </c>
      <c r="P27" s="176">
        <v>0</v>
      </c>
      <c r="Q27" s="310">
        <v>0</v>
      </c>
      <c r="R27" s="204">
        <v>0</v>
      </c>
      <c r="S27" s="203">
        <v>0</v>
      </c>
      <c r="T27" s="310">
        <v>0</v>
      </c>
      <c r="U27" s="177">
        <v>0</v>
      </c>
      <c r="V27" s="186" t="s">
        <v>62</v>
      </c>
      <c r="W27" s="210">
        <v>1</v>
      </c>
    </row>
    <row r="28" spans="1:23">
      <c r="A28" s="536">
        <v>26</v>
      </c>
      <c r="B28" s="248" t="s">
        <v>349</v>
      </c>
      <c r="C28" s="255" t="s">
        <v>464</v>
      </c>
      <c r="D28" s="255"/>
      <c r="E28" s="248" t="s">
        <v>283</v>
      </c>
      <c r="F28" s="176">
        <v>0</v>
      </c>
      <c r="G28" s="186">
        <v>1</v>
      </c>
      <c r="H28" s="310">
        <v>0</v>
      </c>
      <c r="I28" s="309">
        <v>1</v>
      </c>
      <c r="J28" s="204">
        <v>0</v>
      </c>
      <c r="K28" s="186">
        <v>1</v>
      </c>
      <c r="L28" s="310">
        <v>0</v>
      </c>
      <c r="M28" s="309">
        <v>1</v>
      </c>
      <c r="N28" s="204">
        <v>0</v>
      </c>
      <c r="O28" s="57">
        <v>1</v>
      </c>
      <c r="P28" s="176">
        <v>0</v>
      </c>
      <c r="Q28" s="310">
        <v>0</v>
      </c>
      <c r="R28" s="204">
        <v>0</v>
      </c>
      <c r="S28" s="203">
        <v>0</v>
      </c>
      <c r="T28" s="310">
        <v>0</v>
      </c>
      <c r="U28" s="177">
        <v>0</v>
      </c>
      <c r="V28" s="186" t="s">
        <v>66</v>
      </c>
      <c r="W28" s="210">
        <v>0</v>
      </c>
    </row>
    <row r="29" spans="1:23">
      <c r="A29" s="536">
        <v>27</v>
      </c>
      <c r="B29" s="248" t="s">
        <v>350</v>
      </c>
      <c r="C29" s="255" t="s">
        <v>465</v>
      </c>
      <c r="D29" s="255" t="s">
        <v>409</v>
      </c>
      <c r="E29" s="248" t="s">
        <v>283</v>
      </c>
      <c r="F29" s="56">
        <v>1</v>
      </c>
      <c r="G29" s="186">
        <v>1</v>
      </c>
      <c r="H29" s="309">
        <v>1</v>
      </c>
      <c r="I29" s="309">
        <v>1</v>
      </c>
      <c r="J29" s="47">
        <v>1</v>
      </c>
      <c r="K29" s="186">
        <v>1</v>
      </c>
      <c r="L29" s="309">
        <v>1</v>
      </c>
      <c r="M29" s="309">
        <v>1</v>
      </c>
      <c r="N29" s="47">
        <v>1</v>
      </c>
      <c r="O29" s="57">
        <v>1</v>
      </c>
      <c r="P29" s="176">
        <v>0</v>
      </c>
      <c r="Q29" s="310">
        <v>0</v>
      </c>
      <c r="R29" s="204">
        <v>0</v>
      </c>
      <c r="S29" s="203">
        <v>0</v>
      </c>
      <c r="T29" s="310">
        <v>0</v>
      </c>
      <c r="U29" s="177">
        <v>0</v>
      </c>
      <c r="V29" s="186" t="s">
        <v>62</v>
      </c>
      <c r="W29" s="57">
        <v>0</v>
      </c>
    </row>
    <row r="30" spans="1:23">
      <c r="A30" s="536">
        <v>28</v>
      </c>
      <c r="B30" s="5" t="s">
        <v>351</v>
      </c>
      <c r="C30" s="178" t="s">
        <v>466</v>
      </c>
      <c r="D30" s="178"/>
      <c r="E30" s="5" t="s">
        <v>283</v>
      </c>
      <c r="F30" s="237">
        <v>0</v>
      </c>
      <c r="G30" s="200">
        <v>1</v>
      </c>
      <c r="H30" s="238">
        <v>0</v>
      </c>
      <c r="I30" s="200">
        <v>1</v>
      </c>
      <c r="J30" s="238">
        <v>0</v>
      </c>
      <c r="K30" s="200">
        <v>1</v>
      </c>
      <c r="L30" s="238">
        <v>0</v>
      </c>
      <c r="M30" s="200">
        <v>1</v>
      </c>
      <c r="N30" s="238">
        <v>0</v>
      </c>
      <c r="O30" s="239">
        <v>1</v>
      </c>
      <c r="P30" s="191">
        <v>0</v>
      </c>
      <c r="Q30" s="211">
        <v>0</v>
      </c>
      <c r="R30" s="192">
        <v>0</v>
      </c>
      <c r="S30" s="211">
        <v>0</v>
      </c>
      <c r="T30" s="192">
        <v>0</v>
      </c>
      <c r="U30" s="193">
        <v>0</v>
      </c>
      <c r="V30" s="179" t="s">
        <v>66</v>
      </c>
      <c r="W30" s="190">
        <v>0</v>
      </c>
    </row>
    <row r="31" spans="1:23" ht="13" thickBot="1">
      <c r="A31" s="536">
        <v>29</v>
      </c>
      <c r="B31" s="321" t="s">
        <v>352</v>
      </c>
      <c r="C31" s="205" t="s">
        <v>467</v>
      </c>
      <c r="D31" s="205"/>
      <c r="E31" s="321" t="s">
        <v>283</v>
      </c>
      <c r="F31" s="212">
        <v>0</v>
      </c>
      <c r="G31" s="213">
        <v>0</v>
      </c>
      <c r="H31" s="214">
        <v>0</v>
      </c>
      <c r="I31" s="214">
        <v>0</v>
      </c>
      <c r="J31" s="215">
        <v>0</v>
      </c>
      <c r="K31" s="213">
        <v>0</v>
      </c>
      <c r="L31" s="214">
        <v>0</v>
      </c>
      <c r="M31" s="214">
        <v>0</v>
      </c>
      <c r="N31" s="215">
        <v>0</v>
      </c>
      <c r="O31" s="216">
        <v>0</v>
      </c>
      <c r="P31" s="58">
        <v>1</v>
      </c>
      <c r="Q31" s="59">
        <v>1</v>
      </c>
      <c r="R31" s="60">
        <v>1</v>
      </c>
      <c r="S31" s="206">
        <v>1</v>
      </c>
      <c r="T31" s="59">
        <v>1</v>
      </c>
      <c r="U31" s="61">
        <v>1</v>
      </c>
      <c r="V31" s="329" t="s">
        <v>62</v>
      </c>
      <c r="W31" s="57">
        <v>0</v>
      </c>
    </row>
    <row r="32" spans="1:23">
      <c r="A32" s="536">
        <v>30</v>
      </c>
      <c r="B32" s="207" t="s">
        <v>353</v>
      </c>
      <c r="C32" s="207" t="s">
        <v>354</v>
      </c>
      <c r="D32" s="227"/>
      <c r="E32" s="227"/>
      <c r="F32" s="218">
        <v>0</v>
      </c>
      <c r="G32" s="217">
        <v>1</v>
      </c>
      <c r="H32" s="220">
        <v>0</v>
      </c>
      <c r="I32" s="217">
        <v>1</v>
      </c>
      <c r="J32" s="220">
        <v>0</v>
      </c>
      <c r="K32" s="217">
        <v>1</v>
      </c>
      <c r="L32" s="220">
        <v>0</v>
      </c>
      <c r="M32" s="217">
        <v>1</v>
      </c>
      <c r="N32" s="220">
        <v>0</v>
      </c>
      <c r="O32" s="327">
        <v>1</v>
      </c>
      <c r="P32" s="218">
        <v>0</v>
      </c>
      <c r="Q32" s="533">
        <v>1</v>
      </c>
      <c r="R32" s="219">
        <v>0</v>
      </c>
      <c r="S32" s="219">
        <v>0</v>
      </c>
      <c r="T32" s="219">
        <v>0</v>
      </c>
      <c r="U32" s="221">
        <v>0</v>
      </c>
      <c r="V32" s="208" t="s">
        <v>157</v>
      </c>
      <c r="W32" s="221">
        <v>2</v>
      </c>
    </row>
    <row r="33" spans="1:23" ht="13" thickBot="1">
      <c r="A33" s="537">
        <v>31</v>
      </c>
      <c r="B33" s="205" t="s">
        <v>355</v>
      </c>
      <c r="C33" s="205" t="s">
        <v>356</v>
      </c>
      <c r="D33" s="228"/>
      <c r="E33" s="228"/>
      <c r="F33" s="223">
        <v>0</v>
      </c>
      <c r="G33" s="222">
        <v>1</v>
      </c>
      <c r="H33" s="225">
        <v>0</v>
      </c>
      <c r="I33" s="222">
        <v>1</v>
      </c>
      <c r="J33" s="225">
        <v>0</v>
      </c>
      <c r="K33" s="222">
        <v>1</v>
      </c>
      <c r="L33" s="225">
        <v>0</v>
      </c>
      <c r="M33" s="222">
        <v>1</v>
      </c>
      <c r="N33" s="225">
        <v>0</v>
      </c>
      <c r="O33" s="328">
        <v>1</v>
      </c>
      <c r="P33" s="223">
        <v>0</v>
      </c>
      <c r="Q33" s="534">
        <v>1</v>
      </c>
      <c r="R33" s="224">
        <v>0</v>
      </c>
      <c r="S33" s="224">
        <v>0</v>
      </c>
      <c r="T33" s="224">
        <v>0</v>
      </c>
      <c r="U33" s="226">
        <v>0</v>
      </c>
      <c r="V33" s="206" t="s">
        <v>157</v>
      </c>
      <c r="W33" s="226">
        <v>2</v>
      </c>
    </row>
  </sheetData>
  <mergeCells count="1">
    <mergeCell ref="C1:D1"/>
  </mergeCells>
  <conditionalFormatting sqref="F10:U15 J16:K16 F7:U8 F3:U5">
    <cfRule type="containsText" dxfId="62" priority="5" operator="containsText" text="0">
      <formula>NOT(ISERROR(SEARCH("0",F3)))</formula>
    </cfRule>
  </conditionalFormatting>
  <conditionalFormatting sqref="F9:U9">
    <cfRule type="containsText" dxfId="61" priority="4" operator="containsText" text="0">
      <formula>NOT(ISERROR(SEARCH("0",F9)))</formula>
    </cfRule>
  </conditionalFormatting>
  <conditionalFormatting sqref="F16:I16">
    <cfRule type="containsText" dxfId="60" priority="3" operator="containsText" text="0">
      <formula>NOT(ISERROR(SEARCH("0",F16)))</formula>
    </cfRule>
  </conditionalFormatting>
  <conditionalFormatting sqref="L16:U16">
    <cfRule type="containsText" dxfId="59" priority="2" operator="containsText" text="0">
      <formula>NOT(ISERROR(SEARCH("0",L16)))</formula>
    </cfRule>
  </conditionalFormatting>
  <conditionalFormatting sqref="F6:U6">
    <cfRule type="containsText" dxfId="58"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B2" sqref="B2"/>
    </sheetView>
  </sheetViews>
  <sheetFormatPr baseColWidth="10" defaultRowHeight="12.5"/>
  <cols>
    <col min="1" max="1" width="14.453125" customWidth="1"/>
  </cols>
  <sheetData>
    <row r="1" spans="1:13" ht="13">
      <c r="A1" s="19" t="s">
        <v>182</v>
      </c>
      <c r="B1" t="s">
        <v>331</v>
      </c>
    </row>
    <row r="2" spans="1:13" ht="13">
      <c r="A2" s="19" t="s">
        <v>181</v>
      </c>
      <c r="B2" s="39"/>
      <c r="C2" s="39"/>
      <c r="D2" s="39"/>
      <c r="E2" s="39"/>
      <c r="F2" s="39"/>
      <c r="G2" s="39"/>
      <c r="H2" s="39"/>
      <c r="I2" s="39"/>
      <c r="J2" s="39"/>
      <c r="K2" s="39"/>
      <c r="L2" s="39"/>
      <c r="M2" s="39"/>
    </row>
    <row r="4" spans="1:13">
      <c r="C4" s="39"/>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26" t="s">
        <v>154</v>
      </c>
      <c r="C1" s="26" t="s">
        <v>155</v>
      </c>
    </row>
    <row r="2" spans="1:3">
      <c r="A2" t="s">
        <v>62</v>
      </c>
      <c r="C2" t="s">
        <v>62</v>
      </c>
    </row>
    <row r="3" spans="1:3" ht="15.5">
      <c r="A3" s="27" t="s">
        <v>156</v>
      </c>
      <c r="C3" s="27" t="s">
        <v>67</v>
      </c>
    </row>
    <row r="4" spans="1:3" ht="15.5">
      <c r="A4" s="27" t="s">
        <v>157</v>
      </c>
      <c r="C4" s="27" t="s">
        <v>158</v>
      </c>
    </row>
    <row r="5" spans="1:3" ht="15.5">
      <c r="A5" s="27" t="s">
        <v>66</v>
      </c>
      <c r="C5" s="27" t="s">
        <v>106</v>
      </c>
    </row>
    <row r="6" spans="1:3" ht="15.5">
      <c r="A6" s="27" t="s">
        <v>64</v>
      </c>
      <c r="C6" s="27" t="s">
        <v>162</v>
      </c>
    </row>
    <row r="7" spans="1:3" ht="15.5">
      <c r="A7" s="27" t="s">
        <v>65</v>
      </c>
      <c r="C7" s="27" t="s">
        <v>183</v>
      </c>
    </row>
    <row r="8" spans="1:3" ht="15.5">
      <c r="A8" s="27" t="s">
        <v>68</v>
      </c>
    </row>
    <row r="9" spans="1:3" ht="15.5">
      <c r="A9" s="27" t="s">
        <v>63</v>
      </c>
    </row>
    <row r="10" spans="1:3" ht="15.5">
      <c r="A10" s="27"/>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27" customWidth="1"/>
    <col min="2" max="7" width="2.6328125" style="27" customWidth="1"/>
    <col min="8" max="59" width="2.6328125" style="85" customWidth="1"/>
    <col min="60" max="61" width="2.6328125" style="86" customWidth="1"/>
    <col min="62" max="71" width="2.6328125" style="27" customWidth="1"/>
    <col min="72" max="16384" width="12" style="27"/>
  </cols>
  <sheetData>
    <row r="1" spans="1:61" ht="18">
      <c r="A1" s="84" t="s">
        <v>304</v>
      </c>
    </row>
    <row r="3" spans="1:61">
      <c r="A3" s="26" t="s">
        <v>305</v>
      </c>
      <c r="B3" s="642" t="s">
        <v>306</v>
      </c>
      <c r="C3" s="643"/>
      <c r="D3" s="643"/>
      <c r="E3" s="643"/>
      <c r="F3" s="643"/>
      <c r="G3" s="643"/>
      <c r="H3" s="643"/>
      <c r="I3" s="643"/>
      <c r="J3" s="643"/>
      <c r="K3" s="643"/>
      <c r="L3" s="643"/>
      <c r="M3" s="643"/>
      <c r="N3" s="644"/>
      <c r="O3" s="644"/>
      <c r="P3" s="644"/>
      <c r="Q3" s="644"/>
      <c r="R3" s="644"/>
      <c r="S3" s="644"/>
      <c r="T3" s="644"/>
      <c r="U3" s="644"/>
      <c r="V3" s="644"/>
      <c r="W3" s="644"/>
      <c r="X3" s="644"/>
      <c r="Y3" s="644"/>
      <c r="Z3" s="644"/>
      <c r="AA3" s="644"/>
      <c r="AB3" s="644"/>
      <c r="AC3" s="644"/>
      <c r="AD3" s="645"/>
    </row>
    <row r="4" spans="1:61">
      <c r="A4" s="26" t="s">
        <v>307</v>
      </c>
      <c r="B4" s="642" t="s">
        <v>308</v>
      </c>
      <c r="C4" s="643"/>
      <c r="D4" s="643"/>
      <c r="E4" s="643"/>
      <c r="F4" s="643"/>
      <c r="G4" s="643"/>
      <c r="H4" s="643"/>
      <c r="I4" s="643"/>
      <c r="J4" s="643"/>
      <c r="K4" s="643"/>
      <c r="L4" s="643"/>
      <c r="M4" s="643"/>
      <c r="N4" s="644"/>
      <c r="O4" s="644"/>
      <c r="P4" s="644"/>
      <c r="Q4" s="644"/>
      <c r="R4" s="644"/>
      <c r="S4" s="644"/>
      <c r="T4" s="644"/>
      <c r="U4" s="644"/>
      <c r="V4" s="644"/>
      <c r="W4" s="644"/>
      <c r="X4" s="644"/>
      <c r="Y4" s="644"/>
      <c r="Z4" s="644"/>
      <c r="AA4" s="644"/>
      <c r="AB4" s="644"/>
      <c r="AC4" s="644"/>
      <c r="AD4" s="645"/>
    </row>
    <row r="5" spans="1:61" ht="25.5" customHeight="1"/>
    <row r="6" spans="1:61" ht="25.5" customHeight="1">
      <c r="A6" s="258" t="s">
        <v>283</v>
      </c>
    </row>
    <row r="7" spans="1:61">
      <c r="A7" s="26" t="s">
        <v>309</v>
      </c>
    </row>
    <row r="9" spans="1:61">
      <c r="B9" s="87">
        <v>0</v>
      </c>
      <c r="C9" s="87">
        <v>1</v>
      </c>
      <c r="D9" s="87">
        <v>2</v>
      </c>
      <c r="E9" s="87">
        <v>3</v>
      </c>
      <c r="F9" s="87">
        <v>4</v>
      </c>
      <c r="G9" s="87">
        <v>5</v>
      </c>
      <c r="H9" s="88">
        <v>6</v>
      </c>
      <c r="I9" s="89"/>
      <c r="J9" s="89"/>
      <c r="K9" s="90"/>
      <c r="L9" s="88">
        <v>7</v>
      </c>
      <c r="M9" s="89"/>
      <c r="N9" s="89"/>
      <c r="O9" s="90"/>
      <c r="P9" s="88">
        <v>8</v>
      </c>
      <c r="Q9" s="89"/>
      <c r="R9" s="89"/>
      <c r="S9" s="90"/>
      <c r="T9" s="88">
        <v>9</v>
      </c>
      <c r="U9" s="89"/>
      <c r="V9" s="89"/>
      <c r="W9" s="90"/>
      <c r="X9" s="88">
        <v>10</v>
      </c>
      <c r="Y9" s="89"/>
      <c r="Z9" s="89"/>
      <c r="AA9" s="90"/>
      <c r="AB9" s="88">
        <v>11</v>
      </c>
      <c r="AC9" s="89"/>
      <c r="AD9" s="89"/>
      <c r="AE9" s="90"/>
      <c r="AF9" s="88">
        <v>12</v>
      </c>
      <c r="AG9" s="89"/>
      <c r="AH9" s="89"/>
      <c r="AI9" s="90"/>
      <c r="AJ9" s="88">
        <v>13</v>
      </c>
      <c r="AK9" s="89"/>
      <c r="AL9" s="89"/>
      <c r="AM9" s="90"/>
      <c r="AN9" s="88">
        <v>14</v>
      </c>
      <c r="AO9" s="89"/>
      <c r="AP9" s="89"/>
      <c r="AQ9" s="90"/>
      <c r="AR9" s="88">
        <v>15</v>
      </c>
      <c r="AS9" s="89"/>
      <c r="AT9" s="89"/>
      <c r="AU9" s="90"/>
      <c r="AV9" s="88">
        <v>16</v>
      </c>
      <c r="AW9" s="89"/>
      <c r="AX9" s="89"/>
      <c r="AY9" s="90"/>
      <c r="AZ9" s="88">
        <v>17</v>
      </c>
      <c r="BA9" s="89"/>
      <c r="BB9" s="89"/>
      <c r="BC9" s="90"/>
      <c r="BD9" s="88">
        <v>18</v>
      </c>
      <c r="BE9" s="89"/>
      <c r="BF9" s="89"/>
      <c r="BG9" s="90"/>
    </row>
    <row r="10" spans="1:61" ht="16" thickBot="1">
      <c r="A10" s="91" t="s">
        <v>310</v>
      </c>
      <c r="B10" s="92"/>
      <c r="C10" s="92"/>
      <c r="D10" s="92"/>
      <c r="E10" s="92"/>
      <c r="F10" s="92"/>
      <c r="G10" s="92"/>
      <c r="H10" s="93">
        <v>0</v>
      </c>
      <c r="I10" s="94">
        <v>15</v>
      </c>
      <c r="J10" s="94">
        <v>30</v>
      </c>
      <c r="K10" s="95">
        <v>45</v>
      </c>
      <c r="L10" s="93">
        <v>0</v>
      </c>
      <c r="M10" s="94">
        <v>15</v>
      </c>
      <c r="N10" s="94">
        <v>30</v>
      </c>
      <c r="O10" s="95">
        <v>45</v>
      </c>
      <c r="P10" s="93">
        <v>0</v>
      </c>
      <c r="Q10" s="94">
        <v>15</v>
      </c>
      <c r="R10" s="94">
        <v>30</v>
      </c>
      <c r="S10" s="95">
        <v>45</v>
      </c>
      <c r="T10" s="93">
        <v>0</v>
      </c>
      <c r="U10" s="94">
        <v>15</v>
      </c>
      <c r="V10" s="94">
        <v>30</v>
      </c>
      <c r="W10" s="95">
        <v>45</v>
      </c>
      <c r="X10" s="93">
        <v>0</v>
      </c>
      <c r="Y10" s="94">
        <v>15</v>
      </c>
      <c r="Z10" s="94">
        <v>30</v>
      </c>
      <c r="AA10" s="95">
        <v>45</v>
      </c>
      <c r="AB10" s="93">
        <v>0</v>
      </c>
      <c r="AC10" s="94">
        <v>15</v>
      </c>
      <c r="AD10" s="94">
        <v>30</v>
      </c>
      <c r="AE10" s="95">
        <v>45</v>
      </c>
      <c r="AF10" s="93">
        <v>0</v>
      </c>
      <c r="AG10" s="94">
        <v>15</v>
      </c>
      <c r="AH10" s="94">
        <v>30</v>
      </c>
      <c r="AI10" s="95">
        <v>45</v>
      </c>
      <c r="AJ10" s="93">
        <v>0</v>
      </c>
      <c r="AK10" s="94">
        <v>15</v>
      </c>
      <c r="AL10" s="94">
        <v>30</v>
      </c>
      <c r="AM10" s="95">
        <v>45</v>
      </c>
      <c r="AN10" s="93">
        <v>0</v>
      </c>
      <c r="AO10" s="94">
        <v>15</v>
      </c>
      <c r="AP10" s="94">
        <v>30</v>
      </c>
      <c r="AQ10" s="95">
        <v>45</v>
      </c>
      <c r="AR10" s="93">
        <v>0</v>
      </c>
      <c r="AS10" s="94">
        <v>15</v>
      </c>
      <c r="AT10" s="94">
        <v>30</v>
      </c>
      <c r="AU10" s="95">
        <v>45</v>
      </c>
      <c r="AV10" s="93">
        <v>0</v>
      </c>
      <c r="AW10" s="94">
        <v>15</v>
      </c>
      <c r="AX10" s="94">
        <v>30</v>
      </c>
      <c r="AY10" s="95">
        <v>45</v>
      </c>
      <c r="AZ10" s="93">
        <v>0</v>
      </c>
      <c r="BA10" s="94">
        <v>15</v>
      </c>
      <c r="BB10" s="94">
        <v>30</v>
      </c>
      <c r="BC10" s="95">
        <v>45</v>
      </c>
      <c r="BD10" s="93">
        <v>0</v>
      </c>
      <c r="BE10" s="94">
        <v>15</v>
      </c>
      <c r="BF10" s="94">
        <v>30</v>
      </c>
      <c r="BG10" s="95">
        <v>45</v>
      </c>
    </row>
    <row r="11" spans="1:61" s="110" customFormat="1" ht="16" thickBot="1">
      <c r="A11" s="96"/>
      <c r="B11" s="97"/>
      <c r="C11" s="97"/>
      <c r="D11" s="97"/>
      <c r="E11" s="97"/>
      <c r="F11" s="97"/>
      <c r="G11" s="97"/>
      <c r="H11" s="97"/>
      <c r="I11" s="97"/>
      <c r="J11" s="97"/>
      <c r="K11" s="97"/>
      <c r="L11" s="97"/>
      <c r="M11" s="98"/>
      <c r="N11" s="99"/>
      <c r="O11" s="100"/>
      <c r="P11" s="100"/>
      <c r="Q11" s="100"/>
      <c r="R11" s="100"/>
      <c r="S11" s="100"/>
      <c r="T11" s="100"/>
      <c r="U11" s="100"/>
      <c r="V11" s="100"/>
      <c r="W11" s="100"/>
      <c r="X11" s="100"/>
      <c r="Y11" s="100"/>
      <c r="Z11" s="100"/>
      <c r="AA11" s="100"/>
      <c r="AB11" s="100"/>
      <c r="AC11" s="100"/>
      <c r="AD11" s="100"/>
      <c r="AE11" s="101"/>
      <c r="AF11" s="101"/>
      <c r="AG11" s="101"/>
      <c r="AH11" s="101"/>
      <c r="AI11" s="101"/>
      <c r="AJ11" s="102"/>
      <c r="AK11" s="103"/>
      <c r="AL11" s="104"/>
      <c r="AM11" s="104"/>
      <c r="AN11" s="104"/>
      <c r="AO11" s="104"/>
      <c r="AP11" s="104"/>
      <c r="AQ11" s="104"/>
      <c r="AR11" s="104"/>
      <c r="AS11" s="104"/>
      <c r="AT11" s="104"/>
      <c r="AU11" s="104"/>
      <c r="AV11" s="105"/>
      <c r="AW11" s="106"/>
      <c r="AX11" s="101"/>
      <c r="AY11" s="101"/>
      <c r="AZ11" s="101"/>
      <c r="BA11" s="101"/>
      <c r="BB11" s="101"/>
      <c r="BC11" s="101"/>
      <c r="BD11" s="101"/>
      <c r="BE11" s="101"/>
      <c r="BF11" s="107"/>
      <c r="BG11" s="108"/>
      <c r="BH11" s="109"/>
      <c r="BI11" s="109"/>
    </row>
    <row r="12" spans="1:61" s="125" customFormat="1" ht="16" thickBot="1">
      <c r="A12" s="111"/>
      <c r="B12" s="112"/>
      <c r="C12" s="112"/>
      <c r="D12" s="112"/>
      <c r="E12" s="112"/>
      <c r="F12" s="112"/>
      <c r="G12" s="112"/>
      <c r="H12" s="112"/>
      <c r="I12" s="112"/>
      <c r="J12" s="112"/>
      <c r="K12" s="112"/>
      <c r="L12" s="112"/>
      <c r="M12" s="112"/>
      <c r="N12" s="113"/>
      <c r="O12" s="113"/>
      <c r="P12" s="113"/>
      <c r="Q12" s="113"/>
      <c r="R12" s="113"/>
      <c r="S12" s="113"/>
      <c r="T12" s="113"/>
      <c r="U12" s="113"/>
      <c r="V12" s="113"/>
      <c r="W12" s="113"/>
      <c r="X12" s="113"/>
      <c r="Y12" s="103"/>
      <c r="Z12" s="104"/>
      <c r="AA12" s="104"/>
      <c r="AB12" s="104"/>
      <c r="AC12" s="104"/>
      <c r="AD12" s="105"/>
      <c r="AE12" s="114"/>
      <c r="AF12" s="104"/>
      <c r="AG12" s="104"/>
      <c r="AH12" s="104"/>
      <c r="AI12" s="104"/>
      <c r="AJ12" s="105"/>
      <c r="AK12" s="115"/>
      <c r="AL12" s="116"/>
      <c r="AM12" s="116"/>
      <c r="AN12" s="116"/>
      <c r="AO12" s="116"/>
      <c r="AP12" s="116"/>
      <c r="AQ12" s="116"/>
      <c r="AR12" s="116"/>
      <c r="AS12" s="117"/>
      <c r="AT12" s="118"/>
      <c r="AU12" s="116"/>
      <c r="AV12" s="119"/>
      <c r="AW12" s="120"/>
      <c r="AX12" s="121"/>
      <c r="AY12" s="121"/>
      <c r="AZ12" s="121"/>
      <c r="BA12" s="121"/>
      <c r="BB12" s="121"/>
      <c r="BC12" s="121"/>
      <c r="BD12" s="121"/>
      <c r="BE12" s="121"/>
      <c r="BF12" s="122"/>
      <c r="BG12" s="123"/>
      <c r="BH12" s="124"/>
      <c r="BI12" s="124"/>
    </row>
    <row r="13" spans="1:61" ht="16" thickBot="1">
      <c r="A13" s="91" t="s">
        <v>311</v>
      </c>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row>
    <row r="14" spans="1:61" ht="16" thickBot="1">
      <c r="A14" s="96" t="s">
        <v>239</v>
      </c>
      <c r="B14" s="97"/>
      <c r="C14" s="97"/>
      <c r="D14" s="97"/>
      <c r="E14" s="97"/>
      <c r="F14" s="97"/>
      <c r="G14" s="97"/>
      <c r="H14" s="97"/>
      <c r="I14" s="97"/>
      <c r="J14" s="97"/>
      <c r="K14" s="97"/>
      <c r="L14" s="97"/>
      <c r="M14" s="97"/>
      <c r="N14" s="97" t="s">
        <v>312</v>
      </c>
      <c r="O14" s="97" t="s">
        <v>312</v>
      </c>
      <c r="P14" s="97" t="s">
        <v>312</v>
      </c>
      <c r="Q14" s="97" t="s">
        <v>312</v>
      </c>
      <c r="R14" s="97" t="s">
        <v>312</v>
      </c>
      <c r="S14" s="97" t="s">
        <v>312</v>
      </c>
      <c r="T14" s="97" t="s">
        <v>312</v>
      </c>
      <c r="U14" s="97" t="s">
        <v>312</v>
      </c>
      <c r="V14" s="97" t="s">
        <v>312</v>
      </c>
      <c r="W14" s="97" t="s">
        <v>312</v>
      </c>
      <c r="X14" s="97" t="s">
        <v>312</v>
      </c>
      <c r="Y14" s="97" t="s">
        <v>312</v>
      </c>
      <c r="Z14" s="97" t="s">
        <v>312</v>
      </c>
      <c r="AA14" s="97" t="s">
        <v>312</v>
      </c>
      <c r="AB14" s="97" t="s">
        <v>312</v>
      </c>
      <c r="AC14" s="97" t="s">
        <v>312</v>
      </c>
      <c r="AD14" s="97" t="s">
        <v>312</v>
      </c>
      <c r="AE14" s="97" t="s">
        <v>312</v>
      </c>
      <c r="AF14" s="97" t="s">
        <v>312</v>
      </c>
      <c r="AG14" s="97" t="s">
        <v>312</v>
      </c>
      <c r="AH14" s="97" t="s">
        <v>312</v>
      </c>
      <c r="AI14" s="97" t="s">
        <v>312</v>
      </c>
      <c r="AJ14" s="97" t="s">
        <v>312</v>
      </c>
      <c r="AK14" s="97"/>
      <c r="AL14" s="97"/>
      <c r="AM14" s="97"/>
      <c r="AN14" s="97"/>
      <c r="AO14" s="97"/>
      <c r="AP14" s="97"/>
      <c r="AQ14" s="97"/>
      <c r="AR14" s="97"/>
      <c r="AS14" s="97"/>
      <c r="AT14" s="97"/>
      <c r="AU14" s="97"/>
      <c r="AV14" s="97"/>
      <c r="AW14" s="97" t="s">
        <v>312</v>
      </c>
      <c r="AX14" s="97" t="s">
        <v>312</v>
      </c>
      <c r="AY14" s="97" t="s">
        <v>312</v>
      </c>
      <c r="AZ14" s="97" t="s">
        <v>312</v>
      </c>
      <c r="BA14" s="97" t="s">
        <v>312</v>
      </c>
      <c r="BB14" s="97" t="s">
        <v>312</v>
      </c>
      <c r="BC14" s="97" t="s">
        <v>312</v>
      </c>
      <c r="BD14" s="97" t="s">
        <v>312</v>
      </c>
      <c r="BE14" s="97" t="s">
        <v>312</v>
      </c>
      <c r="BF14" s="127" t="s">
        <v>312</v>
      </c>
      <c r="BG14" s="128"/>
    </row>
    <row r="15" spans="1:61" ht="16" thickBot="1">
      <c r="A15" s="129" t="s">
        <v>242</v>
      </c>
      <c r="B15" s="130"/>
      <c r="C15" s="130"/>
      <c r="D15" s="130"/>
      <c r="E15" s="130"/>
      <c r="F15" s="130"/>
      <c r="G15" s="130"/>
      <c r="H15" s="130"/>
      <c r="I15" s="130"/>
      <c r="J15" s="130"/>
      <c r="K15" s="130"/>
      <c r="L15" s="130"/>
      <c r="M15" s="130"/>
      <c r="N15" s="131" t="s">
        <v>312</v>
      </c>
      <c r="O15" s="132" t="s">
        <v>312</v>
      </c>
      <c r="P15" s="132" t="s">
        <v>312</v>
      </c>
      <c r="Q15" s="132" t="s">
        <v>312</v>
      </c>
      <c r="R15" s="132" t="s">
        <v>312</v>
      </c>
      <c r="S15" s="132" t="s">
        <v>312</v>
      </c>
      <c r="T15" s="132" t="s">
        <v>312</v>
      </c>
      <c r="U15" s="132" t="s">
        <v>312</v>
      </c>
      <c r="V15" s="132" t="s">
        <v>312</v>
      </c>
      <c r="W15" s="132" t="s">
        <v>312</v>
      </c>
      <c r="X15" s="132" t="s">
        <v>312</v>
      </c>
      <c r="Y15" s="132" t="s">
        <v>312</v>
      </c>
      <c r="Z15" s="132" t="s">
        <v>312</v>
      </c>
      <c r="AA15" s="132" t="s">
        <v>312</v>
      </c>
      <c r="AB15" s="132" t="s">
        <v>312</v>
      </c>
      <c r="AC15" s="132" t="s">
        <v>312</v>
      </c>
      <c r="AD15" s="132" t="s">
        <v>312</v>
      </c>
      <c r="AE15" s="133" t="s">
        <v>312</v>
      </c>
      <c r="AF15" s="133" t="s">
        <v>312</v>
      </c>
      <c r="AG15" s="133" t="s">
        <v>312</v>
      </c>
      <c r="AH15" s="133" t="s">
        <v>312</v>
      </c>
      <c r="AI15" s="133" t="s">
        <v>312</v>
      </c>
      <c r="AJ15" s="134" t="s">
        <v>312</v>
      </c>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5"/>
      <c r="BG15" s="128"/>
    </row>
    <row r="16" spans="1:61">
      <c r="A16" s="129" t="s">
        <v>244</v>
      </c>
      <c r="B16" s="130"/>
      <c r="C16" s="130"/>
      <c r="D16" s="130"/>
      <c r="E16" s="130"/>
      <c r="F16" s="130"/>
      <c r="G16" s="130"/>
      <c r="H16" s="130"/>
      <c r="I16" s="130"/>
      <c r="J16" s="130"/>
      <c r="K16" s="130"/>
      <c r="L16" s="130"/>
      <c r="M16" s="130"/>
      <c r="N16" s="130" t="s">
        <v>312</v>
      </c>
      <c r="O16" s="130" t="s">
        <v>312</v>
      </c>
      <c r="P16" s="130" t="s">
        <v>312</v>
      </c>
      <c r="Q16" s="130" t="s">
        <v>312</v>
      </c>
      <c r="R16" s="130" t="s">
        <v>312</v>
      </c>
      <c r="S16" s="130" t="s">
        <v>312</v>
      </c>
      <c r="T16" s="130" t="s">
        <v>312</v>
      </c>
      <c r="U16" s="130" t="s">
        <v>312</v>
      </c>
      <c r="V16" s="130" t="s">
        <v>312</v>
      </c>
      <c r="W16" s="130" t="s">
        <v>312</v>
      </c>
      <c r="X16" s="130" t="s">
        <v>312</v>
      </c>
      <c r="Y16" s="130" t="s">
        <v>312</v>
      </c>
      <c r="Z16" s="130" t="s">
        <v>312</v>
      </c>
      <c r="AA16" s="130" t="s">
        <v>312</v>
      </c>
      <c r="AB16" s="130" t="s">
        <v>312</v>
      </c>
      <c r="AC16" s="130" t="s">
        <v>312</v>
      </c>
      <c r="AD16" s="130" t="s">
        <v>312</v>
      </c>
      <c r="AE16" s="130" t="s">
        <v>312</v>
      </c>
      <c r="AF16" s="130" t="s">
        <v>312</v>
      </c>
      <c r="AG16" s="130" t="s">
        <v>312</v>
      </c>
      <c r="AH16" s="130" t="s">
        <v>312</v>
      </c>
      <c r="AI16" s="130" t="s">
        <v>312</v>
      </c>
      <c r="AJ16" s="130" t="s">
        <v>312</v>
      </c>
      <c r="AK16" s="130" t="s">
        <v>312</v>
      </c>
      <c r="AL16" s="130" t="s">
        <v>312</v>
      </c>
      <c r="AM16" s="130" t="s">
        <v>312</v>
      </c>
      <c r="AN16" s="130" t="s">
        <v>312</v>
      </c>
      <c r="AO16" s="130" t="s">
        <v>312</v>
      </c>
      <c r="AP16" s="130" t="s">
        <v>312</v>
      </c>
      <c r="AQ16" s="130" t="s">
        <v>312</v>
      </c>
      <c r="AR16" s="130" t="s">
        <v>312</v>
      </c>
      <c r="AS16" s="130" t="s">
        <v>312</v>
      </c>
      <c r="AT16" s="130" t="s">
        <v>312</v>
      </c>
      <c r="AU16" s="130" t="s">
        <v>312</v>
      </c>
      <c r="AV16" s="130" t="s">
        <v>312</v>
      </c>
      <c r="AW16" s="130"/>
      <c r="AX16" s="130"/>
      <c r="AY16" s="130"/>
      <c r="AZ16" s="130"/>
      <c r="BA16" s="130"/>
      <c r="BB16" s="130"/>
      <c r="BC16" s="130"/>
      <c r="BD16" s="130"/>
      <c r="BE16" s="130"/>
      <c r="BF16" s="135"/>
      <c r="BG16" s="128"/>
    </row>
    <row r="17" spans="1:67">
      <c r="A17" s="129" t="s">
        <v>246</v>
      </c>
      <c r="B17" s="130"/>
      <c r="C17" s="130"/>
      <c r="D17" s="130"/>
      <c r="E17" s="130"/>
      <c r="F17" s="130"/>
      <c r="G17" s="130"/>
      <c r="H17" s="130"/>
      <c r="I17" s="130"/>
      <c r="J17" s="130"/>
      <c r="K17" s="130"/>
      <c r="L17" s="130"/>
      <c r="M17" s="130"/>
      <c r="N17" s="130"/>
      <c r="O17" s="130"/>
      <c r="P17" s="130"/>
      <c r="Q17" s="130"/>
      <c r="R17" s="130"/>
      <c r="S17" s="130"/>
      <c r="T17" s="130"/>
      <c r="U17" s="130"/>
      <c r="V17" s="130"/>
      <c r="W17" s="130"/>
      <c r="X17" s="130"/>
      <c r="Y17" s="130" t="s">
        <v>312</v>
      </c>
      <c r="Z17" s="130" t="s">
        <v>312</v>
      </c>
      <c r="AA17" s="130" t="s">
        <v>312</v>
      </c>
      <c r="AB17" s="130" t="s">
        <v>312</v>
      </c>
      <c r="AC17" s="130" t="s">
        <v>312</v>
      </c>
      <c r="AD17" s="130" t="s">
        <v>312</v>
      </c>
      <c r="AE17" s="130" t="s">
        <v>312</v>
      </c>
      <c r="AF17" s="130" t="s">
        <v>312</v>
      </c>
      <c r="AG17" s="130" t="s">
        <v>312</v>
      </c>
      <c r="AH17" s="130" t="s">
        <v>312</v>
      </c>
      <c r="AI17" s="130" t="s">
        <v>312</v>
      </c>
      <c r="AJ17" s="130" t="s">
        <v>312</v>
      </c>
      <c r="AK17" s="130" t="s">
        <v>312</v>
      </c>
      <c r="AL17" s="130" t="s">
        <v>312</v>
      </c>
      <c r="AM17" s="130" t="s">
        <v>312</v>
      </c>
      <c r="AN17" s="130" t="s">
        <v>312</v>
      </c>
      <c r="AO17" s="130" t="s">
        <v>312</v>
      </c>
      <c r="AP17" s="130" t="s">
        <v>312</v>
      </c>
      <c r="AQ17" s="130" t="s">
        <v>312</v>
      </c>
      <c r="AR17" s="130" t="s">
        <v>312</v>
      </c>
      <c r="AS17" s="130" t="s">
        <v>312</v>
      </c>
      <c r="AT17" s="130" t="s">
        <v>312</v>
      </c>
      <c r="AU17" s="130" t="s">
        <v>312</v>
      </c>
      <c r="AV17" s="130" t="s">
        <v>312</v>
      </c>
      <c r="AW17" s="130" t="s">
        <v>312</v>
      </c>
      <c r="AX17" s="130" t="s">
        <v>312</v>
      </c>
      <c r="AY17" s="130" t="s">
        <v>312</v>
      </c>
      <c r="AZ17" s="130" t="s">
        <v>312</v>
      </c>
      <c r="BA17" s="130" t="s">
        <v>312</v>
      </c>
      <c r="BB17" s="130" t="s">
        <v>312</v>
      </c>
      <c r="BC17" s="130" t="s">
        <v>312</v>
      </c>
      <c r="BD17" s="130" t="s">
        <v>312</v>
      </c>
      <c r="BE17" s="130" t="s">
        <v>312</v>
      </c>
      <c r="BF17" s="135" t="s">
        <v>312</v>
      </c>
      <c r="BG17" s="128"/>
    </row>
    <row r="18" spans="1:67" ht="16" thickBot="1">
      <c r="A18" s="129" t="s">
        <v>248</v>
      </c>
      <c r="B18" s="130"/>
      <c r="C18" s="130"/>
      <c r="D18" s="130"/>
      <c r="E18" s="130"/>
      <c r="F18" s="130"/>
      <c r="G18" s="130"/>
      <c r="H18" s="130"/>
      <c r="I18" s="130"/>
      <c r="J18" s="130"/>
      <c r="K18" s="44"/>
      <c r="L18" s="136"/>
      <c r="M18" s="136"/>
      <c r="N18" s="136"/>
      <c r="O18" s="136"/>
      <c r="P18" s="136"/>
      <c r="Q18" s="136"/>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t="s">
        <v>312</v>
      </c>
      <c r="AX18" s="130" t="s">
        <v>312</v>
      </c>
      <c r="AY18" s="130" t="s">
        <v>312</v>
      </c>
      <c r="AZ18" s="130" t="s">
        <v>312</v>
      </c>
      <c r="BA18" s="130" t="s">
        <v>312</v>
      </c>
      <c r="BB18" s="130" t="s">
        <v>312</v>
      </c>
      <c r="BC18" s="130" t="s">
        <v>312</v>
      </c>
      <c r="BD18" s="130" t="s">
        <v>312</v>
      </c>
      <c r="BE18" s="130" t="s">
        <v>312</v>
      </c>
      <c r="BF18" s="135" t="s">
        <v>312</v>
      </c>
      <c r="BG18" s="128"/>
    </row>
    <row r="19" spans="1:67" ht="16" thickBot="1">
      <c r="A19" s="111" t="s">
        <v>250</v>
      </c>
      <c r="B19" s="112"/>
      <c r="C19" s="112"/>
      <c r="D19" s="112"/>
      <c r="E19" s="112"/>
      <c r="F19" s="112"/>
      <c r="G19" s="112"/>
      <c r="H19" s="112"/>
      <c r="I19" s="112"/>
      <c r="J19" s="112"/>
      <c r="K19" s="137"/>
      <c r="L19" s="112"/>
      <c r="M19" s="112"/>
      <c r="N19" s="112"/>
      <c r="O19" s="112"/>
      <c r="P19" s="112"/>
      <c r="Q19" s="112"/>
      <c r="R19" s="112"/>
      <c r="S19" s="112"/>
      <c r="T19" s="112"/>
      <c r="U19" s="112"/>
      <c r="V19" s="112"/>
      <c r="W19" s="112"/>
      <c r="X19" s="112"/>
      <c r="Y19" s="112"/>
      <c r="Z19" s="112"/>
      <c r="AA19" s="112"/>
      <c r="AB19" s="112"/>
      <c r="AC19" s="112"/>
      <c r="AD19" s="112"/>
      <c r="AE19" s="138" t="s">
        <v>312</v>
      </c>
      <c r="AF19" s="121" t="s">
        <v>312</v>
      </c>
      <c r="AG19" s="121" t="s">
        <v>312</v>
      </c>
      <c r="AH19" s="121" t="s">
        <v>312</v>
      </c>
      <c r="AI19" s="121" t="s">
        <v>312</v>
      </c>
      <c r="AJ19" s="121" t="s">
        <v>312</v>
      </c>
      <c r="AK19" s="121" t="s">
        <v>312</v>
      </c>
      <c r="AL19" s="121" t="s">
        <v>312</v>
      </c>
      <c r="AM19" s="121" t="s">
        <v>312</v>
      </c>
      <c r="AN19" s="121" t="s">
        <v>312</v>
      </c>
      <c r="AO19" s="121" t="s">
        <v>312</v>
      </c>
      <c r="AP19" s="121" t="s">
        <v>312</v>
      </c>
      <c r="AQ19" s="121" t="s">
        <v>312</v>
      </c>
      <c r="AR19" s="121" t="s">
        <v>312</v>
      </c>
      <c r="AS19" s="139" t="s">
        <v>312</v>
      </c>
      <c r="AT19" s="123" t="s">
        <v>312</v>
      </c>
      <c r="AU19" s="112" t="s">
        <v>312</v>
      </c>
      <c r="AV19" s="140" t="s">
        <v>312</v>
      </c>
      <c r="AW19" s="138" t="s">
        <v>312</v>
      </c>
      <c r="AX19" s="121" t="s">
        <v>312</v>
      </c>
      <c r="AY19" s="121" t="s">
        <v>312</v>
      </c>
      <c r="AZ19" s="121" t="s">
        <v>312</v>
      </c>
      <c r="BA19" s="121" t="s">
        <v>312</v>
      </c>
      <c r="BB19" s="121" t="s">
        <v>312</v>
      </c>
      <c r="BC19" s="121" t="s">
        <v>312</v>
      </c>
      <c r="BD19" s="121" t="s">
        <v>312</v>
      </c>
      <c r="BE19" s="121" t="s">
        <v>312</v>
      </c>
      <c r="BF19" s="122" t="s">
        <v>312</v>
      </c>
      <c r="BG19" s="128"/>
    </row>
    <row r="21" spans="1:67">
      <c r="A21" s="26" t="s">
        <v>313</v>
      </c>
    </row>
    <row r="23" spans="1:67">
      <c r="A23" s="141" t="s">
        <v>314</v>
      </c>
      <c r="B23" s="87">
        <v>0</v>
      </c>
      <c r="C23" s="87">
        <v>1</v>
      </c>
      <c r="D23" s="87">
        <v>2</v>
      </c>
      <c r="E23" s="87">
        <v>3</v>
      </c>
      <c r="F23" s="87">
        <v>4</v>
      </c>
      <c r="G23" s="87">
        <v>5</v>
      </c>
      <c r="H23" s="88">
        <v>6</v>
      </c>
      <c r="I23" s="89"/>
      <c r="J23" s="89"/>
      <c r="K23" s="90"/>
      <c r="L23" s="88">
        <v>7</v>
      </c>
      <c r="M23" s="89"/>
      <c r="N23" s="89"/>
      <c r="O23" s="90"/>
      <c r="P23" s="88">
        <v>8</v>
      </c>
      <c r="Q23" s="89"/>
      <c r="R23" s="89"/>
      <c r="S23" s="90"/>
      <c r="T23" s="88">
        <v>9</v>
      </c>
      <c r="U23" s="89"/>
      <c r="V23" s="89"/>
      <c r="W23" s="90"/>
      <c r="X23" s="88">
        <v>10</v>
      </c>
      <c r="Y23" s="89"/>
      <c r="Z23" s="89"/>
      <c r="AA23" s="90"/>
      <c r="AB23" s="88">
        <v>11</v>
      </c>
      <c r="AC23" s="89"/>
      <c r="AD23" s="89"/>
      <c r="AE23" s="90"/>
      <c r="AF23" s="88">
        <v>12</v>
      </c>
      <c r="AG23" s="89"/>
      <c r="AH23" s="89"/>
      <c r="AI23" s="90"/>
      <c r="AJ23" s="88">
        <v>13</v>
      </c>
      <c r="AK23" s="89"/>
      <c r="AL23" s="89"/>
      <c r="AM23" s="90"/>
      <c r="AN23" s="88">
        <v>14</v>
      </c>
      <c r="AO23" s="89"/>
      <c r="AP23" s="89"/>
      <c r="AQ23" s="90"/>
      <c r="AR23" s="88">
        <v>15</v>
      </c>
      <c r="AS23" s="89"/>
      <c r="AT23" s="89"/>
      <c r="AU23" s="90"/>
      <c r="AV23" s="88">
        <v>16</v>
      </c>
      <c r="AW23" s="89"/>
      <c r="AX23" s="89"/>
      <c r="AY23" s="90"/>
      <c r="AZ23" s="88">
        <v>17</v>
      </c>
      <c r="BA23" s="89"/>
      <c r="BB23" s="89"/>
      <c r="BC23" s="90"/>
      <c r="BD23" s="88">
        <v>18</v>
      </c>
      <c r="BE23" s="89"/>
      <c r="BF23" s="89"/>
      <c r="BG23" s="90"/>
    </row>
    <row r="24" spans="1:67" ht="16" thickBot="1">
      <c r="A24" s="141"/>
      <c r="B24" s="142"/>
      <c r="C24" s="142"/>
      <c r="D24" s="142"/>
      <c r="E24" s="142"/>
      <c r="F24" s="142"/>
      <c r="G24" s="142"/>
      <c r="H24" s="143">
        <v>0</v>
      </c>
      <c r="I24" s="144">
        <v>15</v>
      </c>
      <c r="J24" s="144">
        <v>30</v>
      </c>
      <c r="K24" s="145">
        <v>45</v>
      </c>
      <c r="L24" s="93">
        <v>0</v>
      </c>
      <c r="M24" s="94">
        <v>15</v>
      </c>
      <c r="N24" s="94">
        <v>30</v>
      </c>
      <c r="O24" s="95">
        <v>45</v>
      </c>
      <c r="P24" s="93">
        <v>0</v>
      </c>
      <c r="Q24" s="94">
        <v>15</v>
      </c>
      <c r="R24" s="94">
        <v>30</v>
      </c>
      <c r="S24" s="95">
        <v>45</v>
      </c>
      <c r="T24" s="93">
        <v>0</v>
      </c>
      <c r="U24" s="94">
        <v>15</v>
      </c>
      <c r="V24" s="94">
        <v>30</v>
      </c>
      <c r="W24" s="95">
        <v>45</v>
      </c>
      <c r="X24" s="93">
        <v>0</v>
      </c>
      <c r="Y24" s="94">
        <v>15</v>
      </c>
      <c r="Z24" s="94">
        <v>30</v>
      </c>
      <c r="AA24" s="95">
        <v>45</v>
      </c>
      <c r="AB24" s="93">
        <v>0</v>
      </c>
      <c r="AC24" s="94">
        <v>15</v>
      </c>
      <c r="AD24" s="94">
        <v>30</v>
      </c>
      <c r="AE24" s="95">
        <v>45</v>
      </c>
      <c r="AF24" s="93">
        <v>0</v>
      </c>
      <c r="AG24" s="94">
        <v>15</v>
      </c>
      <c r="AH24" s="94">
        <v>30</v>
      </c>
      <c r="AI24" s="95">
        <v>45</v>
      </c>
      <c r="AJ24" s="143">
        <v>0</v>
      </c>
      <c r="AK24" s="144">
        <v>15</v>
      </c>
      <c r="AL24" s="144">
        <v>30</v>
      </c>
      <c r="AM24" s="95">
        <v>45</v>
      </c>
      <c r="AN24" s="93">
        <v>0</v>
      </c>
      <c r="AO24" s="94">
        <v>15</v>
      </c>
      <c r="AP24" s="94">
        <v>30</v>
      </c>
      <c r="AQ24" s="95">
        <v>45</v>
      </c>
      <c r="AR24" s="93">
        <v>0</v>
      </c>
      <c r="AS24" s="94">
        <v>15</v>
      </c>
      <c r="AT24" s="94">
        <v>30</v>
      </c>
      <c r="AU24" s="95">
        <v>45</v>
      </c>
      <c r="AV24" s="93">
        <v>0</v>
      </c>
      <c r="AW24" s="144">
        <v>15</v>
      </c>
      <c r="AX24" s="144">
        <v>30</v>
      </c>
      <c r="AY24" s="145">
        <v>45</v>
      </c>
      <c r="AZ24" s="143">
        <v>0</v>
      </c>
      <c r="BA24" s="144">
        <v>15</v>
      </c>
      <c r="BB24" s="144">
        <v>30</v>
      </c>
      <c r="BC24" s="145">
        <v>45</v>
      </c>
      <c r="BD24" s="143">
        <v>0</v>
      </c>
      <c r="BE24" s="144">
        <v>15</v>
      </c>
      <c r="BF24" s="144">
        <v>30</v>
      </c>
      <c r="BG24" s="145">
        <v>45</v>
      </c>
    </row>
    <row r="25" spans="1:67" ht="16" thickBot="1">
      <c r="A25" s="126" t="s">
        <v>239</v>
      </c>
      <c r="B25" s="130"/>
      <c r="C25" s="130"/>
      <c r="D25" s="130"/>
      <c r="E25" s="130"/>
      <c r="F25" s="130"/>
      <c r="G25" s="130"/>
      <c r="H25" s="130"/>
      <c r="I25" s="130"/>
      <c r="J25" s="130"/>
      <c r="K25" s="130"/>
      <c r="L25" s="130"/>
      <c r="M25" s="146"/>
      <c r="N25" s="147" t="s">
        <v>312</v>
      </c>
      <c r="O25" s="148" t="s">
        <v>312</v>
      </c>
      <c r="P25" s="148" t="s">
        <v>312</v>
      </c>
      <c r="Q25" s="148" t="s">
        <v>312</v>
      </c>
      <c r="R25" s="148" t="s">
        <v>312</v>
      </c>
      <c r="S25" s="148" t="s">
        <v>312</v>
      </c>
      <c r="T25" s="148" t="s">
        <v>312</v>
      </c>
      <c r="U25" s="148" t="s">
        <v>312</v>
      </c>
      <c r="V25" s="148" t="s">
        <v>312</v>
      </c>
      <c r="W25" s="148" t="s">
        <v>312</v>
      </c>
      <c r="X25" s="148" t="s">
        <v>312</v>
      </c>
      <c r="Y25" s="148" t="s">
        <v>312</v>
      </c>
      <c r="Z25" s="148" t="s">
        <v>312</v>
      </c>
      <c r="AA25" s="148" t="s">
        <v>312</v>
      </c>
      <c r="AB25" s="148" t="s">
        <v>312</v>
      </c>
      <c r="AC25" s="149" t="s">
        <v>312</v>
      </c>
      <c r="AD25" s="149" t="s">
        <v>312</v>
      </c>
      <c r="AE25" s="149" t="s">
        <v>312</v>
      </c>
      <c r="AF25" s="149" t="s">
        <v>312</v>
      </c>
      <c r="AG25" s="149" t="s">
        <v>312</v>
      </c>
      <c r="AH25" s="149" t="s">
        <v>312</v>
      </c>
      <c r="AI25" s="149" t="s">
        <v>312</v>
      </c>
      <c r="AJ25" s="149" t="s">
        <v>312</v>
      </c>
      <c r="AK25" s="150" t="s">
        <v>312</v>
      </c>
      <c r="AL25" s="128"/>
      <c r="AM25" s="130"/>
      <c r="AN25" s="130"/>
      <c r="AO25" s="130"/>
      <c r="AP25" s="130"/>
      <c r="AQ25" s="130"/>
      <c r="AR25" s="130"/>
      <c r="AS25" s="130"/>
      <c r="AT25" s="130"/>
      <c r="AU25" s="130"/>
      <c r="AV25" s="151"/>
      <c r="AW25" s="147" t="s">
        <v>312</v>
      </c>
      <c r="AX25" s="148" t="s">
        <v>312</v>
      </c>
      <c r="AY25" s="148" t="s">
        <v>312</v>
      </c>
      <c r="AZ25" s="148" t="s">
        <v>312</v>
      </c>
      <c r="BA25" s="148" t="s">
        <v>312</v>
      </c>
      <c r="BB25" s="148" t="s">
        <v>312</v>
      </c>
      <c r="BC25" s="148" t="s">
        <v>312</v>
      </c>
      <c r="BD25" s="148" t="s">
        <v>312</v>
      </c>
      <c r="BE25" s="148" t="s">
        <v>312</v>
      </c>
      <c r="BF25" s="152" t="s">
        <v>312</v>
      </c>
      <c r="BG25" s="153"/>
    </row>
    <row r="28" spans="1:67" ht="17.5">
      <c r="A28" s="257" t="s">
        <v>285</v>
      </c>
    </row>
    <row r="29" spans="1:67">
      <c r="A29" s="26" t="s">
        <v>309</v>
      </c>
    </row>
    <row r="31" spans="1:67">
      <c r="B31" s="87">
        <v>0</v>
      </c>
      <c r="C31" s="87">
        <v>1</v>
      </c>
      <c r="D31" s="87">
        <v>2</v>
      </c>
      <c r="E31" s="87">
        <v>3</v>
      </c>
      <c r="F31" s="87">
        <v>4</v>
      </c>
      <c r="G31" s="87">
        <v>5</v>
      </c>
      <c r="H31" s="88">
        <v>6</v>
      </c>
      <c r="I31" s="89"/>
      <c r="J31" s="89"/>
      <c r="K31" s="90"/>
      <c r="L31" s="88">
        <v>7</v>
      </c>
      <c r="M31" s="89"/>
      <c r="N31" s="89"/>
      <c r="O31" s="90"/>
      <c r="P31" s="88">
        <v>8</v>
      </c>
      <c r="Q31" s="89"/>
      <c r="R31" s="89"/>
      <c r="S31" s="90"/>
      <c r="T31" s="88">
        <v>9</v>
      </c>
      <c r="U31" s="89"/>
      <c r="V31" s="89"/>
      <c r="W31" s="90"/>
      <c r="X31" s="88">
        <v>10</v>
      </c>
      <c r="Y31" s="89"/>
      <c r="Z31" s="89"/>
      <c r="AA31" s="90"/>
      <c r="AB31" s="88">
        <v>11</v>
      </c>
      <c r="AC31" s="89"/>
      <c r="AD31" s="89"/>
      <c r="AE31" s="90"/>
      <c r="AF31" s="88">
        <v>12</v>
      </c>
      <c r="AG31" s="89"/>
      <c r="AH31" s="89"/>
      <c r="AI31" s="90"/>
      <c r="AJ31" s="88">
        <v>13</v>
      </c>
      <c r="AK31" s="89"/>
      <c r="AL31" s="89"/>
      <c r="AM31" s="90"/>
      <c r="AN31" s="88">
        <v>14</v>
      </c>
      <c r="AO31" s="89"/>
      <c r="AP31" s="89"/>
      <c r="AQ31" s="90"/>
      <c r="AR31" s="88">
        <v>15</v>
      </c>
      <c r="AS31" s="89"/>
      <c r="AT31" s="89"/>
      <c r="AU31" s="90"/>
      <c r="AV31" s="88">
        <v>16</v>
      </c>
      <c r="AW31" s="89"/>
      <c r="AX31" s="89"/>
      <c r="AY31" s="90"/>
      <c r="AZ31" s="88">
        <v>17</v>
      </c>
      <c r="BA31" s="89"/>
      <c r="BB31" s="89"/>
      <c r="BC31" s="90"/>
      <c r="BD31" s="88">
        <v>18</v>
      </c>
      <c r="BE31" s="89"/>
      <c r="BF31" s="89"/>
      <c r="BG31" s="90"/>
      <c r="BH31" s="88">
        <v>19</v>
      </c>
      <c r="BI31" s="89"/>
      <c r="BJ31" s="89"/>
      <c r="BK31" s="90"/>
      <c r="BL31" s="88">
        <v>20</v>
      </c>
      <c r="BM31" s="89"/>
      <c r="BN31" s="89"/>
      <c r="BO31" s="90"/>
    </row>
    <row r="32" spans="1:67" ht="16" thickBot="1">
      <c r="A32" s="91" t="s">
        <v>310</v>
      </c>
      <c r="B32" s="92"/>
      <c r="C32" s="92"/>
      <c r="D32" s="92"/>
      <c r="E32" s="92"/>
      <c r="F32" s="92"/>
      <c r="G32" s="92"/>
      <c r="H32" s="93">
        <v>0</v>
      </c>
      <c r="I32" s="94">
        <v>15</v>
      </c>
      <c r="J32" s="94">
        <v>30</v>
      </c>
      <c r="K32" s="95">
        <v>45</v>
      </c>
      <c r="L32" s="93">
        <v>0</v>
      </c>
      <c r="M32" s="94">
        <v>15</v>
      </c>
      <c r="N32" s="94">
        <v>30</v>
      </c>
      <c r="O32" s="95">
        <v>45</v>
      </c>
      <c r="P32" s="93">
        <v>0</v>
      </c>
      <c r="Q32" s="94">
        <v>15</v>
      </c>
      <c r="R32" s="94">
        <v>30</v>
      </c>
      <c r="S32" s="95">
        <v>45</v>
      </c>
      <c r="T32" s="93">
        <v>0</v>
      </c>
      <c r="U32" s="94">
        <v>15</v>
      </c>
      <c r="V32" s="94">
        <v>30</v>
      </c>
      <c r="W32" s="95">
        <v>45</v>
      </c>
      <c r="X32" s="93">
        <v>0</v>
      </c>
      <c r="Y32" s="94">
        <v>15</v>
      </c>
      <c r="Z32" s="94">
        <v>30</v>
      </c>
      <c r="AA32" s="95">
        <v>45</v>
      </c>
      <c r="AB32" s="93">
        <v>0</v>
      </c>
      <c r="AC32" s="94">
        <v>15</v>
      </c>
      <c r="AD32" s="94">
        <v>30</v>
      </c>
      <c r="AE32" s="95">
        <v>45</v>
      </c>
      <c r="AF32" s="93">
        <v>0</v>
      </c>
      <c r="AG32" s="94">
        <v>15</v>
      </c>
      <c r="AH32" s="94">
        <v>30</v>
      </c>
      <c r="AI32" s="95">
        <v>45</v>
      </c>
      <c r="AJ32" s="93">
        <v>0</v>
      </c>
      <c r="AK32" s="94">
        <v>15</v>
      </c>
      <c r="AL32" s="94">
        <v>30</v>
      </c>
      <c r="AM32" s="95">
        <v>45</v>
      </c>
      <c r="AN32" s="93">
        <v>0</v>
      </c>
      <c r="AO32" s="94">
        <v>15</v>
      </c>
      <c r="AP32" s="94">
        <v>30</v>
      </c>
      <c r="AQ32" s="95">
        <v>45</v>
      </c>
      <c r="AR32" s="93">
        <v>0</v>
      </c>
      <c r="AS32" s="94">
        <v>15</v>
      </c>
      <c r="AT32" s="94">
        <v>30</v>
      </c>
      <c r="AU32" s="95">
        <v>45</v>
      </c>
      <c r="AV32" s="93">
        <v>0</v>
      </c>
      <c r="AW32" s="94">
        <v>15</v>
      </c>
      <c r="AX32" s="94">
        <v>30</v>
      </c>
      <c r="AY32" s="95">
        <v>45</v>
      </c>
      <c r="AZ32" s="93">
        <v>0</v>
      </c>
      <c r="BA32" s="94">
        <v>15</v>
      </c>
      <c r="BB32" s="94">
        <v>30</v>
      </c>
      <c r="BC32" s="95">
        <v>45</v>
      </c>
      <c r="BD32" s="93">
        <v>0</v>
      </c>
      <c r="BE32" s="94">
        <v>15</v>
      </c>
      <c r="BF32" s="94">
        <v>30</v>
      </c>
      <c r="BG32" s="95">
        <v>45</v>
      </c>
      <c r="BH32" s="93">
        <v>0</v>
      </c>
      <c r="BI32" s="94">
        <v>15</v>
      </c>
      <c r="BJ32" s="94">
        <v>30</v>
      </c>
      <c r="BK32" s="95">
        <v>45</v>
      </c>
      <c r="BL32" s="93">
        <v>0</v>
      </c>
      <c r="BM32" s="94">
        <v>15</v>
      </c>
      <c r="BN32" s="94">
        <v>30</v>
      </c>
      <c r="BO32" s="95">
        <v>45</v>
      </c>
    </row>
    <row r="33" spans="1:68">
      <c r="A33" s="96"/>
      <c r="B33" s="259"/>
      <c r="C33" s="259"/>
      <c r="D33" s="259"/>
      <c r="E33" s="259"/>
      <c r="F33" s="259"/>
      <c r="G33" s="259"/>
      <c r="H33" s="259"/>
      <c r="I33" s="259"/>
      <c r="J33" s="259"/>
      <c r="K33" s="259"/>
      <c r="L33" s="262"/>
      <c r="M33" s="262"/>
      <c r="N33" s="262"/>
      <c r="O33" s="262"/>
      <c r="P33" s="262"/>
      <c r="Q33" s="262"/>
      <c r="R33" s="262"/>
      <c r="S33" s="262"/>
      <c r="T33" s="262"/>
      <c r="U33" s="262"/>
      <c r="V33" s="262"/>
      <c r="W33" s="262"/>
      <c r="X33" s="262"/>
      <c r="Y33" s="262"/>
      <c r="Z33" s="262"/>
      <c r="AA33" s="262"/>
      <c r="AB33" s="262"/>
      <c r="AC33" s="262"/>
      <c r="AD33" s="262"/>
      <c r="AE33" s="262"/>
      <c r="AF33" s="262"/>
      <c r="AG33" s="262"/>
      <c r="AH33" s="262"/>
      <c r="AI33" s="262"/>
      <c r="AJ33" s="262"/>
      <c r="AK33" s="262"/>
      <c r="AL33" s="262"/>
      <c r="AM33" s="262"/>
      <c r="AN33" s="262"/>
      <c r="AO33" s="262"/>
      <c r="AP33" s="262"/>
      <c r="AQ33" s="262"/>
      <c r="AR33" s="262"/>
      <c r="AS33" s="262"/>
      <c r="AT33" s="262"/>
      <c r="AU33" s="262"/>
      <c r="AV33" s="262"/>
      <c r="AW33" s="262"/>
      <c r="AX33" s="262"/>
      <c r="AY33" s="262"/>
      <c r="AZ33" s="262"/>
      <c r="BA33" s="262"/>
      <c r="BB33" s="262"/>
      <c r="BC33" s="262"/>
      <c r="BD33" s="262"/>
      <c r="BE33" s="262"/>
      <c r="BF33" s="261"/>
      <c r="BG33" s="261"/>
      <c r="BH33" s="261"/>
      <c r="BI33" s="261"/>
      <c r="BJ33" s="261"/>
      <c r="BK33" s="261"/>
      <c r="BL33" s="261"/>
      <c r="BM33" s="261"/>
    </row>
    <row r="34" spans="1:68">
      <c r="A34" s="129"/>
      <c r="B34" s="259"/>
      <c r="C34" s="259"/>
      <c r="D34" s="259"/>
      <c r="E34" s="259"/>
      <c r="F34" s="259"/>
      <c r="G34" s="259"/>
      <c r="H34" s="259"/>
      <c r="I34" s="259"/>
      <c r="J34" s="259"/>
      <c r="K34" s="259"/>
      <c r="L34" s="262"/>
      <c r="M34" s="262"/>
      <c r="N34" s="262"/>
      <c r="O34" s="262"/>
      <c r="P34" s="262"/>
      <c r="Q34" s="262"/>
      <c r="R34" s="262"/>
      <c r="S34" s="262"/>
      <c r="T34" s="262"/>
      <c r="U34" s="262"/>
      <c r="V34" s="262"/>
      <c r="W34" s="262"/>
      <c r="X34" s="262"/>
      <c r="Y34" s="262"/>
      <c r="Z34" s="262"/>
      <c r="AA34" s="262"/>
      <c r="AB34" s="262"/>
      <c r="AC34" s="262"/>
      <c r="AD34" s="262"/>
      <c r="AE34" s="262"/>
      <c r="AF34" s="262"/>
      <c r="AG34" s="262"/>
      <c r="AH34" s="262"/>
      <c r="AI34" s="262"/>
      <c r="AJ34" s="262"/>
      <c r="AK34" s="262"/>
      <c r="AL34" s="262"/>
      <c r="AM34" s="262"/>
      <c r="AN34" s="262"/>
      <c r="AO34" s="262"/>
      <c r="AP34" s="262"/>
      <c r="AQ34" s="262"/>
      <c r="AR34" s="262"/>
      <c r="AS34" s="262"/>
      <c r="AT34" s="262"/>
      <c r="AU34" s="262"/>
      <c r="AV34" s="262"/>
      <c r="AW34" s="262"/>
      <c r="AX34" s="262"/>
      <c r="AY34" s="262"/>
      <c r="AZ34" s="262"/>
      <c r="BA34" s="262"/>
      <c r="BB34" s="262"/>
      <c r="BC34" s="262"/>
      <c r="BD34" s="262"/>
      <c r="BE34" s="262"/>
      <c r="BF34" s="261"/>
      <c r="BG34" s="27"/>
      <c r="BH34" s="27"/>
      <c r="BI34" s="27"/>
    </row>
    <row r="35" spans="1:68">
      <c r="A35" s="129"/>
      <c r="B35" s="259"/>
      <c r="C35" s="259"/>
      <c r="D35" s="259"/>
      <c r="E35" s="259"/>
      <c r="F35" s="259"/>
      <c r="G35" s="259"/>
      <c r="H35" s="259"/>
      <c r="I35" s="259"/>
      <c r="J35" s="259"/>
      <c r="K35" s="259"/>
      <c r="L35" s="259"/>
      <c r="M35" s="260"/>
      <c r="N35" s="262"/>
      <c r="O35" s="262"/>
      <c r="P35" s="262"/>
      <c r="Q35" s="262"/>
      <c r="R35" s="262"/>
      <c r="S35" s="262"/>
      <c r="T35" s="262"/>
      <c r="U35" s="262"/>
      <c r="V35" s="262"/>
      <c r="W35" s="262"/>
      <c r="X35" s="262"/>
      <c r="Y35" s="262"/>
      <c r="Z35" s="262"/>
      <c r="AA35" s="262"/>
      <c r="AB35" s="262"/>
      <c r="AC35" s="262"/>
      <c r="AD35" s="262"/>
      <c r="AE35" s="262"/>
      <c r="AF35" s="262"/>
      <c r="AG35" s="262"/>
      <c r="AH35" s="262"/>
      <c r="AI35" s="262"/>
      <c r="AJ35" s="263"/>
      <c r="AK35" s="263"/>
      <c r="AL35" s="263"/>
      <c r="AM35" s="263"/>
      <c r="AN35" s="263"/>
      <c r="AO35" s="263"/>
      <c r="AP35" s="263"/>
      <c r="AQ35" s="263"/>
      <c r="AR35" s="263"/>
      <c r="AS35" s="263"/>
      <c r="AT35" s="263"/>
      <c r="AU35" s="263"/>
      <c r="AV35" s="261"/>
      <c r="AW35" s="27"/>
      <c r="AX35" s="27"/>
      <c r="AY35" s="27"/>
      <c r="AZ35" s="27"/>
      <c r="BA35" s="27"/>
      <c r="BB35" s="27"/>
      <c r="BC35" s="27"/>
      <c r="BD35" s="27"/>
      <c r="BE35" s="27"/>
      <c r="BF35" s="27"/>
      <c r="BG35" s="27"/>
    </row>
    <row r="36" spans="1:68">
      <c r="A36" s="129"/>
      <c r="B36" s="259"/>
      <c r="C36" s="259"/>
      <c r="D36" s="259"/>
      <c r="E36" s="259"/>
      <c r="F36" s="259"/>
      <c r="G36" s="259"/>
      <c r="H36" s="259"/>
      <c r="I36" s="259"/>
      <c r="J36" s="259"/>
      <c r="K36" s="259"/>
      <c r="L36" s="259"/>
      <c r="M36" s="260"/>
      <c r="N36" s="262"/>
      <c r="O36" s="262"/>
      <c r="P36" s="262"/>
      <c r="Q36" s="262"/>
      <c r="R36" s="262"/>
      <c r="S36" s="262"/>
      <c r="T36" s="262"/>
      <c r="U36" s="262"/>
      <c r="V36" s="262"/>
      <c r="W36" s="262"/>
      <c r="X36" s="262"/>
      <c r="Y36" s="262"/>
      <c r="Z36" s="262"/>
      <c r="AA36" s="262"/>
      <c r="AB36" s="262"/>
      <c r="AC36" s="263"/>
      <c r="AD36" s="263"/>
      <c r="AE36" s="263"/>
      <c r="AF36" s="263"/>
      <c r="AG36" s="263"/>
      <c r="AH36" s="263"/>
      <c r="AI36" s="263"/>
      <c r="AJ36" s="263"/>
      <c r="AK36" s="263"/>
      <c r="AL36" s="263"/>
      <c r="AM36" s="263"/>
      <c r="AN36" s="263"/>
      <c r="AO36" s="263"/>
      <c r="AP36" s="263"/>
      <c r="AQ36" s="263"/>
      <c r="AR36" s="263"/>
      <c r="AS36" s="263"/>
      <c r="AT36" s="263"/>
      <c r="AU36" s="263"/>
      <c r="AV36" s="261"/>
      <c r="AW36" s="27"/>
      <c r="AX36" s="27"/>
      <c r="AY36" s="27"/>
      <c r="AZ36" s="27"/>
      <c r="BA36" s="27"/>
      <c r="BB36" s="27"/>
      <c r="BC36" s="27"/>
      <c r="BD36" s="27"/>
      <c r="BE36" s="27"/>
      <c r="BF36" s="27"/>
      <c r="BG36" s="27"/>
      <c r="BH36" s="27"/>
    </row>
    <row r="37" spans="1:68" s="285" customFormat="1">
      <c r="A37" s="282"/>
      <c r="B37" s="283"/>
      <c r="C37" s="283"/>
      <c r="D37" s="283"/>
      <c r="E37" s="283"/>
      <c r="F37" s="283"/>
      <c r="G37" s="283"/>
      <c r="H37" s="283"/>
      <c r="I37" s="283"/>
      <c r="J37" s="283"/>
      <c r="K37" s="283"/>
      <c r="L37" s="283">
        <v>2</v>
      </c>
      <c r="M37" s="283">
        <v>2</v>
      </c>
      <c r="N37" s="283">
        <v>4</v>
      </c>
      <c r="O37" s="283">
        <v>4</v>
      </c>
      <c r="P37" s="283">
        <v>4</v>
      </c>
      <c r="Q37" s="283">
        <v>4</v>
      </c>
      <c r="R37" s="283">
        <v>4</v>
      </c>
      <c r="S37" s="283">
        <v>4</v>
      </c>
      <c r="T37" s="283">
        <v>4</v>
      </c>
      <c r="U37" s="283">
        <v>4</v>
      </c>
      <c r="V37" s="283">
        <v>4</v>
      </c>
      <c r="W37" s="283">
        <v>4</v>
      </c>
      <c r="X37" s="283">
        <v>4</v>
      </c>
      <c r="Y37" s="283">
        <v>4</v>
      </c>
      <c r="Z37" s="283">
        <v>4</v>
      </c>
      <c r="AA37" s="283">
        <v>4</v>
      </c>
      <c r="AB37" s="283">
        <v>4</v>
      </c>
      <c r="AC37" s="283">
        <v>3</v>
      </c>
      <c r="AD37" s="283">
        <v>3</v>
      </c>
      <c r="AE37" s="283">
        <v>3</v>
      </c>
      <c r="AF37" s="283">
        <v>3</v>
      </c>
      <c r="AG37" s="283">
        <v>3</v>
      </c>
      <c r="AH37" s="283">
        <v>3</v>
      </c>
      <c r="AI37" s="283">
        <v>3</v>
      </c>
      <c r="AJ37" s="283">
        <v>2</v>
      </c>
      <c r="AK37" s="283">
        <v>2</v>
      </c>
      <c r="AL37" s="283">
        <v>2</v>
      </c>
      <c r="AM37" s="283">
        <v>2</v>
      </c>
      <c r="AN37" s="283">
        <v>2</v>
      </c>
      <c r="AO37" s="283">
        <v>2</v>
      </c>
      <c r="AP37" s="283">
        <v>2</v>
      </c>
      <c r="AQ37" s="283">
        <v>2</v>
      </c>
      <c r="AR37" s="283">
        <v>2</v>
      </c>
      <c r="AS37" s="283">
        <v>2</v>
      </c>
      <c r="AT37" s="283">
        <v>2</v>
      </c>
      <c r="AU37" s="283">
        <v>2</v>
      </c>
      <c r="AV37" s="283">
        <v>4</v>
      </c>
      <c r="AW37" s="283">
        <v>2</v>
      </c>
      <c r="AX37" s="283">
        <v>2</v>
      </c>
      <c r="AY37" s="283">
        <v>2</v>
      </c>
      <c r="AZ37" s="283">
        <v>2</v>
      </c>
      <c r="BA37" s="283">
        <v>2</v>
      </c>
      <c r="BB37" s="283">
        <v>2</v>
      </c>
      <c r="BC37" s="283">
        <v>2</v>
      </c>
      <c r="BD37" s="283">
        <v>2</v>
      </c>
      <c r="BE37" s="283">
        <v>2</v>
      </c>
      <c r="BF37" s="283">
        <v>2</v>
      </c>
      <c r="BG37" s="283">
        <v>1</v>
      </c>
      <c r="BH37" s="283">
        <v>1</v>
      </c>
      <c r="BI37" s="283">
        <v>1</v>
      </c>
      <c r="BJ37" s="283">
        <v>1</v>
      </c>
      <c r="BK37" s="283">
        <v>1</v>
      </c>
      <c r="BL37" s="283">
        <v>1</v>
      </c>
      <c r="BM37" s="283">
        <v>1</v>
      </c>
      <c r="BN37" s="283"/>
      <c r="BO37" s="283"/>
      <c r="BP37" s="283"/>
    </row>
    <row r="38" spans="1:68" ht="16" thickBot="1">
      <c r="A38" s="91" t="s">
        <v>311</v>
      </c>
      <c r="B38" s="126"/>
      <c r="C38" s="126"/>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26"/>
      <c r="AB38" s="126"/>
      <c r="AC38" s="126"/>
      <c r="AD38" s="126"/>
      <c r="AE38" s="126"/>
      <c r="AF38" s="126"/>
      <c r="AG38" s="126"/>
      <c r="AH38" s="126"/>
      <c r="AI38" s="126"/>
      <c r="AJ38" s="126"/>
      <c r="AK38" s="126"/>
      <c r="AL38" s="126"/>
      <c r="AM38" s="126"/>
      <c r="AN38" s="126"/>
      <c r="AO38" s="126"/>
      <c r="AP38" s="126"/>
      <c r="AQ38" s="126"/>
      <c r="AR38" s="126"/>
      <c r="AS38" s="126"/>
      <c r="AT38" s="126"/>
      <c r="AU38" s="126"/>
      <c r="AV38" s="126"/>
      <c r="AW38" s="126"/>
      <c r="AX38" s="126"/>
      <c r="AY38" s="126"/>
      <c r="AZ38" s="126"/>
      <c r="BA38" s="126"/>
      <c r="BB38" s="126"/>
      <c r="BC38" s="126"/>
      <c r="BD38" s="126"/>
      <c r="BE38" s="126"/>
      <c r="BF38" s="126"/>
      <c r="BG38" s="126"/>
    </row>
    <row r="39" spans="1:68">
      <c r="A39" s="96" t="s">
        <v>204</v>
      </c>
      <c r="B39" s="97"/>
      <c r="C39" s="97"/>
      <c r="D39" s="97"/>
      <c r="E39" s="97"/>
      <c r="F39" s="97"/>
      <c r="G39" s="97"/>
      <c r="H39" s="97"/>
      <c r="I39" s="97"/>
      <c r="J39" s="97"/>
      <c r="K39" s="97"/>
      <c r="L39" s="262"/>
      <c r="M39" s="262"/>
      <c r="N39" s="262"/>
      <c r="O39" s="262"/>
      <c r="P39" s="262"/>
      <c r="Q39" s="262"/>
      <c r="R39" s="262"/>
      <c r="S39" s="262"/>
      <c r="T39" s="262"/>
      <c r="U39" s="262"/>
      <c r="V39" s="262"/>
      <c r="W39" s="262"/>
      <c r="X39" s="262"/>
      <c r="Y39" s="262"/>
      <c r="Z39" s="262"/>
      <c r="AA39" s="262"/>
      <c r="AB39" s="262"/>
      <c r="AC39" s="262"/>
      <c r="AD39" s="262"/>
      <c r="AE39" s="262"/>
      <c r="AF39" s="262"/>
      <c r="AG39" s="262"/>
      <c r="AH39" s="262"/>
      <c r="AI39" s="262"/>
      <c r="AJ39" s="262"/>
      <c r="AK39" s="262"/>
      <c r="AL39" s="262"/>
      <c r="AM39" s="262"/>
      <c r="AN39" s="262"/>
      <c r="AO39" s="262"/>
      <c r="AP39" s="262"/>
      <c r="AQ39" s="262"/>
      <c r="AR39" s="262"/>
      <c r="AS39" s="262"/>
      <c r="AT39" s="262"/>
      <c r="AU39" s="262"/>
      <c r="AV39" s="262"/>
      <c r="AW39" s="27"/>
      <c r="AX39" s="27"/>
      <c r="AY39" s="27"/>
      <c r="AZ39" s="27"/>
      <c r="BA39" s="27"/>
      <c r="BB39" s="27"/>
      <c r="BC39" s="27"/>
      <c r="BD39" s="27"/>
      <c r="BE39" s="27"/>
      <c r="BF39" s="27"/>
      <c r="BG39" s="27"/>
      <c r="BH39" s="27"/>
      <c r="BI39" s="27"/>
    </row>
    <row r="40" spans="1:68">
      <c r="A40" s="129" t="s">
        <v>225</v>
      </c>
      <c r="B40" s="130"/>
      <c r="C40" s="130"/>
      <c r="D40" s="130"/>
      <c r="E40" s="130"/>
      <c r="F40" s="130"/>
      <c r="G40" s="130"/>
      <c r="H40" s="130"/>
      <c r="I40" s="130"/>
      <c r="J40" s="130"/>
      <c r="K40" s="130"/>
      <c r="L40" s="130"/>
      <c r="M40" s="130"/>
      <c r="N40" s="262"/>
      <c r="O40" s="262"/>
      <c r="P40" s="262"/>
      <c r="Q40" s="262"/>
      <c r="R40" s="262"/>
      <c r="S40" s="262"/>
      <c r="T40" s="262"/>
      <c r="U40" s="262"/>
      <c r="V40" s="262"/>
      <c r="W40" s="262"/>
      <c r="X40" s="262"/>
      <c r="Y40" s="262"/>
      <c r="Z40" s="262"/>
      <c r="AA40" s="262"/>
      <c r="AB40" s="262"/>
      <c r="AC40" s="262"/>
      <c r="AD40" s="262"/>
      <c r="AE40" s="262"/>
      <c r="AF40" s="262"/>
      <c r="AG40" s="262"/>
      <c r="AH40" s="262"/>
      <c r="AI40" s="262"/>
      <c r="AJ40" s="130"/>
      <c r="AK40" s="130"/>
      <c r="AL40" s="130"/>
      <c r="AM40" s="130"/>
      <c r="AN40" s="130"/>
      <c r="AO40" s="130"/>
      <c r="AP40" s="130"/>
      <c r="AQ40" s="130"/>
      <c r="AR40" s="130"/>
      <c r="AS40" s="130"/>
      <c r="AT40" s="130"/>
      <c r="AU40" s="130"/>
      <c r="AV40" s="262"/>
      <c r="AW40" s="262"/>
      <c r="AX40" s="262"/>
      <c r="AY40" s="262"/>
      <c r="AZ40" s="262"/>
      <c r="BA40" s="262"/>
      <c r="BB40" s="262"/>
      <c r="BC40" s="262"/>
      <c r="BD40" s="262"/>
      <c r="BE40" s="262"/>
      <c r="BF40" s="261"/>
      <c r="BG40" s="128"/>
    </row>
    <row r="41" spans="1:68">
      <c r="A41" s="129" t="s">
        <v>230</v>
      </c>
      <c r="B41" s="130"/>
      <c r="C41" s="130"/>
      <c r="D41" s="130"/>
      <c r="E41" s="130"/>
      <c r="F41" s="130"/>
      <c r="G41" s="130"/>
      <c r="H41" s="130"/>
      <c r="I41" s="130"/>
      <c r="J41" s="130"/>
      <c r="K41" s="130"/>
      <c r="L41" s="130"/>
      <c r="M41" s="130"/>
      <c r="N41" s="262"/>
      <c r="O41" s="262"/>
      <c r="P41" s="262"/>
      <c r="Q41" s="262"/>
      <c r="R41" s="262"/>
      <c r="S41" s="262"/>
      <c r="T41" s="262"/>
      <c r="U41" s="262"/>
      <c r="V41" s="262"/>
      <c r="W41" s="262"/>
      <c r="X41" s="262"/>
      <c r="Y41" s="262"/>
      <c r="Z41" s="262"/>
      <c r="AA41" s="262"/>
      <c r="AB41" s="262"/>
      <c r="AC41" s="86"/>
      <c r="AD41" s="86"/>
      <c r="AE41" s="86"/>
      <c r="AF41" s="86"/>
      <c r="AG41" s="86"/>
      <c r="AH41" s="86"/>
      <c r="AI41" s="86"/>
      <c r="AJ41" s="86"/>
      <c r="AK41" s="86"/>
      <c r="AL41" s="86"/>
      <c r="AM41" s="86"/>
      <c r="AN41" s="86"/>
      <c r="AO41" s="86"/>
      <c r="AP41" s="86"/>
      <c r="AQ41" s="86"/>
      <c r="AR41" s="86"/>
      <c r="AS41" s="86"/>
      <c r="AT41" s="86"/>
      <c r="AU41" s="86"/>
      <c r="AV41" s="262"/>
      <c r="AW41" s="262"/>
      <c r="AX41" s="262"/>
      <c r="AY41" s="262"/>
      <c r="AZ41" s="262"/>
      <c r="BA41" s="262"/>
      <c r="BB41" s="262"/>
      <c r="BC41" s="262"/>
      <c r="BD41" s="262"/>
      <c r="BE41" s="262"/>
      <c r="BF41" s="261"/>
      <c r="BG41" s="261"/>
      <c r="BH41" s="261"/>
      <c r="BI41" s="261"/>
      <c r="BJ41" s="261"/>
      <c r="BK41" s="261"/>
      <c r="BL41" s="261"/>
      <c r="BM41" s="261"/>
    </row>
    <row r="42" spans="1:68">
      <c r="A42" s="129" t="s">
        <v>237</v>
      </c>
      <c r="B42" s="130"/>
      <c r="C42" s="130"/>
      <c r="D42" s="130"/>
      <c r="E42" s="130"/>
      <c r="F42" s="130"/>
      <c r="G42" s="130"/>
      <c r="H42" s="130"/>
      <c r="I42" s="130"/>
      <c r="J42" s="130"/>
      <c r="K42" s="44"/>
      <c r="L42" s="136"/>
      <c r="M42" s="136"/>
      <c r="N42" s="136"/>
      <c r="O42" s="136"/>
      <c r="P42" s="136"/>
      <c r="Q42" s="136"/>
      <c r="R42" s="130"/>
      <c r="S42" s="130"/>
      <c r="T42" s="130"/>
      <c r="U42" s="130"/>
      <c r="V42" s="130"/>
      <c r="W42" s="130"/>
      <c r="X42" s="130"/>
      <c r="Y42" s="130"/>
      <c r="Z42" s="130"/>
      <c r="AA42" s="130"/>
      <c r="AB42" s="130"/>
      <c r="AC42" s="130"/>
      <c r="AD42" s="262"/>
      <c r="AE42" s="262"/>
      <c r="AF42" s="262"/>
      <c r="AG42" s="262"/>
      <c r="AH42" s="262"/>
      <c r="AI42" s="262"/>
      <c r="AJ42" s="262"/>
      <c r="AK42" s="262"/>
      <c r="AL42" s="262"/>
      <c r="AM42" s="262"/>
      <c r="AN42" s="262"/>
      <c r="AO42" s="262"/>
      <c r="AP42" s="262"/>
      <c r="AQ42" s="262"/>
      <c r="AR42" s="262"/>
      <c r="AS42" s="262"/>
      <c r="AT42" s="262"/>
      <c r="AU42" s="262"/>
      <c r="AV42" s="262"/>
      <c r="AW42" s="262"/>
      <c r="AX42" s="262"/>
      <c r="AY42" s="262"/>
      <c r="AZ42" s="262"/>
      <c r="BA42" s="262"/>
      <c r="BB42" s="262"/>
      <c r="BC42" s="262"/>
      <c r="BD42" s="262"/>
      <c r="BE42" s="262"/>
      <c r="BF42" s="261"/>
      <c r="BG42" s="261"/>
      <c r="BH42" s="261"/>
      <c r="BI42" s="261"/>
      <c r="BJ42" s="261"/>
      <c r="BK42" s="261"/>
      <c r="BL42" s="261"/>
      <c r="BM42" s="261"/>
    </row>
    <row r="43" spans="1:68">
      <c r="A43" s="129" t="s">
        <v>235</v>
      </c>
      <c r="B43" s="130"/>
      <c r="C43" s="130"/>
      <c r="D43" s="130"/>
      <c r="E43" s="130"/>
      <c r="F43" s="130"/>
      <c r="G43" s="130"/>
      <c r="H43" s="130"/>
      <c r="I43" s="130"/>
      <c r="J43" s="130"/>
      <c r="K43" s="130"/>
      <c r="L43" s="262"/>
      <c r="M43" s="262"/>
      <c r="N43" s="262"/>
      <c r="O43" s="262"/>
      <c r="P43" s="262"/>
      <c r="Q43" s="262"/>
      <c r="R43" s="262"/>
      <c r="S43" s="262"/>
      <c r="T43" s="262"/>
      <c r="U43" s="262"/>
      <c r="V43" s="262"/>
      <c r="W43" s="262"/>
      <c r="X43" s="262"/>
      <c r="Y43" s="262"/>
      <c r="Z43" s="262"/>
      <c r="AA43" s="262"/>
      <c r="AB43" s="262"/>
      <c r="AC43" s="262"/>
      <c r="AD43" s="262"/>
      <c r="AE43" s="262"/>
      <c r="AF43" s="262"/>
      <c r="AG43" s="262"/>
      <c r="AH43" s="262"/>
      <c r="AI43" s="262"/>
      <c r="AJ43" s="130"/>
      <c r="AK43" s="130"/>
      <c r="AL43" s="130"/>
      <c r="AM43" s="130"/>
      <c r="AN43" s="130"/>
      <c r="AO43" s="130"/>
      <c r="AP43" s="130"/>
      <c r="AQ43" s="130"/>
      <c r="AR43" s="130"/>
      <c r="AS43" s="130"/>
      <c r="AT43" s="130"/>
      <c r="AU43" s="130"/>
      <c r="AV43" s="130"/>
      <c r="AW43" s="130"/>
      <c r="AX43" s="130"/>
      <c r="AY43" s="130"/>
      <c r="AZ43" s="130"/>
      <c r="BA43" s="130"/>
      <c r="BB43" s="130"/>
      <c r="BC43" s="27"/>
      <c r="BD43" s="27"/>
      <c r="BE43" s="27"/>
      <c r="BF43" s="27"/>
      <c r="BG43" s="27"/>
      <c r="BH43" s="27"/>
      <c r="BI43" s="27"/>
    </row>
    <row r="46" spans="1:68">
      <c r="A46" s="91" t="s">
        <v>311</v>
      </c>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26"/>
      <c r="BA46" s="126"/>
      <c r="BB46" s="126"/>
      <c r="BC46" s="126"/>
      <c r="BD46" s="126"/>
      <c r="BE46" s="126"/>
      <c r="BF46" s="126"/>
      <c r="BG46" s="126"/>
    </row>
    <row r="47" spans="1:68">
      <c r="A47" s="129" t="s">
        <v>225</v>
      </c>
      <c r="B47" s="130"/>
      <c r="C47" s="130"/>
      <c r="D47" s="130"/>
      <c r="E47" s="130"/>
      <c r="F47" s="130"/>
      <c r="G47" s="130"/>
      <c r="H47" s="130"/>
      <c r="I47" s="130"/>
      <c r="J47" s="130"/>
      <c r="K47" s="130"/>
      <c r="L47" s="130"/>
      <c r="M47" s="130"/>
      <c r="N47" s="262"/>
      <c r="O47" s="262"/>
      <c r="P47" s="262"/>
      <c r="Q47" s="262"/>
      <c r="R47" s="262"/>
      <c r="S47" s="262"/>
      <c r="T47" s="262"/>
      <c r="U47" s="262"/>
      <c r="V47" s="262"/>
      <c r="W47" s="262"/>
      <c r="X47" s="262"/>
      <c r="Y47" s="262"/>
      <c r="Z47" s="262"/>
      <c r="AA47" s="262"/>
      <c r="AB47" s="262"/>
      <c r="AC47" s="262"/>
      <c r="AD47" s="262"/>
      <c r="AE47" s="262"/>
      <c r="AF47" s="262"/>
      <c r="AG47" s="262"/>
      <c r="AH47" s="262"/>
      <c r="AI47" s="262"/>
      <c r="AJ47" s="130"/>
      <c r="AK47" s="130"/>
      <c r="AL47" s="130"/>
      <c r="AM47" s="130"/>
      <c r="AN47" s="130"/>
      <c r="AO47" s="130"/>
      <c r="AP47" s="130"/>
      <c r="AQ47" s="130"/>
      <c r="AR47" s="130"/>
      <c r="AS47" s="130"/>
      <c r="AT47" s="130"/>
      <c r="AU47" s="130"/>
      <c r="AV47" s="262"/>
      <c r="AW47" s="262"/>
      <c r="AX47" s="262"/>
      <c r="AY47" s="262"/>
      <c r="AZ47" s="262"/>
      <c r="BA47" s="262"/>
      <c r="BB47" s="262"/>
      <c r="BC47" s="262"/>
      <c r="BD47" s="262"/>
      <c r="BE47" s="262"/>
      <c r="BF47" s="261"/>
      <c r="BG47" s="128"/>
    </row>
    <row r="48" spans="1:68">
      <c r="A48" s="129" t="s">
        <v>235</v>
      </c>
      <c r="B48" s="130"/>
      <c r="C48" s="130"/>
      <c r="D48" s="130"/>
      <c r="E48" s="130"/>
      <c r="F48" s="130"/>
      <c r="G48" s="130"/>
      <c r="H48" s="130"/>
      <c r="I48" s="130"/>
      <c r="J48" s="130"/>
      <c r="K48" s="130"/>
      <c r="L48" s="262"/>
      <c r="M48" s="262"/>
      <c r="N48" s="262"/>
      <c r="O48" s="262"/>
      <c r="P48" s="262"/>
      <c r="Q48" s="262"/>
      <c r="R48" s="262"/>
      <c r="S48" s="262"/>
      <c r="T48" s="262"/>
      <c r="U48" s="262"/>
      <c r="V48" s="262"/>
      <c r="W48" s="262"/>
      <c r="X48" s="262"/>
      <c r="Y48" s="262"/>
      <c r="Z48" s="262"/>
      <c r="AA48" s="262"/>
      <c r="AB48" s="262"/>
      <c r="AC48" s="262"/>
      <c r="AD48" s="262"/>
      <c r="AE48" s="262"/>
      <c r="AF48" s="262"/>
      <c r="AG48" s="262"/>
      <c r="AH48" s="262"/>
      <c r="AI48" s="262"/>
      <c r="AJ48" s="130"/>
      <c r="AK48" s="130"/>
      <c r="AL48" s="130"/>
      <c r="AM48" s="130"/>
      <c r="AN48" s="130"/>
      <c r="AO48" s="130"/>
      <c r="AP48" s="130"/>
      <c r="AQ48" s="130"/>
      <c r="AR48" s="130"/>
      <c r="AS48" s="130"/>
      <c r="AT48" s="130"/>
      <c r="AU48" s="130"/>
      <c r="AV48" s="130"/>
      <c r="AW48" s="130"/>
      <c r="AX48" s="130"/>
      <c r="AY48" s="130"/>
      <c r="AZ48" s="130"/>
      <c r="BA48" s="130"/>
      <c r="BB48" s="130"/>
      <c r="BC48" s="27"/>
      <c r="BD48" s="27"/>
      <c r="BE48" s="27"/>
      <c r="BF48" s="27"/>
      <c r="BG48" s="27"/>
      <c r="BH48" s="27"/>
      <c r="BI48" s="27"/>
    </row>
    <row r="49" spans="1:67">
      <c r="A49" s="129" t="s">
        <v>235</v>
      </c>
      <c r="B49" s="136"/>
      <c r="C49" s="136"/>
      <c r="D49" s="136"/>
      <c r="E49" s="136"/>
      <c r="F49" s="136"/>
      <c r="G49" s="136"/>
      <c r="H49" s="136"/>
      <c r="I49" s="136"/>
      <c r="J49" s="136"/>
      <c r="K49" s="136"/>
      <c r="L49" s="262"/>
      <c r="M49" s="262"/>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130"/>
      <c r="AK49" s="130"/>
      <c r="AL49" s="130"/>
      <c r="AM49" s="130"/>
      <c r="AN49" s="130"/>
      <c r="AO49" s="130"/>
      <c r="AP49" s="130"/>
      <c r="AQ49" s="130"/>
      <c r="AR49" s="130"/>
      <c r="AS49" s="130"/>
      <c r="AT49" s="130"/>
      <c r="AU49" s="130"/>
      <c r="AV49" s="130"/>
      <c r="AW49" s="130"/>
      <c r="AX49" s="130"/>
      <c r="AY49" s="130"/>
      <c r="AZ49" s="130"/>
      <c r="BA49" s="130"/>
      <c r="BB49" s="130"/>
      <c r="BC49" s="27"/>
      <c r="BD49" s="27"/>
      <c r="BE49" s="27"/>
      <c r="BF49" s="27"/>
      <c r="BG49" s="27"/>
      <c r="BH49" s="27"/>
      <c r="BI49" s="27"/>
    </row>
    <row r="50" spans="1:67">
      <c r="A50" s="273" t="s">
        <v>253</v>
      </c>
      <c r="B50" s="272"/>
      <c r="C50" s="272"/>
      <c r="D50" s="272"/>
      <c r="E50" s="272"/>
      <c r="F50" s="272"/>
      <c r="G50" s="272"/>
      <c r="H50" s="272"/>
      <c r="I50" s="272"/>
      <c r="J50" s="272"/>
      <c r="K50" s="27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7"/>
      <c r="AX50" s="27"/>
      <c r="AY50" s="27"/>
      <c r="AZ50" s="27"/>
      <c r="BA50" s="27"/>
      <c r="BB50" s="27"/>
      <c r="BC50" s="27"/>
      <c r="BD50" s="27"/>
      <c r="BE50" s="27"/>
      <c r="BF50" s="27"/>
      <c r="BG50" s="27"/>
      <c r="BH50" s="27"/>
      <c r="BI50" s="27"/>
    </row>
    <row r="51" spans="1:67">
      <c r="A51" s="273" t="s">
        <v>255</v>
      </c>
      <c r="B51" s="274"/>
      <c r="C51" s="274"/>
      <c r="D51" s="274"/>
      <c r="E51" s="274"/>
      <c r="F51" s="274"/>
      <c r="G51" s="274"/>
      <c r="H51" s="281"/>
      <c r="I51" s="281"/>
      <c r="J51" s="281"/>
      <c r="K51" s="281"/>
      <c r="L51" s="281"/>
      <c r="M51" s="281"/>
      <c r="N51" s="281"/>
      <c r="O51" s="281"/>
      <c r="P51" s="281"/>
      <c r="Q51" s="281"/>
      <c r="R51" s="281"/>
      <c r="S51" s="281"/>
      <c r="T51" s="281"/>
      <c r="U51" s="281"/>
      <c r="V51" s="281"/>
      <c r="W51" s="281"/>
      <c r="X51" s="281"/>
      <c r="Y51" s="281"/>
      <c r="Z51" s="262"/>
      <c r="AA51" s="262"/>
      <c r="AB51" s="262"/>
      <c r="AC51" s="262"/>
      <c r="AD51" s="262"/>
      <c r="AE51" s="262"/>
      <c r="AF51" s="262"/>
      <c r="AG51" s="262"/>
      <c r="AH51" s="262"/>
      <c r="AI51" s="262"/>
      <c r="AJ51" s="262"/>
      <c r="AK51" s="262"/>
      <c r="AL51" s="262"/>
      <c r="AM51" s="262"/>
      <c r="AN51" s="262"/>
      <c r="AO51" s="262"/>
      <c r="AP51" s="262"/>
      <c r="AQ51" s="262"/>
      <c r="AR51" s="262"/>
      <c r="AS51" s="262"/>
      <c r="AT51" s="262"/>
      <c r="AU51" s="262"/>
      <c r="AV51" s="262"/>
      <c r="AW51" s="262"/>
      <c r="AX51" s="262"/>
      <c r="AY51" s="262"/>
      <c r="AZ51" s="262"/>
      <c r="BA51" s="262"/>
      <c r="BB51" s="262"/>
      <c r="BC51" s="262"/>
      <c r="BD51" s="262"/>
      <c r="BE51" s="262"/>
      <c r="BF51" s="262"/>
      <c r="BG51" s="86"/>
    </row>
    <row r="52" spans="1:67">
      <c r="A52" s="129" t="s">
        <v>237</v>
      </c>
      <c r="B52" s="130"/>
      <c r="C52" s="130"/>
      <c r="D52" s="130"/>
      <c r="E52" s="130"/>
      <c r="F52" s="130"/>
      <c r="G52" s="130"/>
      <c r="H52" s="130"/>
      <c r="I52" s="130"/>
      <c r="J52" s="130"/>
      <c r="K52" s="44"/>
      <c r="L52" s="136"/>
      <c r="M52" s="136"/>
      <c r="N52" s="136"/>
      <c r="O52" s="136"/>
      <c r="P52" s="136"/>
      <c r="Q52" s="136"/>
      <c r="R52" s="130"/>
      <c r="S52" s="130"/>
      <c r="T52" s="130"/>
      <c r="U52" s="130"/>
      <c r="V52" s="130"/>
      <c r="W52" s="130"/>
      <c r="X52" s="130"/>
      <c r="Y52" s="130"/>
      <c r="Z52" s="130"/>
      <c r="AA52" s="130"/>
      <c r="AB52" s="130"/>
      <c r="AC52" s="130"/>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1"/>
      <c r="BG52" s="261"/>
      <c r="BH52" s="261"/>
      <c r="BI52" s="261"/>
      <c r="BJ52" s="261"/>
      <c r="BK52" s="261"/>
      <c r="BL52" s="261"/>
      <c r="BM52" s="261"/>
    </row>
    <row r="53" spans="1:67">
      <c r="L53" s="85">
        <v>3</v>
      </c>
      <c r="M53" s="85">
        <v>3</v>
      </c>
      <c r="N53" s="85">
        <v>4</v>
      </c>
      <c r="O53" s="85">
        <v>4</v>
      </c>
      <c r="P53" s="85">
        <v>4</v>
      </c>
      <c r="Q53" s="85">
        <v>4</v>
      </c>
      <c r="R53" s="85">
        <v>4</v>
      </c>
      <c r="S53" s="85">
        <v>4</v>
      </c>
      <c r="T53" s="85">
        <v>4</v>
      </c>
      <c r="U53" s="85">
        <v>4</v>
      </c>
      <c r="V53" s="85">
        <v>4</v>
      </c>
      <c r="W53" s="85">
        <v>4</v>
      </c>
      <c r="X53" s="85">
        <v>4</v>
      </c>
      <c r="Y53" s="85">
        <v>4</v>
      </c>
      <c r="Z53" s="85">
        <v>5</v>
      </c>
      <c r="AA53" s="85">
        <v>5</v>
      </c>
      <c r="AB53" s="85">
        <v>5</v>
      </c>
      <c r="AC53" s="85">
        <v>5</v>
      </c>
      <c r="AD53" s="85">
        <v>6</v>
      </c>
      <c r="AE53" s="85">
        <v>6</v>
      </c>
      <c r="AF53" s="85">
        <v>6</v>
      </c>
      <c r="AG53" s="85">
        <v>6</v>
      </c>
      <c r="AH53" s="85">
        <v>6</v>
      </c>
      <c r="AI53" s="85">
        <v>6</v>
      </c>
      <c r="AJ53" s="85">
        <v>3</v>
      </c>
      <c r="AK53" s="85">
        <v>3</v>
      </c>
      <c r="AL53" s="85">
        <v>3</v>
      </c>
      <c r="AM53" s="85">
        <v>3</v>
      </c>
      <c r="AN53" s="85">
        <v>3</v>
      </c>
      <c r="AO53" s="85">
        <v>3</v>
      </c>
      <c r="AP53" s="85">
        <v>3</v>
      </c>
      <c r="AQ53" s="85">
        <v>3</v>
      </c>
      <c r="AR53" s="85">
        <v>3</v>
      </c>
      <c r="AS53" s="85">
        <v>3</v>
      </c>
      <c r="AT53" s="85">
        <v>3</v>
      </c>
      <c r="AU53" s="85">
        <v>3</v>
      </c>
      <c r="AV53" s="85">
        <v>4</v>
      </c>
      <c r="AW53" s="85">
        <v>3</v>
      </c>
      <c r="AX53" s="85">
        <v>3</v>
      </c>
      <c r="AY53" s="85">
        <v>3</v>
      </c>
      <c r="AZ53" s="85">
        <v>3</v>
      </c>
      <c r="BA53" s="85">
        <v>3</v>
      </c>
      <c r="BB53" s="85">
        <v>3</v>
      </c>
      <c r="BC53" s="85">
        <v>3</v>
      </c>
      <c r="BD53" s="85">
        <v>3</v>
      </c>
      <c r="BE53" s="85">
        <v>3</v>
      </c>
      <c r="BF53" s="85">
        <v>3</v>
      </c>
      <c r="BG53" s="85">
        <v>1</v>
      </c>
      <c r="BH53" s="85">
        <v>1</v>
      </c>
      <c r="BI53" s="85">
        <v>1</v>
      </c>
      <c r="BJ53" s="85">
        <v>1</v>
      </c>
      <c r="BK53" s="85">
        <v>1</v>
      </c>
      <c r="BL53" s="85">
        <v>1</v>
      </c>
      <c r="BM53" s="85">
        <v>1</v>
      </c>
    </row>
    <row r="54" spans="1:67">
      <c r="L54" s="85">
        <f>L53-L37</f>
        <v>1</v>
      </c>
      <c r="M54" s="85">
        <f t="shared" ref="M54:BM54" si="0">M53-M37</f>
        <v>1</v>
      </c>
      <c r="N54" s="85">
        <f t="shared" si="0"/>
        <v>0</v>
      </c>
      <c r="O54" s="85">
        <f t="shared" si="0"/>
        <v>0</v>
      </c>
      <c r="P54" s="85">
        <f t="shared" si="0"/>
        <v>0</v>
      </c>
      <c r="Q54" s="85">
        <f t="shared" si="0"/>
        <v>0</v>
      </c>
      <c r="R54" s="85">
        <f t="shared" si="0"/>
        <v>0</v>
      </c>
      <c r="S54" s="85">
        <f t="shared" si="0"/>
        <v>0</v>
      </c>
      <c r="T54" s="85">
        <f t="shared" si="0"/>
        <v>0</v>
      </c>
      <c r="U54" s="85">
        <f t="shared" si="0"/>
        <v>0</v>
      </c>
      <c r="V54" s="85">
        <f t="shared" si="0"/>
        <v>0</v>
      </c>
      <c r="W54" s="85">
        <f t="shared" si="0"/>
        <v>0</v>
      </c>
      <c r="X54" s="85">
        <f t="shared" si="0"/>
        <v>0</v>
      </c>
      <c r="Y54" s="85">
        <f t="shared" si="0"/>
        <v>0</v>
      </c>
      <c r="Z54" s="85">
        <f t="shared" si="0"/>
        <v>1</v>
      </c>
      <c r="AA54" s="85">
        <f t="shared" si="0"/>
        <v>1</v>
      </c>
      <c r="AB54" s="85">
        <f t="shared" si="0"/>
        <v>1</v>
      </c>
      <c r="AC54" s="85">
        <f t="shared" si="0"/>
        <v>2</v>
      </c>
      <c r="AD54" s="85">
        <f t="shared" si="0"/>
        <v>3</v>
      </c>
      <c r="AE54" s="85">
        <f t="shared" si="0"/>
        <v>3</v>
      </c>
      <c r="AF54" s="85">
        <f t="shared" si="0"/>
        <v>3</v>
      </c>
      <c r="AG54" s="85">
        <f t="shared" si="0"/>
        <v>3</v>
      </c>
      <c r="AH54" s="85">
        <f t="shared" si="0"/>
        <v>3</v>
      </c>
      <c r="AI54" s="85">
        <f t="shared" si="0"/>
        <v>3</v>
      </c>
      <c r="AJ54" s="85">
        <f t="shared" si="0"/>
        <v>1</v>
      </c>
      <c r="AK54" s="85">
        <f t="shared" si="0"/>
        <v>1</v>
      </c>
      <c r="AL54" s="85">
        <f t="shared" si="0"/>
        <v>1</v>
      </c>
      <c r="AM54" s="85">
        <f t="shared" si="0"/>
        <v>1</v>
      </c>
      <c r="AN54" s="85">
        <f t="shared" si="0"/>
        <v>1</v>
      </c>
      <c r="AO54" s="85">
        <f t="shared" si="0"/>
        <v>1</v>
      </c>
      <c r="AP54" s="85">
        <f t="shared" si="0"/>
        <v>1</v>
      </c>
      <c r="AQ54" s="85">
        <f t="shared" si="0"/>
        <v>1</v>
      </c>
      <c r="AR54" s="85">
        <f t="shared" si="0"/>
        <v>1</v>
      </c>
      <c r="AS54" s="85">
        <f t="shared" si="0"/>
        <v>1</v>
      </c>
      <c r="AT54" s="85">
        <f t="shared" si="0"/>
        <v>1</v>
      </c>
      <c r="AU54" s="85">
        <f t="shared" si="0"/>
        <v>1</v>
      </c>
      <c r="AV54" s="85">
        <f t="shared" si="0"/>
        <v>0</v>
      </c>
      <c r="AW54" s="85">
        <f t="shared" si="0"/>
        <v>1</v>
      </c>
      <c r="AX54" s="85">
        <f t="shared" si="0"/>
        <v>1</v>
      </c>
      <c r="AY54" s="85">
        <f t="shared" si="0"/>
        <v>1</v>
      </c>
      <c r="AZ54" s="85">
        <f t="shared" si="0"/>
        <v>1</v>
      </c>
      <c r="BA54" s="85">
        <f t="shared" si="0"/>
        <v>1</v>
      </c>
      <c r="BB54" s="85">
        <f t="shared" si="0"/>
        <v>1</v>
      </c>
      <c r="BC54" s="85">
        <f t="shared" si="0"/>
        <v>1</v>
      </c>
      <c r="BD54" s="85">
        <f t="shared" si="0"/>
        <v>1</v>
      </c>
      <c r="BE54" s="85">
        <f t="shared" si="0"/>
        <v>1</v>
      </c>
      <c r="BF54" s="85">
        <f t="shared" si="0"/>
        <v>1</v>
      </c>
      <c r="BG54" s="85">
        <f t="shared" si="0"/>
        <v>0</v>
      </c>
      <c r="BH54" s="85">
        <f t="shared" si="0"/>
        <v>0</v>
      </c>
      <c r="BI54" s="85">
        <f t="shared" si="0"/>
        <v>0</v>
      </c>
      <c r="BJ54" s="85">
        <f t="shared" si="0"/>
        <v>0</v>
      </c>
      <c r="BK54" s="85">
        <f t="shared" si="0"/>
        <v>0</v>
      </c>
      <c r="BL54" s="85">
        <f t="shared" si="0"/>
        <v>0</v>
      </c>
      <c r="BM54" s="85">
        <f t="shared" si="0"/>
        <v>0</v>
      </c>
    </row>
    <row r="56" spans="1:67">
      <c r="B56" s="87">
        <v>0</v>
      </c>
      <c r="C56" s="87">
        <v>1</v>
      </c>
      <c r="D56" s="87">
        <v>2</v>
      </c>
      <c r="E56" s="87">
        <v>3</v>
      </c>
      <c r="F56" s="87">
        <v>4</v>
      </c>
      <c r="G56" s="87">
        <v>5</v>
      </c>
      <c r="H56" s="88">
        <v>6</v>
      </c>
      <c r="I56" s="89"/>
      <c r="J56" s="89"/>
      <c r="K56" s="90"/>
      <c r="L56" s="88">
        <v>7</v>
      </c>
      <c r="M56" s="89"/>
      <c r="N56" s="89"/>
      <c r="O56" s="90"/>
      <c r="P56" s="88">
        <v>8</v>
      </c>
      <c r="Q56" s="89"/>
      <c r="R56" s="89"/>
      <c r="S56" s="90"/>
      <c r="T56" s="88">
        <v>9</v>
      </c>
      <c r="U56" s="89"/>
      <c r="V56" s="89"/>
      <c r="W56" s="90"/>
      <c r="X56" s="88">
        <v>10</v>
      </c>
      <c r="Y56" s="89"/>
      <c r="Z56" s="89"/>
      <c r="AA56" s="90"/>
      <c r="AB56" s="88">
        <v>11</v>
      </c>
      <c r="AC56" s="89"/>
      <c r="AD56" s="89"/>
      <c r="AE56" s="90"/>
      <c r="AF56" s="88">
        <v>12</v>
      </c>
      <c r="AG56" s="89"/>
      <c r="AH56" s="89"/>
      <c r="AI56" s="90"/>
      <c r="AJ56" s="88">
        <v>13</v>
      </c>
      <c r="AK56" s="89"/>
      <c r="AL56" s="89"/>
      <c r="AM56" s="90"/>
      <c r="AN56" s="88">
        <v>14</v>
      </c>
      <c r="AO56" s="89"/>
      <c r="AP56" s="89"/>
      <c r="AQ56" s="90"/>
      <c r="AR56" s="88">
        <v>15</v>
      </c>
      <c r="AS56" s="89"/>
      <c r="AT56" s="89"/>
      <c r="AU56" s="90"/>
      <c r="AV56" s="88">
        <v>16</v>
      </c>
      <c r="AW56" s="89"/>
      <c r="AX56" s="89"/>
      <c r="AY56" s="90"/>
      <c r="AZ56" s="88">
        <v>17</v>
      </c>
      <c r="BA56" s="89"/>
      <c r="BB56" s="89"/>
      <c r="BC56" s="90"/>
      <c r="BD56" s="88">
        <v>18</v>
      </c>
      <c r="BE56" s="89"/>
      <c r="BF56" s="89"/>
      <c r="BG56" s="90"/>
      <c r="BH56" s="88">
        <v>19</v>
      </c>
      <c r="BI56" s="89"/>
      <c r="BJ56" s="89"/>
      <c r="BK56" s="90"/>
      <c r="BL56" s="88">
        <v>20</v>
      </c>
      <c r="BM56" s="89"/>
      <c r="BN56" s="89"/>
      <c r="BO56" s="90"/>
    </row>
    <row r="57" spans="1:67" ht="16" thickBot="1">
      <c r="A57" s="91" t="s">
        <v>310</v>
      </c>
      <c r="B57" s="92"/>
      <c r="C57" s="92"/>
      <c r="D57" s="92"/>
      <c r="E57" s="92"/>
      <c r="F57" s="92"/>
      <c r="G57" s="92"/>
      <c r="H57" s="93">
        <v>0</v>
      </c>
      <c r="I57" s="94">
        <v>15</v>
      </c>
      <c r="J57" s="94">
        <v>30</v>
      </c>
      <c r="K57" s="95">
        <v>45</v>
      </c>
      <c r="L57" s="93">
        <v>0</v>
      </c>
      <c r="M57" s="94">
        <v>15</v>
      </c>
      <c r="N57" s="94">
        <v>30</v>
      </c>
      <c r="O57" s="95">
        <v>45</v>
      </c>
      <c r="P57" s="93">
        <v>0</v>
      </c>
      <c r="Q57" s="94">
        <v>15</v>
      </c>
      <c r="R57" s="94">
        <v>30</v>
      </c>
      <c r="S57" s="95">
        <v>45</v>
      </c>
      <c r="T57" s="93">
        <v>0</v>
      </c>
      <c r="U57" s="94">
        <v>15</v>
      </c>
      <c r="V57" s="94">
        <v>30</v>
      </c>
      <c r="W57" s="95">
        <v>45</v>
      </c>
      <c r="X57" s="93">
        <v>0</v>
      </c>
      <c r="Y57" s="94">
        <v>15</v>
      </c>
      <c r="Z57" s="94">
        <v>30</v>
      </c>
      <c r="AA57" s="95">
        <v>45</v>
      </c>
      <c r="AB57" s="93">
        <v>0</v>
      </c>
      <c r="AC57" s="94">
        <v>15</v>
      </c>
      <c r="AD57" s="94">
        <v>30</v>
      </c>
      <c r="AE57" s="95">
        <v>45</v>
      </c>
      <c r="AF57" s="93">
        <v>0</v>
      </c>
      <c r="AG57" s="94">
        <v>15</v>
      </c>
      <c r="AH57" s="94">
        <v>30</v>
      </c>
      <c r="AI57" s="95">
        <v>45</v>
      </c>
      <c r="AJ57" s="93">
        <v>0</v>
      </c>
      <c r="AK57" s="94">
        <v>15</v>
      </c>
      <c r="AL57" s="94">
        <v>30</v>
      </c>
      <c r="AM57" s="95">
        <v>45</v>
      </c>
      <c r="AN57" s="93">
        <v>0</v>
      </c>
      <c r="AO57" s="94">
        <v>15</v>
      </c>
      <c r="AP57" s="94">
        <v>30</v>
      </c>
      <c r="AQ57" s="95">
        <v>45</v>
      </c>
      <c r="AR57" s="93">
        <v>0</v>
      </c>
      <c r="AS57" s="94">
        <v>15</v>
      </c>
      <c r="AT57" s="94">
        <v>30</v>
      </c>
      <c r="AU57" s="95">
        <v>45</v>
      </c>
      <c r="AV57" s="93">
        <v>0</v>
      </c>
      <c r="AW57" s="94">
        <v>15</v>
      </c>
      <c r="AX57" s="94">
        <v>30</v>
      </c>
      <c r="AY57" s="95">
        <v>45</v>
      </c>
      <c r="AZ57" s="93">
        <v>0</v>
      </c>
      <c r="BA57" s="94">
        <v>15</v>
      </c>
      <c r="BB57" s="94">
        <v>30</v>
      </c>
      <c r="BC57" s="95">
        <v>45</v>
      </c>
      <c r="BD57" s="93">
        <v>0</v>
      </c>
      <c r="BE57" s="94">
        <v>15</v>
      </c>
      <c r="BF57" s="94">
        <v>30</v>
      </c>
      <c r="BG57" s="95">
        <v>45</v>
      </c>
      <c r="BH57" s="93">
        <v>0</v>
      </c>
      <c r="BI57" s="94">
        <v>15</v>
      </c>
      <c r="BJ57" s="94">
        <v>30</v>
      </c>
      <c r="BK57" s="95">
        <v>45</v>
      </c>
      <c r="BL57" s="93">
        <v>0</v>
      </c>
      <c r="BM57" s="94">
        <v>15</v>
      </c>
      <c r="BN57" s="94">
        <v>30</v>
      </c>
      <c r="BO57" s="95">
        <v>45</v>
      </c>
    </row>
    <row r="58" spans="1:67">
      <c r="A58" s="96"/>
      <c r="B58" s="259"/>
      <c r="C58" s="259"/>
      <c r="D58" s="259"/>
      <c r="E58" s="259"/>
      <c r="F58" s="259"/>
      <c r="G58" s="259"/>
      <c r="H58" s="268"/>
      <c r="I58" s="268"/>
      <c r="J58" s="268"/>
      <c r="K58" s="268"/>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8"/>
      <c r="AY58" s="268"/>
      <c r="AZ58" s="268"/>
      <c r="BA58" s="268"/>
      <c r="BB58" s="268"/>
      <c r="BC58" s="268"/>
      <c r="BD58" s="268"/>
      <c r="BE58" s="268"/>
      <c r="BF58" s="269"/>
      <c r="BG58" s="269"/>
      <c r="BH58" s="270"/>
      <c r="BI58" s="270"/>
      <c r="BJ58" s="270"/>
      <c r="BK58" s="270"/>
      <c r="BL58" s="270"/>
      <c r="BM58" s="270"/>
      <c r="BN58" s="271"/>
      <c r="BO58" s="271"/>
    </row>
    <row r="62" spans="1:67">
      <c r="B62" s="276">
        <v>0</v>
      </c>
      <c r="C62" s="276">
        <v>1</v>
      </c>
      <c r="D62" s="276">
        <v>2</v>
      </c>
      <c r="E62" s="276">
        <v>3</v>
      </c>
      <c r="F62" s="276">
        <v>4</v>
      </c>
      <c r="G62" s="276">
        <v>5</v>
      </c>
      <c r="H62" s="277">
        <v>6</v>
      </c>
      <c r="I62" s="278"/>
      <c r="J62" s="278"/>
      <c r="K62" s="279"/>
      <c r="L62" s="277">
        <v>7</v>
      </c>
      <c r="M62" s="278"/>
      <c r="N62" s="278"/>
      <c r="O62" s="279"/>
      <c r="P62" s="277">
        <v>8</v>
      </c>
      <c r="Q62" s="278"/>
      <c r="R62" s="278"/>
      <c r="S62" s="279"/>
      <c r="T62" s="277">
        <v>9</v>
      </c>
      <c r="U62" s="278"/>
      <c r="V62" s="278"/>
      <c r="W62" s="279"/>
      <c r="X62" s="277">
        <v>10</v>
      </c>
      <c r="Y62" s="278"/>
      <c r="Z62" s="278"/>
      <c r="AA62" s="279"/>
      <c r="AB62" s="277">
        <v>11</v>
      </c>
      <c r="AC62" s="278"/>
      <c r="AD62" s="278"/>
      <c r="AE62" s="279"/>
      <c r="AF62" s="277">
        <v>12</v>
      </c>
      <c r="AG62" s="278"/>
      <c r="AH62" s="278"/>
      <c r="AI62" s="279"/>
      <c r="AJ62" s="277">
        <v>13</v>
      </c>
      <c r="AK62" s="278"/>
      <c r="AL62" s="278"/>
      <c r="AM62" s="279"/>
      <c r="AN62" s="277">
        <v>14</v>
      </c>
      <c r="AO62" s="278"/>
      <c r="AP62" s="278"/>
      <c r="AQ62" s="279"/>
      <c r="AR62" s="277">
        <v>15</v>
      </c>
      <c r="AS62" s="278"/>
      <c r="AT62" s="278"/>
      <c r="AU62" s="279"/>
      <c r="AV62" s="277">
        <v>16</v>
      </c>
      <c r="AW62" s="278"/>
      <c r="AX62" s="278"/>
      <c r="AY62" s="279"/>
      <c r="AZ62" s="277">
        <v>17</v>
      </c>
      <c r="BA62" s="278"/>
      <c r="BB62" s="278"/>
      <c r="BC62" s="279"/>
      <c r="BD62" s="277">
        <v>18</v>
      </c>
      <c r="BE62" s="278"/>
      <c r="BF62" s="278"/>
      <c r="BG62" s="279"/>
      <c r="BH62" s="277">
        <v>19</v>
      </c>
      <c r="BI62" s="278"/>
      <c r="BJ62" s="278"/>
      <c r="BK62" s="279"/>
      <c r="BL62" s="277">
        <v>20</v>
      </c>
      <c r="BM62" s="278"/>
      <c r="BN62" s="278"/>
      <c r="BO62" s="279"/>
    </row>
    <row r="63" spans="1:67">
      <c r="A63" s="280" t="s">
        <v>311</v>
      </c>
      <c r="B63" s="274"/>
      <c r="C63" s="274"/>
      <c r="D63" s="274"/>
      <c r="E63" s="274"/>
      <c r="F63" s="274"/>
      <c r="G63" s="274"/>
      <c r="H63" s="281">
        <v>0</v>
      </c>
      <c r="I63" s="281">
        <v>15</v>
      </c>
      <c r="J63" s="281">
        <v>30</v>
      </c>
      <c r="K63" s="281">
        <v>45</v>
      </c>
      <c r="L63" s="281">
        <v>0</v>
      </c>
      <c r="M63" s="281">
        <v>15</v>
      </c>
      <c r="N63" s="281">
        <v>30</v>
      </c>
      <c r="O63" s="281">
        <v>45</v>
      </c>
      <c r="P63" s="281">
        <v>0</v>
      </c>
      <c r="Q63" s="281">
        <v>15</v>
      </c>
      <c r="R63" s="281">
        <v>30</v>
      </c>
      <c r="S63" s="281">
        <v>45</v>
      </c>
      <c r="T63" s="281">
        <v>0</v>
      </c>
      <c r="U63" s="281">
        <v>15</v>
      </c>
      <c r="V63" s="281">
        <v>30</v>
      </c>
      <c r="W63" s="281">
        <v>45</v>
      </c>
      <c r="X63" s="281">
        <v>0</v>
      </c>
      <c r="Y63" s="281">
        <v>15</v>
      </c>
      <c r="Z63" s="281">
        <v>30</v>
      </c>
      <c r="AA63" s="281">
        <v>45</v>
      </c>
      <c r="AB63" s="281">
        <v>0</v>
      </c>
      <c r="AC63" s="281">
        <v>15</v>
      </c>
      <c r="AD63" s="281">
        <v>30</v>
      </c>
      <c r="AE63" s="281">
        <v>45</v>
      </c>
      <c r="AF63" s="281">
        <v>0</v>
      </c>
      <c r="AG63" s="281">
        <v>15</v>
      </c>
      <c r="AH63" s="281">
        <v>30</v>
      </c>
      <c r="AI63" s="281">
        <v>45</v>
      </c>
      <c r="AJ63" s="281">
        <v>0</v>
      </c>
      <c r="AK63" s="281">
        <v>15</v>
      </c>
      <c r="AL63" s="281">
        <v>30</v>
      </c>
      <c r="AM63" s="281">
        <v>45</v>
      </c>
      <c r="AN63" s="281">
        <v>0</v>
      </c>
      <c r="AO63" s="281">
        <v>15</v>
      </c>
      <c r="AP63" s="281">
        <v>30</v>
      </c>
      <c r="AQ63" s="281">
        <v>45</v>
      </c>
      <c r="AR63" s="281">
        <v>0</v>
      </c>
      <c r="AS63" s="281">
        <v>15</v>
      </c>
      <c r="AT63" s="281">
        <v>30</v>
      </c>
      <c r="AU63" s="281">
        <v>45</v>
      </c>
      <c r="AV63" s="281">
        <v>0</v>
      </c>
      <c r="AW63" s="281">
        <v>15</v>
      </c>
      <c r="AX63" s="281">
        <v>30</v>
      </c>
      <c r="AY63" s="281">
        <v>45</v>
      </c>
      <c r="AZ63" s="281">
        <v>0</v>
      </c>
      <c r="BA63" s="281">
        <v>15</v>
      </c>
      <c r="BB63" s="281">
        <v>30</v>
      </c>
      <c r="BC63" s="281">
        <v>45</v>
      </c>
      <c r="BD63" s="281">
        <v>0</v>
      </c>
      <c r="BE63" s="281">
        <v>15</v>
      </c>
      <c r="BF63" s="281">
        <v>30</v>
      </c>
      <c r="BG63" s="281">
        <v>45</v>
      </c>
      <c r="BH63" s="281">
        <v>0</v>
      </c>
      <c r="BI63" s="281">
        <v>15</v>
      </c>
      <c r="BJ63" s="281">
        <v>30</v>
      </c>
      <c r="BK63" s="281">
        <v>45</v>
      </c>
      <c r="BL63" s="281">
        <v>0</v>
      </c>
      <c r="BM63" s="281">
        <v>15</v>
      </c>
      <c r="BN63" s="281">
        <v>30</v>
      </c>
      <c r="BO63" s="281">
        <v>45</v>
      </c>
    </row>
    <row r="64" spans="1:67">
      <c r="A64" s="273" t="s">
        <v>204</v>
      </c>
      <c r="B64" s="272"/>
      <c r="C64" s="272"/>
      <c r="D64" s="272"/>
      <c r="E64" s="272"/>
      <c r="F64" s="272"/>
      <c r="G64" s="272"/>
      <c r="H64" s="272"/>
      <c r="I64" s="272"/>
      <c r="J64" s="272"/>
      <c r="K64" s="27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74"/>
      <c r="AX64" s="274"/>
      <c r="AY64" s="274"/>
      <c r="AZ64" s="274"/>
      <c r="BA64" s="274"/>
      <c r="BB64" s="274"/>
      <c r="BC64" s="274"/>
      <c r="BD64" s="274"/>
      <c r="BE64" s="274"/>
      <c r="BF64" s="274"/>
      <c r="BG64" s="274"/>
      <c r="BH64" s="274"/>
      <c r="BI64" s="274"/>
      <c r="BJ64" s="274"/>
      <c r="BK64" s="274"/>
      <c r="BL64" s="274"/>
      <c r="BM64" s="274"/>
      <c r="BN64" s="274"/>
      <c r="BO64" s="274"/>
    </row>
    <row r="65" spans="1:67">
      <c r="A65" s="273" t="s">
        <v>204</v>
      </c>
      <c r="B65" s="272"/>
      <c r="C65" s="272"/>
      <c r="D65" s="272"/>
      <c r="E65" s="272"/>
      <c r="F65" s="272"/>
      <c r="G65" s="272"/>
      <c r="H65" s="272"/>
      <c r="I65" s="272"/>
      <c r="J65" s="272"/>
      <c r="K65" s="27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74"/>
      <c r="AX65" s="274"/>
      <c r="AY65" s="274"/>
      <c r="AZ65" s="274"/>
      <c r="BA65" s="274"/>
      <c r="BB65" s="274"/>
      <c r="BC65" s="274"/>
      <c r="BD65" s="274"/>
      <c r="BE65" s="274"/>
      <c r="BF65" s="274"/>
      <c r="BG65" s="274"/>
      <c r="BH65" s="274"/>
      <c r="BI65" s="274"/>
      <c r="BJ65" s="274"/>
      <c r="BK65" s="274"/>
      <c r="BL65" s="274"/>
      <c r="BM65" s="274"/>
      <c r="BN65" s="274"/>
      <c r="BO65" s="274"/>
    </row>
    <row r="66" spans="1:67">
      <c r="A66" s="273" t="s">
        <v>225</v>
      </c>
      <c r="B66" s="272"/>
      <c r="C66" s="272"/>
      <c r="D66" s="272"/>
      <c r="E66" s="272"/>
      <c r="F66" s="272"/>
      <c r="G66" s="272"/>
      <c r="H66" s="272"/>
      <c r="I66" s="272"/>
      <c r="J66" s="272"/>
      <c r="K66" s="272"/>
      <c r="L66" s="272"/>
      <c r="M66" s="272"/>
      <c r="N66" s="262"/>
      <c r="O66" s="262"/>
      <c r="P66" s="262"/>
      <c r="Q66" s="262"/>
      <c r="R66" s="262"/>
      <c r="S66" s="262"/>
      <c r="T66" s="262"/>
      <c r="U66" s="262"/>
      <c r="V66" s="262"/>
      <c r="W66" s="262"/>
      <c r="X66" s="262"/>
      <c r="Y66" s="262"/>
      <c r="Z66" s="262"/>
      <c r="AA66" s="262"/>
      <c r="AB66" s="262"/>
      <c r="AC66" s="262"/>
      <c r="AD66" s="262"/>
      <c r="AE66" s="262"/>
      <c r="AF66" s="262"/>
      <c r="AG66" s="262"/>
      <c r="AH66" s="262"/>
      <c r="AI66" s="262"/>
      <c r="AJ66" s="272"/>
      <c r="AK66" s="272"/>
      <c r="AL66" s="272"/>
      <c r="AM66" s="272"/>
      <c r="AN66" s="272"/>
      <c r="AO66" s="272"/>
      <c r="AP66" s="272"/>
      <c r="AQ66" s="272"/>
      <c r="AR66" s="272"/>
      <c r="AS66" s="272"/>
      <c r="AT66" s="272"/>
      <c r="AU66" s="272"/>
      <c r="AV66" s="262"/>
      <c r="AW66" s="262"/>
      <c r="AX66" s="262"/>
      <c r="AY66" s="262"/>
      <c r="AZ66" s="262"/>
      <c r="BA66" s="262"/>
      <c r="BB66" s="262"/>
      <c r="BC66" s="262"/>
      <c r="BD66" s="262"/>
      <c r="BE66" s="262"/>
      <c r="BF66" s="262"/>
      <c r="BG66" s="272"/>
      <c r="BH66" s="275"/>
      <c r="BI66" s="275"/>
      <c r="BJ66" s="274"/>
      <c r="BK66" s="274"/>
      <c r="BL66" s="274"/>
      <c r="BM66" s="274"/>
      <c r="BN66" s="274"/>
      <c r="BO66" s="274"/>
    </row>
    <row r="67" spans="1:67">
      <c r="A67" s="273" t="s">
        <v>230</v>
      </c>
      <c r="B67" s="272"/>
      <c r="C67" s="272"/>
      <c r="D67" s="272"/>
      <c r="E67" s="272"/>
      <c r="F67" s="272"/>
      <c r="G67" s="272"/>
      <c r="H67" s="272"/>
      <c r="I67" s="272"/>
      <c r="J67" s="272"/>
      <c r="K67" s="272"/>
      <c r="L67" s="272"/>
      <c r="M67" s="272"/>
      <c r="N67" s="262"/>
      <c r="O67" s="262"/>
      <c r="P67" s="262"/>
      <c r="Q67" s="262"/>
      <c r="R67" s="262"/>
      <c r="S67" s="262"/>
      <c r="T67" s="262"/>
      <c r="U67" s="262"/>
      <c r="V67" s="262"/>
      <c r="W67" s="262"/>
      <c r="X67" s="262"/>
      <c r="Y67" s="262"/>
      <c r="Z67" s="262"/>
      <c r="AA67" s="262"/>
      <c r="AB67" s="262"/>
      <c r="AC67" s="275"/>
      <c r="AD67" s="275"/>
      <c r="AE67" s="275"/>
      <c r="AF67" s="275"/>
      <c r="AG67" s="275"/>
      <c r="AH67" s="275"/>
      <c r="AI67" s="275"/>
      <c r="AJ67" s="275"/>
      <c r="AK67" s="275"/>
      <c r="AL67" s="275"/>
      <c r="AM67" s="275"/>
      <c r="AN67" s="275"/>
      <c r="AO67" s="275"/>
      <c r="AP67" s="275"/>
      <c r="AQ67" s="275"/>
      <c r="AR67" s="275"/>
      <c r="AS67" s="275"/>
      <c r="AT67" s="275"/>
      <c r="AU67" s="275"/>
      <c r="AV67" s="262"/>
      <c r="AW67" s="262"/>
      <c r="AX67" s="262"/>
      <c r="AY67" s="262"/>
      <c r="AZ67" s="262"/>
      <c r="BA67" s="262"/>
      <c r="BB67" s="262"/>
      <c r="BC67" s="262"/>
      <c r="BD67" s="262"/>
      <c r="BE67" s="262"/>
      <c r="BF67" s="262"/>
      <c r="BG67" s="262"/>
      <c r="BH67" s="262"/>
      <c r="BI67" s="262"/>
      <c r="BJ67" s="262"/>
      <c r="BK67" s="262"/>
      <c r="BL67" s="262"/>
      <c r="BM67" s="262"/>
      <c r="BN67" s="274"/>
      <c r="BO67" s="274"/>
    </row>
    <row r="68" spans="1:67" s="285" customFormat="1">
      <c r="A68" s="282"/>
      <c r="B68" s="283"/>
      <c r="C68" s="283"/>
      <c r="D68" s="283"/>
      <c r="E68" s="283"/>
      <c r="F68" s="283"/>
      <c r="G68" s="283"/>
      <c r="H68" s="283"/>
      <c r="I68" s="283"/>
      <c r="J68" s="283"/>
      <c r="K68" s="283"/>
      <c r="L68" s="283"/>
      <c r="M68" s="283"/>
      <c r="N68" s="283"/>
      <c r="O68" s="283"/>
      <c r="P68" s="283"/>
      <c r="Q68" s="283"/>
      <c r="R68" s="283"/>
      <c r="S68" s="283"/>
      <c r="T68" s="283"/>
      <c r="U68" s="283"/>
      <c r="V68" s="283"/>
      <c r="W68" s="283"/>
      <c r="X68" s="283"/>
      <c r="Y68" s="283"/>
      <c r="Z68" s="283"/>
      <c r="AA68" s="283"/>
      <c r="AB68" s="283"/>
      <c r="AC68" s="284"/>
      <c r="AD68" s="284"/>
      <c r="AE68" s="284"/>
      <c r="AF68" s="284"/>
      <c r="AG68" s="284"/>
      <c r="AH68" s="284"/>
      <c r="AI68" s="284"/>
      <c r="AJ68" s="284"/>
      <c r="AK68" s="284"/>
      <c r="AL68" s="284"/>
      <c r="AM68" s="284"/>
      <c r="AN68" s="284"/>
      <c r="AO68" s="284"/>
      <c r="AP68" s="284"/>
      <c r="AQ68" s="284"/>
      <c r="AR68" s="284"/>
      <c r="AS68" s="284"/>
      <c r="AT68" s="284"/>
      <c r="AU68" s="284"/>
      <c r="AV68" s="283"/>
      <c r="AW68" s="283"/>
      <c r="AX68" s="283"/>
      <c r="AY68" s="283"/>
      <c r="AZ68" s="283"/>
      <c r="BA68" s="283"/>
      <c r="BB68" s="283"/>
      <c r="BC68" s="283"/>
      <c r="BD68" s="283"/>
      <c r="BE68" s="283"/>
      <c r="BF68" s="283"/>
      <c r="BG68" s="283"/>
      <c r="BH68" s="283"/>
      <c r="BI68" s="283"/>
      <c r="BJ68" s="283"/>
      <c r="BK68" s="283"/>
      <c r="BL68" s="283"/>
      <c r="BM68" s="283"/>
    </row>
    <row r="69" spans="1:67">
      <c r="B69" s="276">
        <v>0</v>
      </c>
      <c r="C69" s="276">
        <v>1</v>
      </c>
      <c r="D69" s="276">
        <v>2</v>
      </c>
      <c r="E69" s="276">
        <v>3</v>
      </c>
      <c r="F69" s="276">
        <v>4</v>
      </c>
      <c r="G69" s="276">
        <v>5</v>
      </c>
      <c r="H69" s="277">
        <v>6</v>
      </c>
      <c r="I69" s="278"/>
      <c r="J69" s="278"/>
      <c r="K69" s="279"/>
      <c r="L69" s="277">
        <v>7</v>
      </c>
      <c r="M69" s="278"/>
      <c r="N69" s="278"/>
      <c r="O69" s="279"/>
      <c r="P69" s="277">
        <v>8</v>
      </c>
      <c r="Q69" s="278"/>
      <c r="R69" s="278"/>
      <c r="S69" s="279"/>
      <c r="T69" s="277">
        <v>9</v>
      </c>
      <c r="U69" s="278"/>
      <c r="V69" s="278"/>
      <c r="W69" s="279"/>
      <c r="X69" s="277">
        <v>10</v>
      </c>
      <c r="Y69" s="278"/>
      <c r="Z69" s="278"/>
      <c r="AA69" s="279"/>
      <c r="AB69" s="277">
        <v>11</v>
      </c>
      <c r="AC69" s="278"/>
      <c r="AD69" s="278"/>
      <c r="AE69" s="279"/>
      <c r="AF69" s="277">
        <v>12</v>
      </c>
      <c r="AG69" s="278"/>
      <c r="AH69" s="278"/>
      <c r="AI69" s="279"/>
      <c r="AJ69" s="277">
        <v>13</v>
      </c>
      <c r="AK69" s="278"/>
      <c r="AL69" s="278"/>
      <c r="AM69" s="279"/>
      <c r="AN69" s="277">
        <v>14</v>
      </c>
      <c r="AO69" s="278"/>
      <c r="AP69" s="278"/>
      <c r="AQ69" s="279"/>
      <c r="AR69" s="277">
        <v>15</v>
      </c>
      <c r="AS69" s="278"/>
      <c r="AT69" s="278"/>
      <c r="AU69" s="279"/>
      <c r="AV69" s="277">
        <v>16</v>
      </c>
      <c r="AW69" s="278"/>
      <c r="AX69" s="278"/>
      <c r="AY69" s="279"/>
      <c r="AZ69" s="277">
        <v>17</v>
      </c>
      <c r="BA69" s="278"/>
      <c r="BB69" s="278"/>
      <c r="BC69" s="279"/>
      <c r="BD69" s="277">
        <v>18</v>
      </c>
      <c r="BE69" s="278"/>
      <c r="BF69" s="278"/>
      <c r="BG69" s="279"/>
      <c r="BH69" s="277">
        <v>19</v>
      </c>
      <c r="BI69" s="278"/>
      <c r="BJ69" s="278"/>
      <c r="BK69" s="279"/>
      <c r="BL69" s="277">
        <v>20</v>
      </c>
      <c r="BM69" s="278"/>
      <c r="BN69" s="278"/>
      <c r="BO69" s="279"/>
    </row>
    <row r="70" spans="1:67">
      <c r="A70" s="280" t="s">
        <v>311</v>
      </c>
      <c r="B70" s="274"/>
      <c r="C70" s="274"/>
      <c r="D70" s="274"/>
      <c r="E70" s="274"/>
      <c r="F70" s="274"/>
      <c r="G70" s="274"/>
      <c r="H70" s="281">
        <v>0</v>
      </c>
      <c r="I70" s="281">
        <v>15</v>
      </c>
      <c r="J70" s="281">
        <v>30</v>
      </c>
      <c r="K70" s="281">
        <v>45</v>
      </c>
      <c r="L70" s="281">
        <v>0</v>
      </c>
      <c r="M70" s="281">
        <v>15</v>
      </c>
      <c r="N70" s="281">
        <v>30</v>
      </c>
      <c r="O70" s="281">
        <v>45</v>
      </c>
      <c r="P70" s="281">
        <v>0</v>
      </c>
      <c r="Q70" s="281">
        <v>15</v>
      </c>
      <c r="R70" s="281">
        <v>30</v>
      </c>
      <c r="S70" s="281">
        <v>45</v>
      </c>
      <c r="T70" s="281">
        <v>0</v>
      </c>
      <c r="U70" s="281">
        <v>15</v>
      </c>
      <c r="V70" s="281">
        <v>30</v>
      </c>
      <c r="W70" s="281">
        <v>45</v>
      </c>
      <c r="X70" s="281">
        <v>0</v>
      </c>
      <c r="Y70" s="281">
        <v>15</v>
      </c>
      <c r="Z70" s="281">
        <v>30</v>
      </c>
      <c r="AA70" s="281">
        <v>45</v>
      </c>
      <c r="AB70" s="281">
        <v>0</v>
      </c>
      <c r="AC70" s="281">
        <v>15</v>
      </c>
      <c r="AD70" s="281">
        <v>30</v>
      </c>
      <c r="AE70" s="281">
        <v>45</v>
      </c>
      <c r="AF70" s="281">
        <v>0</v>
      </c>
      <c r="AG70" s="281">
        <v>15</v>
      </c>
      <c r="AH70" s="281">
        <v>30</v>
      </c>
      <c r="AI70" s="281">
        <v>45</v>
      </c>
      <c r="AJ70" s="281">
        <v>0</v>
      </c>
      <c r="AK70" s="281">
        <v>15</v>
      </c>
      <c r="AL70" s="281">
        <v>30</v>
      </c>
      <c r="AM70" s="281">
        <v>45</v>
      </c>
      <c r="AN70" s="281">
        <v>0</v>
      </c>
      <c r="AO70" s="281">
        <v>15</v>
      </c>
      <c r="AP70" s="281">
        <v>30</v>
      </c>
      <c r="AQ70" s="281">
        <v>45</v>
      </c>
      <c r="AR70" s="281">
        <v>0</v>
      </c>
      <c r="AS70" s="281">
        <v>15</v>
      </c>
      <c r="AT70" s="281">
        <v>30</v>
      </c>
      <c r="AU70" s="281">
        <v>45</v>
      </c>
      <c r="AV70" s="281">
        <v>0</v>
      </c>
      <c r="AW70" s="281">
        <v>15</v>
      </c>
      <c r="AX70" s="281">
        <v>30</v>
      </c>
      <c r="AY70" s="281">
        <v>45</v>
      </c>
      <c r="AZ70" s="281">
        <v>0</v>
      </c>
      <c r="BA70" s="281">
        <v>15</v>
      </c>
      <c r="BB70" s="281">
        <v>30</v>
      </c>
      <c r="BC70" s="281">
        <v>45</v>
      </c>
      <c r="BD70" s="281">
        <v>0</v>
      </c>
      <c r="BE70" s="281">
        <v>15</v>
      </c>
      <c r="BF70" s="281">
        <v>30</v>
      </c>
      <c r="BG70" s="281">
        <v>45</v>
      </c>
      <c r="BH70" s="281">
        <v>0</v>
      </c>
      <c r="BI70" s="281">
        <v>15</v>
      </c>
      <c r="BJ70" s="281">
        <v>30</v>
      </c>
      <c r="BK70" s="281">
        <v>45</v>
      </c>
      <c r="BL70" s="281">
        <v>0</v>
      </c>
      <c r="BM70" s="281">
        <v>15</v>
      </c>
      <c r="BN70" s="281">
        <v>30</v>
      </c>
      <c r="BO70" s="281">
        <v>45</v>
      </c>
    </row>
    <row r="71" spans="1:67">
      <c r="A71" s="273" t="s">
        <v>204</v>
      </c>
      <c r="B71" s="272"/>
      <c r="C71" s="272"/>
      <c r="D71" s="272"/>
      <c r="E71" s="272"/>
      <c r="F71" s="272"/>
      <c r="G71" s="272"/>
      <c r="H71" s="272"/>
      <c r="I71" s="272"/>
      <c r="J71" s="272"/>
      <c r="K71" s="272"/>
      <c r="L71" s="262"/>
      <c r="M71" s="262"/>
      <c r="N71" s="262"/>
      <c r="O71" s="262"/>
      <c r="P71" s="262"/>
      <c r="Q71" s="262"/>
      <c r="R71" s="262"/>
      <c r="S71" s="262"/>
      <c r="T71" s="262"/>
      <c r="U71" s="262"/>
      <c r="V71" s="262"/>
      <c r="W71" s="262"/>
      <c r="X71" s="262"/>
      <c r="Y71" s="262"/>
      <c r="Z71" s="262"/>
      <c r="AA71" s="262"/>
      <c r="AB71" s="262"/>
      <c r="AC71" s="262"/>
      <c r="AD71" s="262"/>
      <c r="AE71" s="262"/>
      <c r="AF71" s="262"/>
      <c r="AG71" s="262"/>
      <c r="AH71" s="262"/>
      <c r="AI71" s="262"/>
      <c r="AJ71" s="262"/>
      <c r="AK71" s="262"/>
      <c r="AL71" s="262"/>
      <c r="AM71" s="262"/>
      <c r="AN71" s="262"/>
      <c r="AO71" s="262"/>
      <c r="AP71" s="262"/>
      <c r="AQ71" s="262"/>
      <c r="AR71" s="262"/>
      <c r="AS71" s="262"/>
      <c r="AT71" s="262"/>
      <c r="AU71" s="262"/>
      <c r="AV71" s="262"/>
      <c r="AW71" s="274"/>
      <c r="AX71" s="274"/>
      <c r="AY71" s="274"/>
      <c r="AZ71" s="274"/>
      <c r="BA71" s="274"/>
      <c r="BB71" s="274"/>
      <c r="BC71" s="274"/>
      <c r="BD71" s="274"/>
      <c r="BE71" s="274"/>
      <c r="BF71" s="274"/>
      <c r="BG71" s="274"/>
      <c r="BH71" s="274"/>
      <c r="BI71" s="274"/>
      <c r="BJ71" s="274"/>
      <c r="BK71" s="274"/>
      <c r="BL71" s="274"/>
      <c r="BM71" s="274"/>
      <c r="BN71" s="274"/>
      <c r="BO71" s="274"/>
    </row>
    <row r="72" spans="1:67">
      <c r="A72" s="273" t="s">
        <v>204</v>
      </c>
      <c r="B72" s="272"/>
      <c r="C72" s="272"/>
      <c r="D72" s="272"/>
      <c r="E72" s="272"/>
      <c r="F72" s="272"/>
      <c r="G72" s="272"/>
      <c r="H72" s="272"/>
      <c r="I72" s="272"/>
      <c r="J72" s="272"/>
      <c r="K72" s="272"/>
      <c r="L72" s="262"/>
      <c r="M72" s="262"/>
      <c r="N72" s="262"/>
      <c r="O72" s="262"/>
      <c r="P72" s="262"/>
      <c r="Q72" s="262"/>
      <c r="R72" s="262"/>
      <c r="S72" s="262"/>
      <c r="T72" s="262"/>
      <c r="U72" s="262"/>
      <c r="V72" s="262"/>
      <c r="W72" s="262"/>
      <c r="X72" s="262"/>
      <c r="Y72" s="262"/>
      <c r="Z72" s="262"/>
      <c r="AA72" s="262"/>
      <c r="AB72" s="262"/>
      <c r="AC72" s="262"/>
      <c r="AD72" s="262"/>
      <c r="AE72" s="262"/>
      <c r="AF72" s="262"/>
      <c r="AG72" s="262"/>
      <c r="AH72" s="262"/>
      <c r="AI72" s="262"/>
      <c r="AJ72" s="262"/>
      <c r="AK72" s="262"/>
      <c r="AL72" s="262"/>
      <c r="AM72" s="262"/>
      <c r="AN72" s="262"/>
      <c r="AO72" s="262"/>
      <c r="AP72" s="262"/>
      <c r="AQ72" s="262"/>
      <c r="AR72" s="262"/>
      <c r="AS72" s="262"/>
      <c r="AT72" s="262"/>
      <c r="AU72" s="262"/>
      <c r="AV72" s="262"/>
      <c r="AW72" s="274"/>
      <c r="AX72" s="274"/>
      <c r="AY72" s="274"/>
      <c r="AZ72" s="274"/>
      <c r="BA72" s="274"/>
      <c r="BB72" s="274"/>
      <c r="BC72" s="274"/>
      <c r="BD72" s="274"/>
      <c r="BE72" s="274"/>
      <c r="BF72" s="274"/>
      <c r="BG72" s="274"/>
      <c r="BH72" s="274"/>
      <c r="BI72" s="274"/>
      <c r="BJ72" s="274"/>
      <c r="BK72" s="274"/>
      <c r="BL72" s="274"/>
      <c r="BM72" s="274"/>
      <c r="BN72" s="274"/>
      <c r="BO72" s="274"/>
    </row>
    <row r="73" spans="1:67">
      <c r="A73" s="273" t="s">
        <v>225</v>
      </c>
      <c r="B73" s="272"/>
      <c r="C73" s="272"/>
      <c r="D73" s="272"/>
      <c r="E73" s="272"/>
      <c r="F73" s="272"/>
      <c r="G73" s="272"/>
      <c r="H73" s="272"/>
      <c r="I73" s="272"/>
      <c r="J73" s="272"/>
      <c r="K73" s="272"/>
      <c r="L73" s="272"/>
      <c r="M73" s="272"/>
      <c r="N73" s="262"/>
      <c r="O73" s="262"/>
      <c r="P73" s="262"/>
      <c r="Q73" s="262"/>
      <c r="R73" s="262"/>
      <c r="S73" s="262"/>
      <c r="T73" s="262"/>
      <c r="U73" s="262"/>
      <c r="V73" s="262"/>
      <c r="W73" s="262"/>
      <c r="X73" s="262"/>
      <c r="Y73" s="262"/>
      <c r="Z73" s="262"/>
      <c r="AA73" s="262"/>
      <c r="AB73" s="262"/>
      <c r="AC73" s="262"/>
      <c r="AD73" s="262"/>
      <c r="AE73" s="262"/>
      <c r="AF73" s="262"/>
      <c r="AG73" s="262"/>
      <c r="AH73" s="262"/>
      <c r="AI73" s="262"/>
      <c r="AJ73" s="272"/>
      <c r="AK73" s="272"/>
      <c r="AL73" s="272"/>
      <c r="AM73" s="272"/>
      <c r="AN73" s="272"/>
      <c r="AO73" s="272"/>
      <c r="AP73" s="272"/>
      <c r="AQ73" s="272"/>
      <c r="AR73" s="272"/>
      <c r="AS73" s="272"/>
      <c r="AT73" s="272"/>
      <c r="AU73" s="272"/>
      <c r="AV73" s="262"/>
      <c r="AW73" s="262"/>
      <c r="AX73" s="262"/>
      <c r="AY73" s="262"/>
      <c r="AZ73" s="262"/>
      <c r="BA73" s="262"/>
      <c r="BB73" s="262"/>
      <c r="BC73" s="262"/>
      <c r="BD73" s="262"/>
      <c r="BE73" s="262"/>
      <c r="BF73" s="262"/>
      <c r="BG73" s="272"/>
      <c r="BH73" s="275"/>
      <c r="BI73" s="275"/>
      <c r="BJ73" s="274"/>
      <c r="BK73" s="274"/>
      <c r="BL73" s="274"/>
      <c r="BM73" s="274"/>
      <c r="BN73" s="274"/>
      <c r="BO73" s="274"/>
    </row>
    <row r="74" spans="1:67">
      <c r="A74" s="129" t="s">
        <v>237</v>
      </c>
      <c r="B74" s="130"/>
      <c r="C74" s="130"/>
      <c r="D74" s="130"/>
      <c r="E74" s="130"/>
      <c r="F74" s="130"/>
      <c r="G74" s="130"/>
      <c r="H74" s="130"/>
      <c r="I74" s="130"/>
      <c r="J74" s="130"/>
      <c r="K74" s="44"/>
      <c r="L74" s="136"/>
      <c r="M74" s="136"/>
      <c r="N74" s="136"/>
      <c r="O74" s="136"/>
      <c r="P74" s="136"/>
      <c r="Q74" s="136"/>
      <c r="R74" s="130"/>
      <c r="S74" s="130"/>
      <c r="T74" s="130"/>
      <c r="U74" s="130"/>
      <c r="V74" s="130"/>
      <c r="W74" s="130"/>
      <c r="X74" s="130"/>
      <c r="Y74" s="130"/>
      <c r="Z74" s="130"/>
      <c r="AA74" s="130"/>
      <c r="AB74" s="130"/>
      <c r="AC74" s="130"/>
      <c r="AD74" s="262"/>
      <c r="AE74" s="262"/>
      <c r="AF74" s="262"/>
      <c r="AG74" s="262"/>
      <c r="AH74" s="262"/>
      <c r="AI74" s="262"/>
      <c r="AJ74" s="262"/>
      <c r="AK74" s="262"/>
      <c r="AL74" s="262"/>
      <c r="AM74" s="262"/>
      <c r="AN74" s="262"/>
      <c r="AO74" s="262"/>
      <c r="AP74" s="262"/>
      <c r="AQ74" s="262"/>
      <c r="AR74" s="262"/>
      <c r="AS74" s="262"/>
      <c r="AT74" s="262"/>
      <c r="AU74" s="262"/>
      <c r="AV74" s="262"/>
      <c r="AW74" s="262"/>
      <c r="AX74" s="262"/>
      <c r="AY74" s="262"/>
      <c r="AZ74" s="262"/>
      <c r="BA74" s="262"/>
      <c r="BB74" s="262"/>
      <c r="BC74" s="262"/>
      <c r="BD74" s="262"/>
      <c r="BE74" s="262"/>
      <c r="BF74" s="261"/>
      <c r="BG74" s="261"/>
      <c r="BH74" s="261"/>
      <c r="BI74" s="261"/>
      <c r="BJ74" s="261"/>
      <c r="BK74" s="261"/>
      <c r="BL74" s="261"/>
      <c r="BM74" s="261"/>
    </row>
    <row r="75" spans="1:67">
      <c r="A75" s="129" t="s">
        <v>235</v>
      </c>
      <c r="B75" s="130"/>
      <c r="C75" s="130"/>
      <c r="D75" s="130"/>
      <c r="E75" s="130"/>
      <c r="F75" s="130"/>
      <c r="G75" s="130"/>
      <c r="H75" s="130"/>
      <c r="I75" s="130"/>
      <c r="J75" s="130"/>
      <c r="K75" s="130"/>
      <c r="L75" s="262"/>
      <c r="M75" s="262"/>
      <c r="N75" s="262"/>
      <c r="O75" s="262"/>
      <c r="P75" s="262"/>
      <c r="Q75" s="262"/>
      <c r="R75" s="262"/>
      <c r="S75" s="262"/>
      <c r="T75" s="262"/>
      <c r="U75" s="262"/>
      <c r="V75" s="262"/>
      <c r="W75" s="262"/>
      <c r="X75" s="262"/>
      <c r="Y75" s="262"/>
      <c r="Z75" s="262"/>
      <c r="AA75" s="262"/>
      <c r="AB75" s="262"/>
      <c r="AC75" s="262"/>
      <c r="AD75" s="262"/>
      <c r="AE75" s="262"/>
      <c r="AF75" s="262"/>
      <c r="AG75" s="262"/>
      <c r="AH75" s="262"/>
      <c r="AI75" s="262"/>
      <c r="AJ75" s="130"/>
      <c r="AK75" s="130"/>
      <c r="AL75" s="130"/>
      <c r="AM75" s="130"/>
      <c r="AN75" s="130"/>
      <c r="AO75" s="130"/>
      <c r="AP75" s="130"/>
      <c r="AQ75" s="130"/>
      <c r="AR75" s="130"/>
      <c r="AS75" s="130"/>
      <c r="AT75" s="130"/>
      <c r="AU75" s="130"/>
      <c r="AV75" s="130"/>
      <c r="AW75" s="130"/>
      <c r="AX75" s="130"/>
      <c r="AY75" s="130"/>
      <c r="AZ75" s="130"/>
      <c r="BA75" s="130"/>
      <c r="BB75" s="130"/>
      <c r="BC75" s="27"/>
      <c r="BD75" s="27"/>
      <c r="BE75" s="27"/>
      <c r="BF75" s="27"/>
      <c r="BG75" s="27"/>
      <c r="BH75" s="27"/>
      <c r="BI75" s="27"/>
    </row>
  </sheetData>
  <mergeCells count="2">
    <mergeCell ref="B3:AD3"/>
    <mergeCell ref="B4:AD4"/>
  </mergeCells>
  <phoneticPr fontId="17"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67" customFormat="1" ht="39">
      <c r="A1" s="154" t="s">
        <v>311</v>
      </c>
      <c r="B1" s="155"/>
      <c r="C1" s="155"/>
      <c r="D1" s="155"/>
      <c r="E1" s="155"/>
      <c r="F1" s="155"/>
      <c r="G1" s="156"/>
      <c r="H1" s="157" t="s">
        <v>219</v>
      </c>
      <c r="J1" s="158"/>
      <c r="O1" s="159"/>
    </row>
    <row r="2" spans="1:15" s="67" customFormat="1" ht="52">
      <c r="A2" s="154" t="s">
        <v>0</v>
      </c>
      <c r="B2" s="155" t="s">
        <v>315</v>
      </c>
      <c r="C2" s="155" t="s">
        <v>1</v>
      </c>
      <c r="D2" s="155" t="s">
        <v>30</v>
      </c>
      <c r="E2" s="155" t="s">
        <v>31</v>
      </c>
      <c r="F2" s="155" t="s">
        <v>32</v>
      </c>
      <c r="G2" s="156" t="s">
        <v>33</v>
      </c>
      <c r="H2" s="157" t="s">
        <v>220</v>
      </c>
      <c r="I2" s="160" t="s">
        <v>69</v>
      </c>
      <c r="J2" s="161" t="s">
        <v>316</v>
      </c>
      <c r="O2" s="159"/>
    </row>
    <row r="3" spans="1:15" s="68" customFormat="1" ht="25.5">
      <c r="A3" s="162" t="s">
        <v>317</v>
      </c>
      <c r="B3" s="163" t="s">
        <v>317</v>
      </c>
      <c r="C3" s="163" t="s">
        <v>318</v>
      </c>
      <c r="D3" s="164">
        <v>0.33333333333333331</v>
      </c>
      <c r="E3" s="163"/>
      <c r="F3" s="163"/>
      <c r="G3" s="165"/>
      <c r="I3" s="646" t="s">
        <v>319</v>
      </c>
      <c r="J3" s="166"/>
      <c r="O3" s="167"/>
    </row>
    <row r="4" spans="1:15" s="68" customFormat="1" ht="25.5">
      <c r="A4" s="73" t="s">
        <v>320</v>
      </c>
      <c r="B4" s="68" t="s">
        <v>320</v>
      </c>
      <c r="C4" s="68" t="s">
        <v>321</v>
      </c>
      <c r="D4" s="69">
        <v>0.29166666666666669</v>
      </c>
      <c r="G4" s="168"/>
      <c r="I4" s="646"/>
      <c r="J4" s="166"/>
      <c r="O4" s="167"/>
    </row>
    <row r="5" spans="1:15" s="68" customFormat="1" ht="25.5">
      <c r="A5" s="73" t="s">
        <v>322</v>
      </c>
      <c r="B5" s="68" t="s">
        <v>322</v>
      </c>
      <c r="C5" s="68" t="s">
        <v>323</v>
      </c>
      <c r="D5" s="69">
        <v>0.29166666666666669</v>
      </c>
      <c r="G5" s="168"/>
      <c r="I5" s="646"/>
      <c r="J5" s="166"/>
      <c r="O5" s="167"/>
    </row>
    <row r="6" spans="1:15" s="68" customFormat="1" ht="25.5">
      <c r="A6" s="73" t="s">
        <v>324</v>
      </c>
      <c r="B6" s="68" t="s">
        <v>324</v>
      </c>
      <c r="C6" s="68" t="s">
        <v>325</v>
      </c>
      <c r="D6" s="69">
        <v>0.3125</v>
      </c>
      <c r="G6" s="168"/>
      <c r="I6" s="646"/>
      <c r="J6" s="166"/>
      <c r="O6" s="167"/>
    </row>
    <row r="7" spans="1:15" s="68" customFormat="1" ht="25.5">
      <c r="A7" s="169" t="s">
        <v>326</v>
      </c>
      <c r="B7" s="170" t="s">
        <v>326</v>
      </c>
      <c r="C7" s="170" t="s">
        <v>327</v>
      </c>
      <c r="D7" s="171" t="s">
        <v>328</v>
      </c>
      <c r="E7" s="171"/>
      <c r="F7" s="170"/>
      <c r="G7" s="172"/>
      <c r="I7" s="646"/>
      <c r="J7" s="166"/>
      <c r="O7" s="167"/>
    </row>
    <row r="11" spans="1:15" ht="13">
      <c r="A11" s="35" t="s">
        <v>329</v>
      </c>
    </row>
    <row r="13" spans="1:15">
      <c r="A13" s="173" t="s">
        <v>330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Props1.xml><?xml version="1.0" encoding="utf-8"?>
<ds:datastoreItem xmlns:ds="http://schemas.openxmlformats.org/officeDocument/2006/customXml" ds:itemID="{FFBBBAA8-A498-4ECB-8A3E-BA5343C56B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3.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Dienstzeiten</vt:lpstr>
      <vt:lpstr>ma-basisdaten</vt:lpstr>
      <vt:lpstr>ma-profil</vt:lpstr>
      <vt:lpstr>live-daten</vt:lpstr>
      <vt:lpstr>bedarfe</vt:lpstr>
      <vt:lpstr>generell</vt:lpstr>
      <vt:lpstr>qualitativeGewichte</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2024-04-20T14:03:09Z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