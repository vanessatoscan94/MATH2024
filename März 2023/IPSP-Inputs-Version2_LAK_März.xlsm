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samuel.kolb\gitrepo\IPSP_Optimizer\LAK\März 2023\Version 2\"/>
    </mc:Choice>
  </mc:AlternateContent>
  <xr:revisionPtr revIDLastSave="0" documentId="13_ncr:1_{C10E6564-E7AE-4F37-9739-75D723B65F3C}" xr6:coauthVersionLast="47" xr6:coauthVersionMax="47" xr10:uidLastSave="{00000000-0000-0000-0000-000000000000}"/>
  <bookViews>
    <workbookView xWindow="-110" yWindow="-110" windowWidth="19420" windowHeight="10420" firstSheet="3" activeTab="5" xr2:uid="{00000000-000D-0000-FFFF-FFFF00000000}"/>
  </bookViews>
  <sheets>
    <sheet name="kategorien" sheetId="14" r:id="rId1"/>
    <sheet name="diensttypen" sheetId="10" r:id="rId2"/>
    <sheet name="diensttypgruppen" sheetId="11" r:id="rId3"/>
    <sheet name="Dienstzeiten" sheetId="16" r:id="rId4"/>
    <sheet name="ma-profil" sheetId="7" r:id="rId5"/>
    <sheet name="Personalbedarf_Alma" sheetId="21" r:id="rId6"/>
    <sheet name="Personalbedarf_Pflege" sheetId="22" r:id="rId7"/>
    <sheet name="bedarfe" sheetId="13" r:id="rId8"/>
    <sheet name="ma-basisdaten" sheetId="6" r:id="rId9"/>
    <sheet name="live-daten" sheetId="19" r:id="rId10"/>
    <sheet name="gemischte Dienste" sheetId="15" r:id="rId11"/>
    <sheet name="qualitativeGewichte" sheetId="12" r:id="rId12"/>
    <sheet name="farben Dienste" sheetId="20" r:id="rId1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20" i="19" l="1"/>
  <c r="AW21" i="19"/>
  <c r="AW18" i="19"/>
  <c r="AW16" i="19"/>
  <c r="AW6" i="19"/>
  <c r="AW7" i="19"/>
  <c r="AW8" i="19"/>
  <c r="AW9" i="19"/>
  <c r="AW10" i="19"/>
  <c r="AW11" i="19"/>
  <c r="AW12" i="19"/>
  <c r="AW13" i="19"/>
  <c r="AW14" i="19"/>
  <c r="AW15" i="19"/>
  <c r="AW17" i="19"/>
  <c r="AW5" i="19"/>
  <c r="D4" i="19" l="1"/>
  <c r="E4" i="19" s="1"/>
  <c r="D3" i="19" l="1"/>
  <c r="E3" i="19"/>
  <c r="F4" i="19"/>
  <c r="G4" i="19" l="1"/>
  <c r="F3" i="19"/>
  <c r="H4" i="19" l="1"/>
  <c r="G3" i="19"/>
  <c r="I4" i="19" l="1"/>
  <c r="H3" i="19"/>
  <c r="J4" i="19" l="1"/>
  <c r="I3" i="19"/>
  <c r="J3" i="19" l="1"/>
  <c r="K4" i="19"/>
  <c r="K3" i="19" l="1"/>
  <c r="L4" i="19"/>
  <c r="L3" i="19" l="1"/>
  <c r="M4" i="19"/>
  <c r="M3" i="19" l="1"/>
  <c r="N4" i="19"/>
  <c r="N3" i="19" l="1"/>
  <c r="O4" i="19"/>
  <c r="P4" i="19" l="1"/>
  <c r="O3" i="19"/>
  <c r="Q4" i="19" l="1"/>
  <c r="P3" i="19"/>
  <c r="R4" i="19" l="1"/>
  <c r="Q3" i="19"/>
  <c r="S4" i="19" l="1"/>
  <c r="R3" i="19"/>
  <c r="S3" i="19" l="1"/>
  <c r="T4" i="19"/>
  <c r="U4" i="19" l="1"/>
  <c r="T3" i="19"/>
  <c r="V4" i="19" l="1"/>
  <c r="U3" i="19"/>
  <c r="W4" i="19" l="1"/>
  <c r="V3" i="19"/>
  <c r="W3" i="19" l="1"/>
  <c r="X4" i="19"/>
  <c r="Y4" i="19" l="1"/>
  <c r="X3" i="19"/>
  <c r="Y3" i="19" l="1"/>
  <c r="Z4" i="19"/>
  <c r="Z3" i="19" l="1"/>
  <c r="AA4" i="19"/>
  <c r="AA3" i="19" l="1"/>
  <c r="AB4" i="19"/>
  <c r="AB3" i="19" l="1"/>
  <c r="AC4" i="19"/>
  <c r="AC3" i="19" l="1"/>
  <c r="AD4" i="19"/>
  <c r="AD3" i="19" l="1"/>
  <c r="AE4" i="19"/>
  <c r="AF4" i="19" l="1"/>
  <c r="AE3" i="19"/>
  <c r="AG4" i="19" l="1"/>
  <c r="AF3" i="19"/>
  <c r="AH4" i="19" l="1"/>
  <c r="AG3" i="19"/>
  <c r="AH3" i="19" l="1"/>
  <c r="AI4" i="19"/>
  <c r="AI3" i="19" l="1"/>
  <c r="AJ4" i="19"/>
  <c r="AK4" i="19" l="1"/>
  <c r="AJ3" i="19"/>
  <c r="AK3" i="19" l="1"/>
  <c r="AL4" i="19"/>
  <c r="AL3" i="19" l="1"/>
  <c r="AM4" i="19"/>
  <c r="AN4" i="19" l="1"/>
  <c r="AM3" i="19"/>
  <c r="AO4" i="19" l="1"/>
  <c r="AN3" i="19"/>
  <c r="AP4" i="19" l="1"/>
  <c r="AO3" i="19"/>
  <c r="AP3" i="19" l="1"/>
  <c r="AQ4" i="19"/>
  <c r="AQ3" i="19" l="1"/>
  <c r="AR4" i="19"/>
  <c r="AR3" i="19" l="1"/>
  <c r="AS4" i="19"/>
  <c r="AS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tc={181C23A9-FBD0-416A-ABE6-1A8231986171}</author>
    <author>tc={4221ACCF-D59B-4DFB-A360-B53BBDC0309E}</author>
    <author>tc={2CDE19F9-8357-41D8-8929-F6D3A2CC3ADC}</author>
  </authors>
  <commentList>
    <comment ref="A7" authorId="0" shapeId="0" xr:uid="{181C23A9-FBD0-416A-ABE6-1A82319861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4221ACCF-D59B-4DFB-A360-B53BBDC030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2CDE19F9-8357-41D8-8929-F6D3A2CC3A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tc={8C38C316-0E5C-42A7-9005-E4D5C956B827}</author>
    <author>tc={F371ADDD-9BC4-46D9-8185-067B22C257C2}</author>
  </authors>
  <commentList>
    <comment ref="A9" authorId="0" shapeId="0" xr:uid="{8C38C316-0E5C-42A7-9005-E4D5C956B8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F371ADDD-9BC4-46D9-8185-067B22C257C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tc={B08FAD5B-4D3A-4B50-BE34-5A1EE4398F39}</author>
    <author>tc={21180379-9C6B-4A6B-A6D0-945AF2D9B1B2}</author>
    <author>tc={C3BD9067-7224-47E5-9F0D-B6F54BE18CCA}</author>
    <author>tc={4C4876D2-EADF-4888-B12E-E7FCFA69D188}</author>
    <author>tc={ABC12D9C-5704-4BAE-8BD7-6CC517F7CC17}</author>
    <author>tc={43A21E61-4C79-44EF-9DBB-033B6485E3CA}</author>
    <author>tc={5975D3D9-DF63-40EA-B292-EBB5F44C531A}</author>
    <author>tc={FF1146C4-64A9-4E12-A7CE-982214EE06FB}</author>
    <author>tc={EE644B07-9DDC-47BD-83B1-B569006E6968}</author>
    <author>tc={F7195FF4-BA68-47B4-ADE5-140BCB71DECF}</author>
    <author>tc={21E86B8A-3090-401F-B950-4E9438B2F5E1}</author>
    <author>tc={17FD65C5-752F-4713-AE40-B8F4BCC5F0A6}</author>
    <author>tc={B75DACFB-9172-4647-BD41-6D06B82C2B43}</author>
    <author>tc={D3333159-FA02-46F7-B3FA-82F68D7B8EAB}</author>
    <author>tc={FF84F3F7-F886-4FA2-9B2F-739E97582424}</author>
    <author>tc={C5C3557A-0276-4731-B05E-39AE4CF68AF7}</author>
    <author>tc={ECD94072-DCDE-46FE-914D-D9AA17CBF393}</author>
    <author>tc={C90D0B9D-D550-4AFA-9D85-A963815FCDD6}</author>
    <author>tc={3800D6E7-D8D7-4D9F-9685-B06D03DD84B2}</author>
    <author>tc={B78633AA-3852-40AC-94C9-6F2F1DA25A50}</author>
    <author>tc={1F11D74F-E7B5-43D5-8A59-00F8829732D6}</author>
    <author>tc={8BD7A389-6502-4140-8C4B-4C8E3EE9D1FB}</author>
    <author>tc={D561D6F3-0ABF-407C-A1D5-4AA11CE6E0E8}</author>
    <author>tc={FE74A50E-7241-4A1C-96DA-EC925FC80731}</author>
    <author>tc={24815A33-DE1C-45CC-AC03-E3FE10CEDE2F}</author>
    <author>tc={846574DC-2178-4588-B5A4-60A7B63ED1C8}</author>
    <author>tc={40A3AA59-DCB9-4CF6-A18C-5CB6A5F45378}</author>
    <author>tc={483D1E06-8510-4790-AE61-CD9158A323D6}</author>
    <author>tc={166863AF-29F5-4848-B8A5-EDFB32F4A820}</author>
    <author>tc={F05C74F0-5080-413C-8E42-BE15BC91246F}</author>
    <author>tc={E5BA675E-BEC0-4B3D-BF5E-CDDDC1F36C8A}</author>
    <author>tc={48680C23-1B7B-4FFF-97FF-49384702DB99}</author>
    <author>tc={96E644B0-5BFB-41CE-89BA-AC8861065A9F}</author>
    <author>tc={AEA41870-3236-467E-9506-3F8D7A0417D7}</author>
    <author>tc={45CCE515-B175-4BBB-ABEE-81503D96415F}</author>
    <author>tc={29A04F37-2886-4F34-BA47-C25FAB5E8F0C}</author>
    <author>tc={A330735A-13E7-4658-874F-D7F691444027}</author>
    <author>tc={F14DD323-825D-4421-8C5E-A98ECD961FE3}</author>
    <author>tc={B74740C2-7129-4A64-8675-16ADF6CA64C0}</author>
    <author>tc={E6A88640-99D1-4E17-8A38-E820F7651CAA}</author>
    <author>tc={1B5CE2E9-37BF-4A2B-802B-2D785CFBA69C}</author>
    <author>tc={7143AE40-4EDD-4EEA-86CB-860D01FD7B7F}</author>
    <author>tc={A88E93F2-8B56-4A6C-A490-EE0ED8157BBD}</author>
    <author>tc={4B4235D5-86B3-4EA0-9F29-C1954691F2F0}</author>
    <author>tc={6FFE38A7-63D4-4103-8090-335504EB3A49}</author>
    <author>tc={30BF9E5D-81F0-4DCA-91D5-9FE283220129}</author>
    <author>tc={28822922-A097-416D-A54F-7A1F9311457E}</author>
    <author>tc={E5B5A57E-32B5-420D-B616-64AC1187EE68}</author>
    <author>tc={3DF05919-4E5E-4987-9BA5-1BBCF3E62CD5}</author>
    <author>tc={5036F241-5C20-449E-A4BF-335BB72404C6}</author>
    <author>tc={BE066B50-8FBA-4766-9302-0F07AFE42FAE}</author>
    <author>tc={BA8AB1D1-AC81-46EF-A8A2-FDAA3875DC9B}</author>
    <author>tc={69E1AFCD-925D-49EF-AB3F-C0584CE6C417}</author>
    <author>tc={39AE995F-BF65-475A-96C6-3A182DA9103B}</author>
    <author>tc={3D58A39A-A461-4B0C-85CA-7915EC803C46}</author>
    <author>tc={4A9CF90F-DA1E-4A5C-909F-D06E5F1915FC}</author>
    <author>tc={00ED1147-22EF-46A7-80D4-F1962FEC4AE7}</author>
    <author>tc={E10E9D43-C5F8-49D9-AA3C-BF37E0642125}</author>
    <author>tc={A03E023F-63E3-489D-AEE7-FC2E28FD6116}</author>
  </authors>
  <commentList>
    <comment ref="T2" authorId="0" shapeId="0" xr:uid="{B08FAD5B-4D3A-4B50-BE34-5A1EE4398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generelle Regel LAK: min. 1, opt. 2 WE frei</t>
      </text>
    </comment>
    <comment ref="K4" authorId="1" shapeId="0" xr:uid="{21180379-9C6B-4A6B-A6D0-945AF2D9B1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N4" authorId="2" shapeId="0" xr:uid="{C3BD9067-7224-47E5-9F0D-B6F54BE18C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NVF - NULL</t>
      </text>
    </comment>
    <comment ref="B5" authorId="3" shapeId="0" xr:uid="{4C4876D2-EADF-4888-B12E-E7FCFA69D18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5" authorId="4" shapeId="0" xr:uid="{ABC12D9C-5704-4BAE-8BD7-6CC517F7CC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5" shapeId="0" xr:uid="{43A21E61-4C79-44EF-9DBB-033B6485E3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6" shapeId="0" xr:uid="{5975D3D9-DF63-40EA-B292-EBB5F44C53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7" shapeId="0" xr:uid="{FF1146C4-64A9-4E12-A7CE-982214EE06F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6" authorId="8" shapeId="0" xr:uid="{EE644B07-9DDC-47BD-83B1-B569006E696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J6" authorId="9" shapeId="0" xr:uid="{F7195FF4-BA68-47B4-ADE5-140BCB71DE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10" shapeId="0" xr:uid="{21E86B8A-3090-401F-B950-4E9438B2F5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1" shapeId="0" xr:uid="{17FD65C5-752F-4713-AE40-B8F4BCC5F0A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7" authorId="12" shapeId="0" xr:uid="{B75DACFB-9172-4647-BD41-6D06B82C2B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T7" authorId="13" shapeId="0" xr:uid="{D3333159-FA02-46F7-B3FA-82F68D7B8E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B8" authorId="14" shapeId="0" xr:uid="{FF84F3F7-F886-4FA2-9B2F-739E975824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G8" authorId="15" shapeId="0" xr:uid="{C5C3557A-0276-4731-B05E-39AE4CF68AF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6" shapeId="0" xr:uid="{ECD94072-DCDE-46FE-914D-D9AA17CBF3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7" shapeId="0" xr:uid="{C90D0B9D-D550-4AFA-9D85-A963815FCD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18" shapeId="0" xr:uid="{3800D6E7-D8D7-4D9F-9685-B06D03DD84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19" shapeId="0" xr:uid="{B78633AA-3852-40AC-94C9-6F2F1DA25A5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20" shapeId="0" xr:uid="{1F11D74F-E7B5-43D5-8A59-00F8829732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C9" authorId="21" shapeId="0" xr:uid="{8BD7A389-6502-4140-8C4B-4C8E3EE9D1F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nur "Di"</t>
      </text>
    </comment>
    <comment ref="H9" authorId="22" shapeId="0" xr:uid="{D561D6F3-0ABF-407C-A1D5-4AA11CE6E0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K9" authorId="23" shapeId="0" xr:uid="{FE74A50E-7241-4A1C-96DA-EC925FC807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4" shapeId="0" xr:uid="{24815A33-DE1C-45CC-AC03-E3FE10CEDE2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0" authorId="25" shapeId="0" xr:uid="{846574DC-2178-4588-B5A4-60A7B63ED1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10" authorId="26" shapeId="0" xr:uid="{40A3AA59-DCB9-4CF6-A18C-5CB6A5F4537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27" shapeId="0" xr:uid="{483D1E06-8510-4790-AE61-CD9158A323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28" shapeId="0" xr:uid="{166863AF-29F5-4848-B8A5-EDFB32F4A82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29" shapeId="0" xr:uid="{F05C74F0-5080-413C-8E42-BE15BC9124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30" shapeId="0" xr:uid="{E5BA675E-BEC0-4B3D-BF5E-CDDDC1F36C8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K11" authorId="31" shapeId="0" xr:uid="{48680C23-1B7B-4FFF-97FF-49384702DB9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32" shapeId="0" xr:uid="{96E644B0-5BFB-41CE-89BA-AC8861065A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3" shapeId="0" xr:uid="{AEA41870-3236-467E-9506-3F8D7A0417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2" authorId="34" shapeId="0" xr:uid="{45CCE515-B175-4BBB-ABEE-81503D9641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T12" authorId="35" shapeId="0" xr:uid="{29A04F37-2886-4F34-BA47-C25FAB5E8F0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36" shapeId="0" xr:uid="{A330735A-13E7-4658-874F-D7F6914440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1.2. 30 % 
Arbeitet nur Dienstag und Wochenende</t>
      </text>
    </comment>
    <comment ref="K13" authorId="37" shapeId="0" xr:uid="{F14DD323-825D-4421-8C5E-A98ECD961FE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3" authorId="38" shapeId="0" xr:uid="{B74740C2-7129-4A64-8675-16ADF6CA64C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4" authorId="39" shapeId="0" xr:uid="{E6A88640-99D1-4E17-8A38-E820F7651CA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0% seit Februar (Mutterschaft)</t>
      </text>
    </comment>
    <comment ref="C14" authorId="40" shapeId="0" xr:uid="{1B5CE2E9-37BF-4A2B-802B-2D785CFBA6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Mi, Do - 13:00 - 24:00, Fr - 13:00 - 24:00, Sa - 13:00 - 24:00, So - 13:00 - 24:00</t>
      </text>
    </comment>
    <comment ref="T14" authorId="41" shapeId="0" xr:uid="{7143AE40-4EDD-4EEA-86CB-860D01FD7B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5" authorId="42" shapeId="0" xr:uid="{A88E93F2-8B56-4A6C-A490-EE0ED8157B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
Darf aber aktuell 100 eingeplant werden, auch 6er Schichten wenn nötig</t>
      </text>
    </comment>
    <comment ref="K15" authorId="43" shapeId="0" xr:uid="{4B4235D5-86B3-4EA0-9F29-C1954691F2F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 Tag frei zwischen 2 Blöcken möglich!</t>
      </text>
    </comment>
    <comment ref="T15" authorId="44" shapeId="0" xr:uid="{6FFE38A7-63D4-4103-8090-335504EB3A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6" authorId="45" shapeId="0" xr:uid="{30BF9E5D-81F0-4DCA-91D5-9FE2832201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T16" authorId="46" shapeId="0" xr:uid="{28822922-A097-416D-A54F-7A1F931145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7" authorId="47" shapeId="0" xr:uid="{E5B5A57E-32B5-420D-B616-64AC1187EE6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I17" authorId="48" shapeId="0" xr:uid="{3DF05919-4E5E-4987-9BA5-1BBCF3E62C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49" shapeId="0" xr:uid="{5036F241-5C20-449E-A4BF-335BB72404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50" shapeId="0" xr:uid="{BE066B50-8FBA-4766-9302-0F07AFE42F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51" shapeId="0" xr:uid="{BA8AB1D1-AC81-46EF-A8A2-FDAA3875DC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8" authorId="52" shapeId="0" xr:uid="{69E1AFCD-925D-49EF-AB3F-C0584CE6C4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G18" authorId="53" shapeId="0" xr:uid="{39AE995F-BF65-475A-96C6-3A182DA910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54" shapeId="0" xr:uid="{3D58A39A-A461-4B0C-85CA-7915EC803C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55" shapeId="0" xr:uid="{4A9CF90F-DA1E-4A5C-909F-D06E5F1915F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9" authorId="56" shapeId="0" xr:uid="{00ED1147-22EF-46A7-80D4-F1962FEC4A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0" authorId="57" shapeId="0" xr:uid="{E10E9D43-C5F8-49D9-AA3C-BF37E06421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1" authorId="58" shapeId="0" xr:uid="{A03E023F-63E3-489D-AEE7-FC2E28FD61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tc={170EFD1F-B4D0-4D0A-9118-5CCBA47955C1}</author>
  </authors>
  <commentList>
    <comment ref="A9" authorId="0" shapeId="0" xr:uid="{170EFD1F-B4D0-4D0A-9118-5CCBA47955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tc={67CE9D18-34AA-4CE4-9280-EF342B9F859C}</author>
    <author>tc={26830BB6-D65D-4008-87AA-E657A079BC6D}</author>
    <author>tc={0A8AEF20-6DC4-416A-8D67-0CEDA4614FF1}</author>
    <author>tc={4533A20F-C791-4A16-AFF3-EA29EBA005E7}</author>
    <author>tc={A140768D-C20C-41D1-AA41-2BC07A99BC5D}</author>
    <author>tc={9AC73D94-6572-4F44-A5BF-13F7CB7BED55}</author>
    <author>tc={E4FE787D-40ED-4855-9066-9036B6B527A0}</author>
    <author>tc={DC292697-ECB6-4DF1-91BA-0F6F50310AD5}</author>
    <author>tc={FF6FBBD1-2E0F-451F-98C1-3C61BEC25FDE}</author>
    <author>tc={4BF1649D-D773-434B-9D8E-91F44C13CA15}</author>
    <author>tc={D64B7757-F8FA-4C49-946F-44A27ADC2D39}</author>
    <author>tc={3677E85D-85C7-4C99-B7B2-9F1089400986}</author>
  </authors>
  <commentList>
    <comment ref="B3" authorId="0" shapeId="0" xr:uid="{67CE9D18-34AA-4CE4-9280-EF342B9F859C}">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t>
      </text>
    </comment>
    <comment ref="C3" authorId="1" shapeId="0" xr:uid="{26830BB6-D65D-4008-87AA-E657A079BC6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B11" authorId="2" shapeId="0" xr:uid="{0A8AEF20-6DC4-416A-8D67-0CEDA4614FF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Mitarbeitende</t>
      </text>
    </comment>
    <comment ref="W15" authorId="3" shapeId="0" xr:uid="{4533A20F-C791-4A16-AFF3-EA29EBA005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6" authorId="4" shapeId="0" xr:uid="{A140768D-C20C-41D1-AA41-2BC07A99BC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7" authorId="5" shapeId="0" xr:uid="{9AC73D94-6572-4F44-A5BF-13F7CB7BED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26" authorId="6" shapeId="0" xr:uid="{E4FE787D-40ED-4855-9066-9036B6B527A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F28" authorId="7" shapeId="0" xr:uid="{DC292697-ECB6-4DF1-91BA-0F6F50310A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wird im preprocessing wieder auf 0 gesetzt</t>
      </text>
    </comment>
    <comment ref="B29" authorId="8" shapeId="0" xr:uid="{FF6FBBD1-2E0F-451F-98C1-3C61BEC25F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F30" authorId="9" shapeId="0" xr:uid="{4BF1649D-D773-434B-9D8E-91F44C13CA1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Wird beim preprocessing wieder auf 0 gesetzt.</t>
      </text>
    </comment>
    <comment ref="A33" authorId="10" shapeId="0" xr:uid="{D64B7757-F8FA-4C49-946F-44A27ADC2D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 ref="F33" authorId="11" shapeId="0" xr:uid="{3677E85D-85C7-4C99-B7B2-9F10894009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Wird beim preprocessing wieder auf 0 gesetzt.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tc={5C45E80F-43C8-4BF7-AC52-1D2BEA69EFDE}</author>
  </authors>
  <commentList>
    <comment ref="C12" authorId="0" shapeId="0" xr:uid="{5C45E80F-43C8-4BF7-AC52-1D2BEA69EF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tc={780CDCE0-0619-4996-9290-7877D2A1168A}</author>
    <author>tc={696AA95C-3442-4235-94B2-55073F5253D2}</author>
    <author>tc={A5BA14CE-0798-4188-AC61-6C3B8A8ED23F}</author>
    <author>tc={83924C2C-FD4E-4020-8BB8-7B642BE94DF6}</author>
    <author>tc={2FBA6535-80D2-4718-AA84-A32C0A32FAF3}</author>
  </authors>
  <commentList>
    <comment ref="K7" authorId="0" shapeId="0" xr:uid="{780CDCE0-0619-4996-9290-7877D2A1168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Spital</t>
      </text>
    </comment>
    <comment ref="T10" authorId="1" shapeId="0" xr:uid="{696AA95C-3442-4235-94B2-55073F5253D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Spital</t>
      </text>
    </comment>
    <comment ref="K15" authorId="2" shapeId="0" xr:uid="{A5BA14CE-0798-4188-AC61-6C3B8A8ED23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bis 15. März Mittwochvormittag 8:30 – 11:30 frei (am besten Abend G1)</t>
      </text>
    </comment>
    <comment ref="R15" authorId="3" shapeId="0" xr:uid="{83924C2C-FD4E-4020-8BB8-7B642BE94D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bis 15. März Mittwochvormittag 8:30 – 11:30 frei (am besten Abend G1)</t>
      </text>
    </comment>
    <comment ref="Y15" authorId="4" shapeId="0" xr:uid="{2FBA6535-80D2-4718-AA84-A32C0A32FAF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bis 15. März Mittwochvormittag 8:30 – 11:30 frei (am besten Abend G1)</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tc={368F9C3A-D68C-4FAA-9C10-9AC114584D8A}</author>
    <author>tc={01D24022-2A7E-4648-A820-96D68F4FD771}</author>
    <author>tc={B7CEF5A9-64F5-42AC-8692-6BBCCB4EB950}</author>
    <author>tc={38A643DB-1C61-48ED-8907-6918B03183AE}</author>
    <author>tc={925F4B96-1839-4C77-90E9-89299F558C87}</author>
    <author>tc={489A08AF-ACEB-49DB-9A20-57C529744910}</author>
  </authors>
  <commentList>
    <comment ref="J2" authorId="0" shapeId="0" xr:uid="{368F9C3A-D68C-4FAA-9C10-9AC114584D8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01D24022-2A7E-4648-A820-96D68F4FD7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B7CEF5A9-64F5-42AC-8692-6BBCCB4EB95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38A643DB-1C61-48ED-8907-6918B03183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925F4B96-1839-4C77-90E9-89299F558C8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489A08AF-ACEB-49DB-9A20-57C5297449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<sst xmlns="http://schemas.openxmlformats.org/spreadsheetml/2006/main" count="1477" uniqueCount="521">
  <si>
    <t>Personen</t>
  </si>
  <si>
    <t>ID</t>
  </si>
  <si>
    <t xml:space="preserve">Employments </t>
  </si>
  <si>
    <t>01</t>
  </si>
  <si>
    <t>G</t>
  </si>
  <si>
    <t>02</t>
  </si>
  <si>
    <t>03</t>
  </si>
  <si>
    <t>04</t>
  </si>
  <si>
    <t>05</t>
  </si>
  <si>
    <t>06</t>
  </si>
  <si>
    <t>07</t>
  </si>
  <si>
    <t>08</t>
  </si>
  <si>
    <t>09</t>
  </si>
  <si>
    <t>Bemerkungen</t>
  </si>
  <si>
    <t>S</t>
  </si>
  <si>
    <t>3 - 2</t>
  </si>
  <si>
    <t>10</t>
  </si>
  <si>
    <t>11</t>
  </si>
  <si>
    <t>12</t>
  </si>
  <si>
    <t>13</t>
  </si>
  <si>
    <t>14</t>
  </si>
  <si>
    <t>Unverfügbar</t>
  </si>
  <si>
    <t>Beliebte Arbeitszeiten</t>
  </si>
  <si>
    <t>Zeitliche Einschränkungen und Vorlieben</t>
  </si>
  <si>
    <t>Wichtigkeit: ….</t>
  </si>
  <si>
    <t>Beliebte Dienste</t>
  </si>
  <si>
    <t>Unbeliebte Dienste</t>
  </si>
  <si>
    <t>Arbeits- und Freiblock</t>
  </si>
  <si>
    <t xml:space="preserve">Max. + Opt. Anz. Dienste </t>
  </si>
  <si>
    <t>Min. + Opt. Freiblockdauer (in Std.)</t>
  </si>
  <si>
    <t>Vorwärtsrotierung (max. minus Std.)</t>
  </si>
  <si>
    <t>Max. + Opt. Nächte</t>
  </si>
  <si>
    <t>Min + Opt. Freiblockdauer nach Nacht (in Std.)</t>
  </si>
  <si>
    <t>Wochenendarbeit</t>
  </si>
  <si>
    <t>Max + Opt aufeinanderf. WE mit Arbeit</t>
  </si>
  <si>
    <t>Unbeliebte Arbeitszeit</t>
  </si>
  <si>
    <t>Max. + Opt high + Opt-low Arbeitsblocklänge</t>
  </si>
  <si>
    <t>Monatliche Dienstlimiten und Präferenzen</t>
  </si>
  <si>
    <t>Max + Opt high Blöcke mit Nächten</t>
  </si>
  <si>
    <t>Mi</t>
  </si>
  <si>
    <t>Do</t>
  </si>
  <si>
    <t>Di</t>
  </si>
  <si>
    <t>Fixierte Dienste</t>
  </si>
  <si>
    <t>-</t>
  </si>
  <si>
    <t xml:space="preserve"> und Abwesenheiten</t>
  </si>
  <si>
    <t>Mitarbeitende</t>
  </si>
  <si>
    <t>Ende Planning</t>
  </si>
  <si>
    <t>Start Planning</t>
  </si>
  <si>
    <t>Name</t>
  </si>
  <si>
    <t>Anzeigetext</t>
  </si>
  <si>
    <t>Dauer in 00:00</t>
  </si>
  <si>
    <t>Arb.Zeit in 00:00</t>
  </si>
  <si>
    <t>Start-Tageszeit 00:00</t>
  </si>
  <si>
    <t>Ruhezeit in 00:00</t>
  </si>
  <si>
    <t>B</t>
  </si>
  <si>
    <t>Büro</t>
  </si>
  <si>
    <t>Bedafsdefinitionen</t>
  </si>
  <si>
    <t>Diensttypen</t>
  </si>
  <si>
    <t>Kategorien</t>
  </si>
  <si>
    <t>Mo</t>
  </si>
  <si>
    <t>min</t>
  </si>
  <si>
    <t>opt</t>
  </si>
  <si>
    <t>Fr</t>
  </si>
  <si>
    <t>Sa</t>
  </si>
  <si>
    <t>So</t>
  </si>
  <si>
    <t>Wie schlimm unter opt?</t>
  </si>
  <si>
    <t>IMPORTANCE</t>
  </si>
  <si>
    <t>Bezeichnung</t>
  </si>
  <si>
    <t>Dienste</t>
  </si>
  <si>
    <t>Diensttypgruppen</t>
  </si>
  <si>
    <t>Wochentage oder</t>
  </si>
  <si>
    <t>Wochentag - Start - Ende</t>
  </si>
  <si>
    <t xml:space="preserve"> z.B. Do - 16:00 - 22:00</t>
  </si>
  <si>
    <t>PRIO 2</t>
  </si>
  <si>
    <t>Falls ":" und zweiter Teil fehlt, dann verboten</t>
  </si>
  <si>
    <t>Anzahl der letzten</t>
  </si>
  <si>
    <t>WE gearbeitet</t>
  </si>
  <si>
    <t>B2</t>
  </si>
  <si>
    <t>F1</t>
  </si>
  <si>
    <t>G1</t>
  </si>
  <si>
    <t>G2</t>
  </si>
  <si>
    <t>K2</t>
  </si>
  <si>
    <t>S2</t>
  </si>
  <si>
    <t>S3</t>
  </si>
  <si>
    <t>A1</t>
  </si>
  <si>
    <t>A2</t>
  </si>
  <si>
    <t>A3</t>
  </si>
  <si>
    <t>A4</t>
  </si>
  <si>
    <t>A5</t>
  </si>
  <si>
    <t>A6</t>
  </si>
  <si>
    <t>Büro 2</t>
  </si>
  <si>
    <t>Früh 1</t>
  </si>
  <si>
    <t>Geteilt 1</t>
  </si>
  <si>
    <t>Geteilt 2</t>
  </si>
  <si>
    <t>Kurz 2</t>
  </si>
  <si>
    <t>Spät 2</t>
  </si>
  <si>
    <t>Spät 3</t>
  </si>
  <si>
    <t>Alma 1</t>
  </si>
  <si>
    <t>Alma 2</t>
  </si>
  <si>
    <t>Alma 3</t>
  </si>
  <si>
    <t>Alma 4</t>
  </si>
  <si>
    <t>Alma 5</t>
  </si>
  <si>
    <t>Alma 6</t>
  </si>
  <si>
    <t>F</t>
  </si>
  <si>
    <t>K</t>
  </si>
  <si>
    <t>A</t>
  </si>
  <si>
    <t>Früh</t>
  </si>
  <si>
    <t>Geteilt</t>
  </si>
  <si>
    <t>Spät</t>
  </si>
  <si>
    <t>Alma</t>
  </si>
  <si>
    <t>Mo, Mi, Do, Fr</t>
  </si>
  <si>
    <t>???</t>
  </si>
  <si>
    <t>ja</t>
  </si>
  <si>
    <t>MA</t>
  </si>
  <si>
    <t>L</t>
  </si>
  <si>
    <t>Spezialkenntnisse (ID)</t>
  </si>
  <si>
    <t>Name MA</t>
  </si>
  <si>
    <t>Standardanzeigeposition</t>
  </si>
  <si>
    <t>Kunz-Frick, Monika</t>
  </si>
  <si>
    <t>Gstöhl, Belinda</t>
  </si>
  <si>
    <t>Kohler-Künzler, Regula</t>
  </si>
  <si>
    <t>Kornberger, Veronika</t>
  </si>
  <si>
    <t>Elkuch, Melanie</t>
  </si>
  <si>
    <t>Rohrer, Diana</t>
  </si>
  <si>
    <t>Frick (Petek), Simona</t>
  </si>
  <si>
    <t>Meier, Yvonne</t>
  </si>
  <si>
    <t>Lehmann, Monika</t>
  </si>
  <si>
    <t>Kajtazaj, Daniela</t>
  </si>
  <si>
    <t>Yhongshitsang, Tashi Lhamo</t>
  </si>
  <si>
    <t>Simonovic, Milka</t>
  </si>
  <si>
    <t>Steinauer, Heidi</t>
  </si>
  <si>
    <t>Markart, Roswitha</t>
  </si>
  <si>
    <t>x</t>
  </si>
  <si>
    <t>Kommentar</t>
  </si>
  <si>
    <t>Zeitintervalle, die nicht zur</t>
  </si>
  <si>
    <t>Bedarfsdeckung gezählt werden</t>
  </si>
  <si>
    <t>13:00 - 16:00</t>
  </si>
  <si>
    <t>11:15 - 16:00</t>
  </si>
  <si>
    <t>13:15 - 16:15</t>
  </si>
  <si>
    <t>SEHR HOCH</t>
  </si>
  <si>
    <t>DURCHSCHNITTLICH</t>
  </si>
  <si>
    <t>ÜBERDURCHSCHNITTLICH - UNTERDURCHSCHNITTLICH</t>
  </si>
  <si>
    <t>ÜBERDURCHSCHNITTLICH</t>
  </si>
  <si>
    <t>HOCH</t>
  </si>
  <si>
    <t>Name MA         Standardwerte:</t>
  </si>
  <si>
    <t>Qualitative Weight</t>
  </si>
  <si>
    <t>2 Werte</t>
  </si>
  <si>
    <t>SEHR TIEF</t>
  </si>
  <si>
    <t>TIEF</t>
  </si>
  <si>
    <t>DURCHSCHNITTLICH - DURCHSCHNITTLICH</t>
  </si>
  <si>
    <t>UNTERDURCHSCHNITTLICH</t>
  </si>
  <si>
    <t>Feiertage (optional)</t>
  </si>
  <si>
    <t>nur MA mit Spezialkenntnissen</t>
  </si>
  <si>
    <t>aktivieren ? Ja / nein (kein Gültigkeitsdatum, ja = gültig, nein = nicht gültig, später mit Gütlgikeit - oder evtl. mit saisonaler Gültigkeit ?)</t>
  </si>
  <si>
    <t>Pflege</t>
  </si>
  <si>
    <t>B2M</t>
  </si>
  <si>
    <t>Büro 2 Morgen</t>
  </si>
  <si>
    <t>K2 | -&gt;</t>
  </si>
  <si>
    <t>B2 | Doku</t>
  </si>
  <si>
    <t>K2 | Doku</t>
  </si>
  <si>
    <t>A2 | Doku</t>
  </si>
  <si>
    <t>Doku | S2</t>
  </si>
  <si>
    <t>G1N</t>
  </si>
  <si>
    <t>G2N</t>
  </si>
  <si>
    <t>nächste Schicht möglich ab</t>
  </si>
  <si>
    <t>Kurz 2 Morgen dann Pfeil Nachmittag</t>
  </si>
  <si>
    <t>Büro 2 Morgen dann Doku Nachmittag</t>
  </si>
  <si>
    <t>Kurz 2 Morgen dann Doku Nachmittag</t>
  </si>
  <si>
    <t>Geteilt 1 Nachmittag</t>
  </si>
  <si>
    <t>Alma 2 Morgen dann Doku Nachmittag</t>
  </si>
  <si>
    <t>Geteilt 2 Nachmittag</t>
  </si>
  <si>
    <t>Kurz 2 Morgen dann Büro 2 Nachmittag</t>
  </si>
  <si>
    <t>Doku Morgen dann Spät 2 Nachmittag</t>
  </si>
  <si>
    <t>Kurz</t>
  </si>
  <si>
    <t>Gemischte Dienste, die seit August 2022 verwendet wurden.
Bedarf definieren oder nur manuell planbar?
Zu welcher Diensttypgruppe zählen gemischte Dienste?</t>
  </si>
  <si>
    <t>Springer für Alma (aktuell 1 Alma krank)</t>
  </si>
  <si>
    <t>Früh vor Frei</t>
  </si>
  <si>
    <t>F1 oder K2 vor Frei</t>
  </si>
  <si>
    <t>kein S vor Frei</t>
  </si>
  <si>
    <t>F vor Frei</t>
  </si>
  <si>
    <t>vor F kein S</t>
  </si>
  <si>
    <t>ab PEP</t>
  </si>
  <si>
    <t>Kategorie resp. Gruppe - Kategorie (falls mehrere Gruppen / Planblätter) = Kontext</t>
  </si>
  <si>
    <t>Station 2.OG - Leitung</t>
  </si>
  <si>
    <t>Station 2.OG - Fachpersonal mit Diplom</t>
  </si>
  <si>
    <t>Station 2.OG - Fachpersonal mit Fähigkeitszeugnis</t>
  </si>
  <si>
    <t>Station 2.OG - Mitarbeitende</t>
  </si>
  <si>
    <t>Di &amp; Fr fix Büro, Mo &amp; Do-VM wenn möglich Büro, ansonsten Pflege</t>
  </si>
  <si>
    <t>B2N</t>
  </si>
  <si>
    <t>Büro 2 Nachmittag</t>
  </si>
  <si>
    <t>Kombinationen aus Dienst + Doku / Pfeil: Doku oder Pfeil nachträglich manuell einplanen, Dienste halbtags ermöglichen (A2 und S2 sind +/- bereits halbtags -&gt; so belassen?)</t>
  </si>
  <si>
    <t>K2|B2</t>
  </si>
  <si>
    <t xml:space="preserve">Nächte ( Gruppe =) : </t>
  </si>
  <si>
    <t>(unbedingt GruppenID eintragen, falls leer dann werden Nachtregeln ignoriert)</t>
  </si>
  <si>
    <t>Verboten</t>
  </si>
  <si>
    <t>Max. + Opt. Anz. Dienste in Block</t>
  </si>
  <si>
    <t>in Block: Max + Opt. High + opt low Nächte</t>
  </si>
  <si>
    <t>Tag nach Nacht verboten? Ja / nein (leer = standardwert übernehmen)</t>
  </si>
  <si>
    <t>Min + Opt. freie Weekends</t>
  </si>
  <si>
    <t>EOL : End of line</t>
  </si>
  <si>
    <t>DIESE ZEILE SO LASSEN</t>
  </si>
  <si>
    <t xml:space="preserve"> (cell value not considered)</t>
  </si>
  <si>
    <t>( cell value not considered)</t>
  </si>
  <si>
    <t>(cell value not considered)</t>
  </si>
  <si>
    <t>(cell value not cons.)</t>
  </si>
  <si>
    <t>2 - 3</t>
  </si>
  <si>
    <t>EOL</t>
  </si>
  <si>
    <t>Arbeitsort (Station)</t>
  </si>
  <si>
    <t>Start - Ende</t>
  </si>
  <si>
    <t>anrechenbare Arbeitszeit</t>
  </si>
  <si>
    <t>SC Team 2.OG</t>
  </si>
  <si>
    <t>08:00 - 12:00, 13:00 - 16:00</t>
  </si>
  <si>
    <t>07:00 - 13:00, 13:45 - 16:09</t>
  </si>
  <si>
    <t>07:30 - 13:00, 16:00 - 18:54</t>
  </si>
  <si>
    <t>07:30 - 11:15, 16:00 - 20:30</t>
  </si>
  <si>
    <t>07:00 - 13:00</t>
  </si>
  <si>
    <t>11:30 - 13:00, 13:45 - 20:30</t>
  </si>
  <si>
    <t>10:00 - 13:00, 13:45 - 19:00</t>
  </si>
  <si>
    <t xml:space="preserve">07:30 - 13:15, 16:15 - 18:45 </t>
  </si>
  <si>
    <t>07:30 - 13:15</t>
  </si>
  <si>
    <t>10:15 - 13:15, 13:45 - 18:45</t>
  </si>
  <si>
    <t>16:15 - 18:45</t>
  </si>
  <si>
    <t>11:45 - 15:30, 16:15 - 18:45</t>
  </si>
  <si>
    <t>PF</t>
  </si>
  <si>
    <t>PF - Do</t>
  </si>
  <si>
    <t>NVF</t>
  </si>
  <si>
    <t>Nicht Vor Frei</t>
  </si>
  <si>
    <t>(inklusiv)</t>
  </si>
  <si>
    <t>erster Tag</t>
  </si>
  <si>
    <t>(Anzahl Tage vor Start)</t>
  </si>
  <si>
    <t>Hilfszahlen</t>
  </si>
  <si>
    <t>Standard-Targetarb.Zeit +/- Sollzeit (min, optLow, optHigh, max) Komma separiert</t>
  </si>
  <si>
    <t>(exklusive dieser Tag)</t>
  </si>
  <si>
    <t>auf Board</t>
  </si>
  <si>
    <t>für Sollzeit</t>
  </si>
  <si>
    <t>Gearbeitete Dienst im letzten Monat (zur Adaptierung "opt" aus MA-Profil)</t>
  </si>
  <si>
    <t>"pain" sollzeit</t>
  </si>
  <si>
    <t>DURCHSCHNITTLICH - HOCH</t>
  </si>
  <si>
    <t>Totale Anzahl freie Weekends</t>
  </si>
  <si>
    <t>Standard-Kategorie</t>
  </si>
  <si>
    <t>Gleitzeitsaldo (in ganz: Std.)</t>
  </si>
  <si>
    <t>Sollarbeitszeit (in ganz. Stunde)</t>
  </si>
  <si>
    <t>Spezifische "Target" - Arbeitszeitbereich, Absolutwerte in Std.  (min, optLow, optHigh, max) Komma separiert</t>
  </si>
  <si>
    <t>letzter Monat (oder Schnitt)</t>
  </si>
  <si>
    <t>Gruppe / Tage</t>
  </si>
  <si>
    <t>&gt;</t>
  </si>
  <si>
    <t>2G</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</si>
  <si>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</si>
  <si>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</si>
  <si>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</si>
  <si>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</si>
  <si>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</si>
  <si>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</si>
  <si>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</si>
  <si>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</si>
  <si>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</si>
  <si>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</si>
  <si>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(nicht alle Werte</t>
  </si>
  <si>
    <t>Wünsche aus CollaPP</t>
  </si>
  <si>
    <t>(Angaben optional, …)</t>
  </si>
  <si>
    <t>stimmen)</t>
  </si>
  <si>
    <t>17H &gt;</t>
  </si>
  <si>
    <t>Bei Ende Absenz zu gewisser Zeit (Stunde) - hier 17</t>
  </si>
  <si>
    <t>&lt; , &gt; = ganzer Tag weg, keine Zeit angerechnet</t>
  </si>
  <si>
    <t>Fixierte Dienste - Angabe mit und ohne Knoten</t>
  </si>
  <si>
    <t>2G - PH</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</si>
  <si>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</si>
  <si>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</si>
  <si>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</si>
  <si>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</si>
  <si>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</si>
  <si>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</si>
  <si>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</si>
  <si>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 xml:space="preserve"> (Einschränkung Mitarbeiter)</t>
  </si>
  <si>
    <t>Group ID</t>
  </si>
  <si>
    <t>6 - 5 - 3</t>
  </si>
  <si>
    <t>Regula Dienste</t>
  </si>
  <si>
    <t>Dipl</t>
  </si>
  <si>
    <t>FaGe</t>
  </si>
  <si>
    <t>L 0800_1600</t>
  </si>
  <si>
    <t>Bedarfseckung möglich dur Kategorien - Diensttyp  Kombinationen (Komma separiert)</t>
  </si>
  <si>
    <t>Kombinationen, die automatisiert hinzugefügt werden können</t>
  </si>
  <si>
    <t>L - B2</t>
  </si>
  <si>
    <t>MA - A1, MA - A2, MA - A3</t>
  </si>
  <si>
    <t>Bestrafte Abfolgen</t>
  </si>
  <si>
    <t xml:space="preserve">"von" Dienstgruppe - "zu" </t>
  </si>
  <si>
    <t xml:space="preserve">Dienstgruppe - Bestrafung </t>
  </si>
  <si>
    <t xml:space="preserve">(optional , z.B. HOCH, ...) , </t>
  </si>
  <si>
    <t>Spät 2030</t>
  </si>
  <si>
    <t>Früh 0700</t>
  </si>
  <si>
    <t>-&gt; Dienstlich abwesend (z.B. Sitzung)</t>
  </si>
  <si>
    <t>3 - 3</t>
  </si>
  <si>
    <t>PFvor16</t>
  </si>
  <si>
    <t xml:space="preserve">3 - 1 </t>
  </si>
  <si>
    <t>Kombinationen, die nur fixiert im Plan sein können (V2)</t>
  </si>
  <si>
    <t>L - K2|B2</t>
  </si>
  <si>
    <t>Obere Grenze?</t>
  </si>
  <si>
    <t>Delta von opt</t>
  </si>
  <si>
    <t>L 0800_1200</t>
  </si>
  <si>
    <t>L 1300_1600</t>
  </si>
  <si>
    <t>L - B2, L - B2M</t>
  </si>
  <si>
    <t>L - B2, L - B2N</t>
  </si>
  <si>
    <t>Z.B. S : 2 , 2 : 12 - 9 , 2 - Sa So : 3 - 2</t>
  </si>
  <si>
    <t>Anzeige-Farbe RBG (Hintergrund)</t>
  </si>
  <si>
    <t>FFFFFF</t>
  </si>
  <si>
    <t>Für Sortierung</t>
  </si>
  <si>
    <t>D03</t>
  </si>
  <si>
    <t>&lt; , &gt;</t>
  </si>
  <si>
    <t>B2 - Mo Di Fr, B2M - Mo Di Do Fr, B2N - Mo Di Fr</t>
  </si>
  <si>
    <t>ÜBERDURCHSCHNITTLICH - DURCHSCHNITTLICH</t>
  </si>
  <si>
    <t>S2030</t>
  </si>
  <si>
    <t>F0700</t>
  </si>
  <si>
    <t>Kurz 2 Morgen dann dienstlich abwesend Nachmittag</t>
  </si>
  <si>
    <t>K2|DA</t>
  </si>
  <si>
    <t>L - K2|DA, Dipl - K2|DA, FaGe - K2|DA, L - K2|B2</t>
  </si>
  <si>
    <t>Mi, Do - 13:00 - 24:00</t>
  </si>
  <si>
    <t>Büro nur wenn Monika in Ferien -&gt; vorab manuell einplanen</t>
  </si>
  <si>
    <t>L_Dipl_FaGe 1600_1615</t>
  </si>
  <si>
    <t>L_Dipl_FaGe_MA 0700_0730</t>
  </si>
  <si>
    <t>L_Dipl_FaGe_MA 0730_1115</t>
  </si>
  <si>
    <t>L_Dipl_FaGe_MA 1300_1600</t>
  </si>
  <si>
    <t>L_Dipl_FaGe_MA 1600_1615</t>
  </si>
  <si>
    <t>L_Dipl_FaGe_MA 1615_1845</t>
  </si>
  <si>
    <t>L_Dipl_FaGe_MA 1845_2030</t>
  </si>
  <si>
    <t>L_Dipl_FaGe 1300_1600</t>
  </si>
  <si>
    <t>L_Dipl_FaGe 1615_1845</t>
  </si>
  <si>
    <t>24 - 36</t>
  </si>
  <si>
    <t>24 - 50</t>
  </si>
  <si>
    <t>Mo, Di - 17:00 - 24:00, Do - 13:00 - 24:00</t>
  </si>
  <si>
    <t>nur fixiert im Plan</t>
  </si>
  <si>
    <t>macht nur Monika, nur fixiert im Plan</t>
  </si>
  <si>
    <t>Farbe HEX</t>
  </si>
  <si>
    <t>C0C0C0</t>
  </si>
  <si>
    <t>FFEE91</t>
  </si>
  <si>
    <t>009EE3</t>
  </si>
  <si>
    <t>9BCC97</t>
  </si>
  <si>
    <t>C7A48b</t>
  </si>
  <si>
    <t>G1M</t>
  </si>
  <si>
    <t>Geteilt 1 Morgen</t>
  </si>
  <si>
    <t>G2M</t>
  </si>
  <si>
    <t>Geteilt 2 Morgen</t>
  </si>
  <si>
    <t>halber Dienst</t>
  </si>
  <si>
    <t>HD</t>
  </si>
  <si>
    <t>Halbe Dienste</t>
  </si>
  <si>
    <t>Pflege Start vor 16</t>
  </si>
  <si>
    <t>FA8D74</t>
  </si>
  <si>
    <t>C8FEFF</t>
  </si>
  <si>
    <t>Mo, Di, Mi, Fr</t>
  </si>
  <si>
    <t>DCBEFF</t>
  </si>
  <si>
    <t>FABED4</t>
  </si>
  <si>
    <t>HOCH - DURCHSCHNITTLICH</t>
  </si>
  <si>
    <t>S : 5 - 2</t>
  </si>
  <si>
    <t>L1</t>
  </si>
  <si>
    <t>L2</t>
  </si>
  <si>
    <t>Lernende 1</t>
  </si>
  <si>
    <t>Lernende 2</t>
  </si>
  <si>
    <t>LE</t>
  </si>
  <si>
    <t>Station 2.OG - Lernende</t>
  </si>
  <si>
    <t>F6E0A8</t>
  </si>
  <si>
    <t>16</t>
  </si>
  <si>
    <t>17</t>
  </si>
  <si>
    <t>Tasholli, Albin</t>
  </si>
  <si>
    <t>Marxer, Manuel</t>
  </si>
  <si>
    <t>Zen, Chiara</t>
  </si>
  <si>
    <t>3. Lehrjahr</t>
  </si>
  <si>
    <t>15</t>
  </si>
  <si>
    <t>2. Lehrjahr</t>
  </si>
  <si>
    <t>B, F, G, K, S, A</t>
  </si>
  <si>
    <t>L1M</t>
  </si>
  <si>
    <t>Lernende 1 Morgen</t>
  </si>
  <si>
    <t>LD</t>
  </si>
  <si>
    <t>Lernende Dienste</t>
  </si>
  <si>
    <t>B, F, G, K, S, A, L1M</t>
  </si>
  <si>
    <t>LD, HD</t>
  </si>
  <si>
    <t>S2, G2, G2N, LD, HD</t>
  </si>
  <si>
    <t>Verbotene Dienste</t>
  </si>
  <si>
    <t>Dienstpräferenzen</t>
  </si>
  <si>
    <t>L Dipl FaGe - F1, L Dipl FaGe - S2</t>
  </si>
  <si>
    <t>L Dipl FaGe - F1</t>
  </si>
  <si>
    <t>L Dipl - F1, L Dipl - K2</t>
  </si>
  <si>
    <t>L_Dipl_FaGe 0730_1115</t>
  </si>
  <si>
    <t>L_Dipl_FaGe 1115_1300</t>
  </si>
  <si>
    <t>L_Dipl_FaGe_MA 1115_1300</t>
  </si>
  <si>
    <t>L Dipl FaGe MA - G1</t>
  </si>
  <si>
    <t>Pflege_WE_1</t>
  </si>
  <si>
    <t>Pflege_WE_2</t>
  </si>
  <si>
    <t>Pflege_WE_3</t>
  </si>
  <si>
    <t>Pflege_WE_4</t>
  </si>
  <si>
    <t>L_Dipl 0730_2030</t>
  </si>
  <si>
    <t>L_Dipl 0700_0730</t>
  </si>
  <si>
    <t>L Dipl - G1, L Dipl - G2</t>
  </si>
  <si>
    <t>L1 : 10 - 8, L2 : 10 - 8</t>
  </si>
  <si>
    <t>L1 : 9 - 7, L2 : 9 - 7</t>
  </si>
  <si>
    <t>L2 - Sa So, L1M</t>
  </si>
  <si>
    <t>Sa - 17:00 - 23:00, So - 17:00 - 23:00</t>
  </si>
  <si>
    <t>Sa - 17:00 - 23:00, So</t>
  </si>
  <si>
    <t>L Dipl FaGe MA - F1, L Dipl FaGe MA - S2, LE - L1, LE - L2</t>
  </si>
  <si>
    <t>L Dipl FaGe MA - F1, LE - L1</t>
  </si>
  <si>
    <t xml:space="preserve">L Dipl FaGe - F1, L Dipl FaGe - G1, L Dipl FaGe - G2, L Dipl FaGe - K2, L Dipl FaGe - G1M, L Dipl FaGe - G2M </t>
  </si>
  <si>
    <t>L Dipl FaGe - F1,  L Dipl FaGe - G1, L Dipl FaGe - K2, L Dipl FaGe - G1M</t>
  </si>
  <si>
    <t xml:space="preserve">L Dipl FaGe - F1, L Dipl FaGe - G1, L Dipl FaGe - G2, L Dipl FaGe - S2, L Dipl FaGe - G1N, L Dipl FaGe - G2N </t>
  </si>
  <si>
    <t>L Dipl FaGe - G1, L Dipl FaGe - G2, L Dipl FaGe - S2, L Dipl FaGe - G1N, L Dipl FaGe - G2N</t>
  </si>
  <si>
    <t>L Dipl FaGe MA - F1, L Dipl FaGe MA - G1, L Dipl FaGe - G2, L Dipl FaGe MA - S2, L Dipl FaGe MA - G1N, L Dipl FaGe - G2N, LE - L1, LE - L2</t>
  </si>
  <si>
    <t>L Dipl FaGe MA - G1, L Dipl FaGe - G2, L Dipl FaGe MA - S2,  L Dipl FaGe MA - G1N, L Dipl FaGe - G2N</t>
  </si>
  <si>
    <t>L Dipl FaGe - G2, L Dipl FaGe MA - S2, L Dipl FaGe - G2N</t>
  </si>
  <si>
    <t>2 - 2</t>
  </si>
  <si>
    <t>24 - 40</t>
  </si>
  <si>
    <t>S2, LD, HD, G2</t>
  </si>
  <si>
    <t>S2, G2</t>
  </si>
  <si>
    <t>5 - 4 - 2</t>
  </si>
  <si>
    <t>LS</t>
  </si>
  <si>
    <t>Lernende Schule</t>
  </si>
  <si>
    <t>L1 Morgen dann Schule</t>
  </si>
  <si>
    <t>L Dipl FaGe - G2</t>
  </si>
  <si>
    <t>Alma_WE</t>
  </si>
  <si>
    <t>MA - A1</t>
  </si>
  <si>
    <t>LE - L1</t>
  </si>
  <si>
    <t>4 - 4</t>
  </si>
  <si>
    <t>&lt;0H - 54</t>
  </si>
  <si>
    <t>&lt;17H - 29</t>
  </si>
  <si>
    <t>Schule Morgen dann L1 Nachmittag</t>
  </si>
  <si>
    <t>L Dipl FaGe MA - F1, L Dipl FaGe MA - G1, L Dipl FaGe MA - K2, L Dipl FaGe MA - G1M, LE - L1, LE - L2</t>
  </si>
  <si>
    <t>L Dipl FaGe MA - F1, L Dipl FaGe MA - G1, L Dipl FaGe - G2, L Dipl FaGe MA - K2, L Dipl FaGe MA - G1M, L Dipl FaGe - G2M, LE - L1</t>
  </si>
  <si>
    <t>L Dipl FaGe MA - F1, L Dipl FaGe MA - K2, LE - L1</t>
  </si>
  <si>
    <t>L1|LS</t>
  </si>
  <si>
    <t>LS|L1</t>
  </si>
  <si>
    <t>LE - LS|L1</t>
  </si>
  <si>
    <t>LE - L1|LS</t>
  </si>
  <si>
    <t>Pflege_WE_5</t>
  </si>
  <si>
    <t>LE_L1</t>
  </si>
  <si>
    <t>LE_L2</t>
  </si>
  <si>
    <t>LE - L2</t>
  </si>
  <si>
    <t>DA</t>
  </si>
  <si>
    <t>Dienstlich Abwesend</t>
  </si>
  <si>
    <t>-15 ,  -10 , 0 , 15</t>
  </si>
  <si>
    <t>L2 - Sa So</t>
  </si>
  <si>
    <t>24 - 32</t>
  </si>
  <si>
    <t>24 - 29</t>
  </si>
  <si>
    <t>1 - 1</t>
  </si>
  <si>
    <t>174, 184, 190, 190</t>
  </si>
  <si>
    <t>Besetzungsbedarf 2022</t>
  </si>
  <si>
    <t>Standort:</t>
  </si>
  <si>
    <t>St. Laurentius</t>
  </si>
  <si>
    <t>Abteilung:</t>
  </si>
  <si>
    <t>2.OG</t>
  </si>
  <si>
    <t>Montag bis Freitag</t>
  </si>
  <si>
    <t>Samstag / Sonntag und Feiertage</t>
  </si>
  <si>
    <t>Arbeitsplätze</t>
  </si>
  <si>
    <t>Bedarf</t>
  </si>
  <si>
    <r>
      <t>07:30 - 13:15, 14:00 - 16:</t>
    </r>
    <r>
      <rPr>
        <sz val="10"/>
        <color rgb="FFFF0000"/>
        <rFont val="Arial"/>
        <family val="2"/>
      </rPr>
      <t>15</t>
    </r>
  </si>
  <si>
    <t>0730-1015</t>
  </si>
  <si>
    <t>1015-1315</t>
  </si>
  <si>
    <t>1315-1615</t>
  </si>
  <si>
    <t>optLow</t>
  </si>
  <si>
    <t>optHigh</t>
  </si>
  <si>
    <t>max</t>
  </si>
  <si>
    <t>Alma_0730_1015</t>
  </si>
  <si>
    <t>Alma_1315_1615</t>
  </si>
  <si>
    <t>Alma_1615_1845</t>
  </si>
  <si>
    <t>Alma_1015_1145</t>
  </si>
  <si>
    <t>Alma_1145_1315</t>
  </si>
  <si>
    <t>MA - A1, MA - A2, MA - A3, MA - A4</t>
  </si>
  <si>
    <t>MA - A1, MA - A2, MA - A3, MA - A4, MA - A6</t>
  </si>
  <si>
    <t>MA - A3, MA - A4, MA - A6</t>
  </si>
  <si>
    <t>MA - A1, MA - A4, MA - A5, MA - A6</t>
  </si>
  <si>
    <t>L Dipl - F1, L Dipl - G1, L Dipl - G2</t>
  </si>
  <si>
    <t>5 - 5 - 2</t>
  </si>
  <si>
    <t>|LS</t>
  </si>
  <si>
    <t>Lernende Schule Morgen</t>
  </si>
  <si>
    <t>GS</t>
  </si>
  <si>
    <t>FK</t>
  </si>
  <si>
    <t>Geteilt und Spät</t>
  </si>
  <si>
    <t>Früh und Kurz</t>
  </si>
  <si>
    <t>FK : 5 - 3, GS : 5 - 3</t>
  </si>
  <si>
    <t>F - Sa So : 4 - 2 , G - Sa So : 4 - 2, FK : 12 - 9, GS : 12 - 9</t>
  </si>
  <si>
    <t>PF : 5 - 3</t>
  </si>
  <si>
    <t>FK : 5 - 4, GS : 5 - 4</t>
  </si>
  <si>
    <t>FK : 9 - 6, GS : 9 - 6</t>
  </si>
  <si>
    <t>MA - A3, MA - A4</t>
  </si>
  <si>
    <t>Alma_Kombi_A3_A4_verbieten</t>
  </si>
  <si>
    <t>S : 4 - 2</t>
  </si>
  <si>
    <t>112, 112, 135, 140</t>
  </si>
  <si>
    <t>S2030 - F0700 - DURCHSCHNITTLICH</t>
  </si>
  <si>
    <t>5 - 5 - 3</t>
  </si>
  <si>
    <t>5 - 5 - 4</t>
  </si>
  <si>
    <t>5 - 4 - 1</t>
  </si>
  <si>
    <t>100, 100, 116, 116</t>
  </si>
  <si>
    <t>174, 174, 190, 190</t>
  </si>
  <si>
    <t>24 - 48</t>
  </si>
  <si>
    <t>A6 : 3 - 3</t>
  </si>
  <si>
    <t>FK, S2</t>
  </si>
  <si>
    <r>
      <t xml:space="preserve">A3 - Mo Do, </t>
    </r>
    <r>
      <rPr>
        <sz val="10"/>
        <color rgb="FFFF0000"/>
        <rFont val="Arial"/>
        <family val="2"/>
      </rPr>
      <t>A5</t>
    </r>
    <r>
      <rPr>
        <sz val="10"/>
        <color theme="1"/>
        <rFont val="Arial"/>
        <family val="2"/>
      </rPr>
      <t>, A2, A6</t>
    </r>
  </si>
  <si>
    <t>A5, A2, A6</t>
  </si>
  <si>
    <t>L_Dipl 0700_1300</t>
  </si>
  <si>
    <t>L Dipl - F1, L Dipl - K2, L Dipl - G1, L Dipl - G2</t>
  </si>
  <si>
    <t>Abdeckung Monika gem. Februarplan</t>
  </si>
  <si>
    <t>K2, S2</t>
  </si>
  <si>
    <t>F1, K2, G2N</t>
  </si>
  <si>
    <t>F1, K2, S2</t>
  </si>
  <si>
    <t>F1, K2</t>
  </si>
  <si>
    <t>F1, G1</t>
  </si>
  <si>
    <t>F1, G1, G1</t>
  </si>
  <si>
    <t>K2, G1</t>
  </si>
  <si>
    <t>L1, L2, L2</t>
  </si>
  <si>
    <t>L1, L2</t>
  </si>
  <si>
    <t>MI</t>
  </si>
  <si>
    <t>DO</t>
  </si>
  <si>
    <t>FR</t>
  </si>
  <si>
    <t>MO</t>
  </si>
  <si>
    <t>DI</t>
  </si>
  <si>
    <t>F1, G2</t>
  </si>
  <si>
    <t>L1M, L1M</t>
  </si>
  <si>
    <t>K2, G2</t>
  </si>
  <si>
    <t>F1, S2</t>
  </si>
  <si>
    <t>K2, K2, S2</t>
  </si>
  <si>
    <t>L1, L1, L2</t>
  </si>
  <si>
    <t>Regeln</t>
  </si>
  <si>
    <t>- min 1 Dipl. am Morgen (F1, K2, G1, G2)</t>
  </si>
  <si>
    <t>- max 3 Dipl. an Wochentagen und Wochenenden</t>
  </si>
  <si>
    <t>- MA kein G2</t>
  </si>
  <si>
    <t>WT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</si>
</sst>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mm"/>
    <numFmt numFmtId="165" formatCode="yyyy\-mm\-dd;@"/>
  </numFmts>
  <fonts count="32">
    <font>
      <sz val="10"/>
      <color theme="1"/>
      <name val="Arial"/>
      <family val="2"/>
    </font>
    <font>
      <b/>
      <sz val="10"/>
      <color theme="1"/>
      <name val="Arial"/>
      <family val="2"/>
    </font>
    <font>
      <b/>
      <sz val="10"/>
      <color rgb="FF000000"/>
      <name val="Arial"/>
      <family val="2"/>
    </font>
    <font>
      <sz val="10"/>
      <color rgb="FFFF0000"/>
      <name val="Arial"/>
      <family val="2"/>
    </font>
    <font>
      <b/>
      <sz val="8"/>
      <color rgb="FF000000"/>
      <name val="Arial"/>
      <family val="2"/>
    </font>
    <font>
      <i/>
      <sz val="10"/>
      <color theme="1"/>
      <name val="Arial"/>
      <family val="2"/>
    </font>
    <font>
      <sz val="8"/>
      <color theme="1"/>
      <name val="Arial"/>
      <family val="2"/>
    </font>
    <font>
      <sz val="9.8000000000000007"/>
      <color rgb="FFA9B7C6"/>
      <name val="JetBrains Mono"/>
      <family val="3"/>
    </font>
    <font>
      <sz val="9.8000000000000007"/>
      <color rgb="FFFF0000"/>
      <name val="JetBrains Mono"/>
      <family val="3"/>
    </font>
    <font>
      <sz val="8"/>
      <name val="Arial"/>
      <family val="2"/>
    </font>
    <font>
      <sz val="8"/>
      <color rgb="FFFF0000"/>
      <name val="Arial"/>
      <family val="2"/>
    </font>
    <font>
      <b/>
      <sz val="10"/>
      <color rgb="FFFF0000"/>
      <name val="Arial"/>
      <family val="2"/>
    </font>
    <font>
      <sz val="10"/>
      <name val="Arial"/>
      <family val="2"/>
    </font>
    <font>
      <b/>
      <sz val="12"/>
      <color theme="1"/>
      <name val="Arial"/>
      <family val="2"/>
    </font>
    <font>
      <sz val="12"/>
      <color theme="1"/>
      <name val="Arial"/>
      <family val="2"/>
    </font>
    <font>
      <sz val="10"/>
      <color rgb="FF7030A0"/>
      <name val="Arial"/>
      <family val="2"/>
    </font>
    <font>
      <i/>
      <sz val="10"/>
      <color rgb="FFFF0000"/>
      <name val="Arial"/>
      <family val="2"/>
    </font>
    <font>
      <sz val="10"/>
      <color rgb="FF000000"/>
      <name val="Arial"/>
      <family val="2"/>
    </font>
    <font>
      <b/>
      <sz val="8"/>
      <color theme="1"/>
      <name val="Arial"/>
      <family val="2"/>
    </font>
    <font>
      <b/>
      <sz val="10"/>
      <color rgb="FF0070C0"/>
      <name val="Arial"/>
      <family val="2"/>
    </font>
    <font>
      <sz val="10"/>
      <color rgb="FF0070C0"/>
      <name val="Arial"/>
      <family val="2"/>
    </font>
    <font>
      <b/>
      <sz val="10"/>
      <name val="Arial"/>
      <family val="2"/>
    </font>
    <font>
      <sz val="8"/>
      <color rgb="FF000000"/>
      <name val="Arial"/>
      <family val="2"/>
    </font>
    <font>
      <i/>
      <sz val="10"/>
      <name val="Arial"/>
      <family val="2"/>
    </font>
    <font>
      <sz val="9"/>
      <color theme="1"/>
      <name val="Segoe UI"/>
      <family val="2"/>
    </font>
    <font>
      <sz val="10"/>
      <color theme="0" tint="-0.34998626667073579"/>
      <name val="Arial"/>
      <family val="2"/>
    </font>
    <font>
      <b/>
      <sz val="8"/>
      <name val="Arial"/>
      <family val="2"/>
    </font>
    <font>
      <sz val="9"/>
      <color indexed="81"/>
      <name val="Segoe UI"/>
      <charset val="1"/>
    </font>
    <font>
      <b/>
      <sz val="14"/>
      <color theme="1"/>
      <name val="Arial"/>
      <family val="2"/>
    </font>
    <font>
      <sz val="9"/>
      <color theme="1"/>
      <name val="Arial"/>
      <family val="2"/>
    </font>
    <font>
      <b/>
      <sz val="9"/>
      <color theme="1"/>
      <name val="Arial"/>
      <family val="2"/>
    </font>
    <font>
      <sz val="9"/>
      <color indexed="81"/>
      <name val="Segoe UI"/>
      <family val="2"/>
    </font>
  </fonts>
  <fills count="23">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rgb="FF000000"/>
      </patternFill>
    </fill>
    <fill>
      <patternFill patternType="solid">
        <fgColor theme="9" tint="0.79998168889431442"/>
        <bgColor indexed="64"/>
      </patternFill>
    </fill>
    <fill>
      <patternFill patternType="solid">
        <fgColor theme="0" tint="-0.249977111117893"/>
        <bgColor indexed="64"/>
      </patternFill>
    </fill>
    <fill>
      <patternFill patternType="solid">
        <fgColor theme="9" tint="0.79998168889431442"/>
        <bgColor rgb="FF000000"/>
      </patternFill>
    </fill>
    <fill>
      <patternFill patternType="solid">
        <fgColor rgb="FFC0C0C0"/>
        <bgColor indexed="64"/>
      </patternFill>
    </fill>
    <fill>
      <patternFill patternType="solid">
        <fgColor rgb="FFFFEE91"/>
        <bgColor indexed="64"/>
      </patternFill>
    </fill>
    <fill>
      <patternFill patternType="solid">
        <fgColor rgb="FF9BCC97"/>
        <bgColor indexed="64"/>
      </patternFill>
    </fill>
    <fill>
      <patternFill patternType="solid">
        <fgColor rgb="FF009EE3"/>
        <bgColor indexed="64"/>
      </patternFill>
    </fill>
    <fill>
      <patternFill patternType="solid">
        <fgColor rgb="FFC7A48B"/>
        <bgColor indexed="64"/>
      </patternFill>
    </fill>
    <fill>
      <patternFill patternType="solid">
        <fgColor rgb="FFFA8D74"/>
        <bgColor indexed="64"/>
      </patternFill>
    </fill>
    <fill>
      <patternFill patternType="solid">
        <fgColor theme="7" tint="0.79998168889431442"/>
        <bgColor indexed="64"/>
      </patternFill>
    </fill>
    <fill>
      <patternFill patternType="solid">
        <fgColor rgb="FFC5BDAF"/>
        <bgColor indexed="64"/>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000"/>
        <bgColor indexed="64"/>
      </patternFill>
    </fill>
  </fills>
  <borders count="83">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hair">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hair">
        <color indexed="64"/>
      </top>
      <bottom style="medium">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medium">
        <color rgb="FFFFFF00"/>
      </right>
      <top style="medium">
        <color indexed="64"/>
      </top>
      <bottom/>
      <diagonal/>
    </border>
    <border>
      <left/>
      <right style="hair">
        <color indexed="64"/>
      </right>
      <top style="medium">
        <color indexed="64"/>
      </top>
      <bottom/>
      <diagonal/>
    </border>
    <border>
      <left style="medium">
        <color rgb="FFFFFF00"/>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style="medium">
        <color rgb="FFFFFF00"/>
      </right>
      <top/>
      <bottom style="medium">
        <color rgb="FFFFFF00"/>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medium">
        <color rgb="FFFFFF00"/>
      </top>
      <bottom style="medium">
        <color indexed="64"/>
      </bottom>
      <diagonal/>
    </border>
    <border>
      <left style="hair">
        <color indexed="64"/>
      </left>
      <right style="medium">
        <color indexed="64"/>
      </right>
      <top style="medium">
        <color indexed="64"/>
      </top>
      <bottom/>
      <diagonal/>
    </border>
    <border>
      <left/>
      <right style="hair">
        <color indexed="64"/>
      </right>
      <top style="medium">
        <color rgb="FFFFFF00"/>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hair">
        <color indexed="64"/>
      </left>
      <right/>
      <top style="medium">
        <color indexed="64"/>
      </top>
      <bottom/>
      <diagonal/>
    </border>
  </borders>
  <cellStyleXfs count="1">
    <xf numFmtId="0" fontId="0" fillId="0" borderId="0"/>
  </cellStyleXfs>
  <cellXfs count="483">
    <xf numFmtId="0" fontId="0" fillId="0" borderId="0" xfId="0"/>
    <xf numFmtId="0" fontId="0" fillId="0" borderId="3" xfId="0" applyBorder="1"/>
    <xf numFmtId="0" fontId="2" fillId="2" borderId="6" xfId="0" applyFont="1" applyFill="1" applyBorder="1" applyAlignment="1">
      <alignment horizontal="left"/>
    </xf>
    <xf numFmtId="0" fontId="2" fillId="2" borderId="7" xfId="0" applyFont="1" applyFill="1" applyBorder="1" applyAlignment="1">
      <alignment horizontal="left"/>
    </xf>
    <xf numFmtId="49" fontId="0" fillId="0" borderId="0" xfId="0" applyNumberFormat="1" applyAlignment="1">
      <alignment horizontal="left"/>
    </xf>
    <xf numFmtId="0" fontId="0" fillId="0" borderId="7" xfId="0" applyBorder="1"/>
    <xf numFmtId="0" fontId="2" fillId="2" borderId="2" xfId="0" applyFont="1" applyFill="1" applyBorder="1" applyAlignment="1">
      <alignment horizontal="left"/>
    </xf>
    <xf numFmtId="0" fontId="2" fillId="2" borderId="1" xfId="0" applyFont="1" applyFill="1" applyBorder="1" applyAlignment="1">
      <alignment horizontal="left"/>
    </xf>
    <xf numFmtId="0" fontId="2" fillId="2" borderId="3" xfId="0" applyFont="1" applyFill="1" applyBorder="1" applyAlignment="1">
      <alignment horizontal="left"/>
    </xf>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49" fontId="0" fillId="3" borderId="6" xfId="0" applyNumberFormat="1" applyFill="1" applyBorder="1" applyAlignment="1">
      <alignment horizontal="left"/>
    </xf>
    <xf numFmtId="49" fontId="0" fillId="3" borderId="2" xfId="0" applyNumberFormat="1" applyFill="1" applyBorder="1" applyAlignment="1">
      <alignment horizontal="left"/>
    </xf>
    <xf numFmtId="0" fontId="1" fillId="2" borderId="0" xfId="0" applyFont="1" applyFill="1" applyAlignment="1">
      <alignment horizontal="right"/>
    </xf>
    <xf numFmtId="49" fontId="0" fillId="0" borderId="2" xfId="0" applyNumberFormat="1" applyBorder="1"/>
    <xf numFmtId="0" fontId="2" fillId="2" borderId="14" xfId="0" applyFont="1" applyFill="1" applyBorder="1" applyAlignment="1">
      <alignment horizontal="left"/>
    </xf>
    <xf numFmtId="0" fontId="0" fillId="3" borderId="1" xfId="0" applyFill="1" applyBorder="1" applyAlignment="1">
      <alignment horizontal="left"/>
    </xf>
    <xf numFmtId="0" fontId="0" fillId="3" borderId="3" xfId="0" applyFill="1" applyBorder="1" applyAlignment="1">
      <alignment horizontal="left"/>
    </xf>
    <xf numFmtId="0" fontId="6" fillId="0" borderId="14" xfId="0" applyFont="1" applyBorder="1"/>
    <xf numFmtId="0" fontId="6" fillId="0" borderId="15" xfId="0" applyFont="1" applyBorder="1"/>
    <xf numFmtId="164" fontId="4" fillId="2" borderId="13" xfId="0" applyNumberFormat="1" applyFont="1" applyFill="1" applyBorder="1" applyAlignment="1">
      <alignment horizontal="left"/>
    </xf>
    <xf numFmtId="164" fontId="4" fillId="2" borderId="14" xfId="0" applyNumberFormat="1" applyFont="1" applyFill="1" applyBorder="1" applyAlignment="1">
      <alignment horizontal="left"/>
    </xf>
    <xf numFmtId="164" fontId="4" fillId="2" borderId="15" xfId="0" applyNumberFormat="1" applyFont="1" applyFill="1" applyBorder="1" applyAlignment="1">
      <alignment horizontal="left"/>
    </xf>
    <xf numFmtId="0" fontId="6" fillId="2" borderId="10" xfId="0" applyFont="1" applyFill="1" applyBorder="1" applyAlignment="1">
      <alignment horizontal="left"/>
    </xf>
    <xf numFmtId="49" fontId="6" fillId="2" borderId="11" xfId="0" applyNumberFormat="1" applyFont="1" applyFill="1" applyBorder="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10" xfId="0" applyBorder="1"/>
    <xf numFmtId="0" fontId="0" fillId="0" borderId="9" xfId="0" applyBorder="1"/>
    <xf numFmtId="49" fontId="0" fillId="5" borderId="2" xfId="0" applyNumberFormat="1" applyFill="1" applyBorder="1"/>
    <xf numFmtId="0" fontId="0" fillId="5" borderId="0" xfId="0" applyFill="1"/>
    <xf numFmtId="49" fontId="0" fillId="5" borderId="0" xfId="0" applyNumberFormat="1" applyFill="1"/>
    <xf numFmtId="49" fontId="0" fillId="5" borderId="3" xfId="0" applyNumberFormat="1" applyFill="1" applyBorder="1"/>
    <xf numFmtId="49" fontId="0" fillId="3" borderId="7" xfId="0" applyNumberFormat="1" applyFill="1" applyBorder="1" applyAlignment="1">
      <alignment horizontal="left"/>
    </xf>
    <xf numFmtId="49" fontId="0" fillId="3" borderId="0" xfId="0" applyNumberFormat="1" applyFill="1" applyAlignment="1">
      <alignment horizontal="left"/>
    </xf>
    <xf numFmtId="49" fontId="0" fillId="5" borderId="0" xfId="0" applyNumberFormat="1" applyFill="1" applyAlignment="1">
      <alignment horizontal="center"/>
    </xf>
    <xf numFmtId="0" fontId="1" fillId="6" borderId="12" xfId="0" applyFont="1" applyFill="1" applyBorder="1" applyAlignment="1">
      <alignment horizontal="left"/>
    </xf>
    <xf numFmtId="0" fontId="0" fillId="0" borderId="0" xfId="0" applyAlignment="1">
      <alignment wrapText="1"/>
    </xf>
    <xf numFmtId="0" fontId="3" fillId="0" borderId="0" xfId="0" applyFont="1" applyAlignment="1">
      <alignment wrapText="1"/>
    </xf>
    <xf numFmtId="0" fontId="12" fillId="0" borderId="0" xfId="0" applyFont="1"/>
    <xf numFmtId="0" fontId="5" fillId="0" borderId="2" xfId="0" applyFont="1" applyBorder="1"/>
    <xf numFmtId="0" fontId="5" fillId="0" borderId="0" xfId="0" applyFont="1"/>
    <xf numFmtId="0" fontId="5" fillId="0" borderId="3" xfId="0" applyFont="1" applyBorder="1"/>
    <xf numFmtId="49" fontId="0" fillId="0" borderId="13" xfId="0" applyNumberFormat="1" applyBorder="1"/>
    <xf numFmtId="49" fontId="0" fillId="0" borderId="14" xfId="0" applyNumberFormat="1" applyBorder="1"/>
    <xf numFmtId="49" fontId="0" fillId="0" borderId="15" xfId="0" applyNumberFormat="1" applyBorder="1"/>
    <xf numFmtId="0" fontId="13" fillId="0" borderId="0" xfId="0" applyFont="1"/>
    <xf numFmtId="0" fontId="14" fillId="0" borderId="0" xfId="0" applyFont="1"/>
    <xf numFmtId="0" fontId="1" fillId="2" borderId="13" xfId="0" applyFont="1" applyFill="1" applyBorder="1"/>
    <xf numFmtId="0" fontId="1" fillId="2" borderId="14" xfId="0" applyFont="1" applyFill="1" applyBorder="1"/>
    <xf numFmtId="0" fontId="1" fillId="2" borderId="15" xfId="0" applyFont="1" applyFill="1" applyBorder="1"/>
    <xf numFmtId="0" fontId="0" fillId="0" borderId="2" xfId="0" applyBorder="1"/>
    <xf numFmtId="49" fontId="0" fillId="0" borderId="0" xfId="0" applyNumberFormat="1"/>
    <xf numFmtId="0" fontId="11" fillId="0" borderId="0" xfId="0" applyFont="1"/>
    <xf numFmtId="0" fontId="3" fillId="0" borderId="3" xfId="0" applyFont="1" applyBorder="1"/>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5" borderId="0" xfId="0" applyFill="1" applyAlignment="1">
      <alignment wrapText="1"/>
    </xf>
    <xf numFmtId="0" fontId="7" fillId="0" borderId="0" xfId="0" applyFont="1" applyAlignment="1">
      <alignment wrapText="1"/>
    </xf>
    <xf numFmtId="0" fontId="1" fillId="6" borderId="0" xfId="0" applyFont="1" applyFill="1" applyAlignment="1">
      <alignment horizontal="left" wrapText="1"/>
    </xf>
    <xf numFmtId="0" fontId="1" fillId="5" borderId="0" xfId="0" applyFont="1" applyFill="1" applyAlignment="1">
      <alignment horizontal="left" wrapText="1"/>
    </xf>
    <xf numFmtId="0" fontId="0" fillId="0" borderId="6" xfId="0" applyBorder="1" applyAlignment="1">
      <alignment wrapText="1"/>
    </xf>
    <xf numFmtId="0" fontId="0" fillId="0" borderId="7" xfId="0" applyBorder="1" applyAlignment="1">
      <alignment wrapText="1"/>
    </xf>
    <xf numFmtId="20" fontId="0" fillId="0" borderId="7" xfId="0" applyNumberFormat="1" applyBorder="1" applyAlignment="1">
      <alignment wrapText="1"/>
    </xf>
    <xf numFmtId="20" fontId="0" fillId="0" borderId="1" xfId="0" applyNumberFormat="1" applyBorder="1" applyAlignment="1">
      <alignment wrapText="1"/>
    </xf>
    <xf numFmtId="0" fontId="0" fillId="0" borderId="4" xfId="0" applyBorder="1" applyAlignment="1">
      <alignment wrapText="1"/>
    </xf>
    <xf numFmtId="0" fontId="0" fillId="0" borderId="8" xfId="0" applyBorder="1" applyAlignment="1">
      <alignment wrapText="1"/>
    </xf>
    <xf numFmtId="20" fontId="0" fillId="0" borderId="8" xfId="0" applyNumberFormat="1" applyBorder="1" applyAlignment="1">
      <alignment wrapText="1"/>
    </xf>
    <xf numFmtId="20" fontId="3" fillId="0" borderId="8" xfId="0" applyNumberFormat="1" applyFont="1" applyBorder="1" applyAlignment="1">
      <alignment wrapText="1"/>
    </xf>
    <xf numFmtId="0" fontId="0" fillId="0" borderId="2" xfId="0" applyBorder="1" applyAlignment="1">
      <alignment wrapText="1"/>
    </xf>
    <xf numFmtId="20" fontId="0" fillId="0" borderId="0" xfId="0" applyNumberFormat="1" applyAlignment="1">
      <alignment wrapText="1"/>
    </xf>
    <xf numFmtId="20" fontId="0" fillId="0" borderId="3" xfId="0" applyNumberFormat="1" applyBorder="1" applyAlignment="1">
      <alignment wrapText="1"/>
    </xf>
    <xf numFmtId="0" fontId="12" fillId="0" borderId="2" xfId="0" applyFont="1" applyBorder="1" applyAlignment="1">
      <alignment wrapText="1"/>
    </xf>
    <xf numFmtId="0" fontId="12" fillId="0" borderId="0" xfId="0" applyFont="1" applyAlignment="1">
      <alignment wrapText="1"/>
    </xf>
    <xf numFmtId="20" fontId="12" fillId="0" borderId="0" xfId="0" applyNumberFormat="1" applyFont="1" applyAlignment="1">
      <alignment wrapText="1"/>
    </xf>
    <xf numFmtId="0" fontId="8" fillId="0" borderId="0" xfId="0" applyFont="1" applyAlignment="1">
      <alignment wrapText="1"/>
    </xf>
    <xf numFmtId="20" fontId="12" fillId="0" borderId="8" xfId="0" applyNumberFormat="1" applyFont="1" applyBorder="1" applyAlignment="1">
      <alignment wrapText="1"/>
    </xf>
    <xf numFmtId="20" fontId="0" fillId="0" borderId="5" xfId="0" applyNumberFormat="1" applyBorder="1" applyAlignment="1">
      <alignment wrapText="1"/>
    </xf>
    <xf numFmtId="0" fontId="12" fillId="0" borderId="6" xfId="0" applyFont="1" applyBorder="1" applyAlignment="1">
      <alignment wrapText="1"/>
    </xf>
    <xf numFmtId="0" fontId="12" fillId="0" borderId="7" xfId="0" applyFont="1" applyBorder="1" applyAlignment="1">
      <alignment wrapText="1"/>
    </xf>
    <xf numFmtId="20" fontId="12" fillId="0" borderId="7" xfId="0" applyNumberFormat="1" applyFont="1" applyBorder="1" applyAlignment="1">
      <alignmen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5" borderId="0" xfId="0" applyNumberFormat="1" applyFont="1" applyFill="1" applyAlignment="1">
      <alignment wrapText="1"/>
    </xf>
    <xf numFmtId="0" fontId="3" fillId="0" borderId="2" xfId="0" applyFont="1" applyBorder="1" applyAlignment="1">
      <alignment vertical="center" wrapText="1"/>
    </xf>
    <xf numFmtId="20" fontId="3" fillId="0" borderId="0" xfId="0" applyNumberFormat="1"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0" fontId="3" fillId="0" borderId="5" xfId="0" applyFont="1" applyBorder="1" applyAlignment="1">
      <alignment wrapText="1"/>
    </xf>
    <xf numFmtId="0" fontId="0" fillId="0" borderId="0" xfId="0" applyAlignment="1">
      <alignment vertical="center" wrapText="1"/>
    </xf>
    <xf numFmtId="20" fontId="12" fillId="0" borderId="5" xfId="0" applyNumberFormat="1" applyFont="1" applyBorder="1" applyAlignment="1">
      <alignment wrapText="1"/>
    </xf>
    <xf numFmtId="0" fontId="2" fillId="7" borderId="12" xfId="0" applyFont="1" applyFill="1" applyBorder="1" applyAlignment="1">
      <alignment horizontal="left"/>
    </xf>
    <xf numFmtId="0" fontId="0" fillId="2" borderId="15" xfId="0" applyFill="1" applyBorder="1"/>
    <xf numFmtId="0" fontId="2" fillId="7" borderId="10" xfId="0" applyFont="1" applyFill="1" applyBorder="1" applyAlignment="1">
      <alignment horizontal="left"/>
    </xf>
    <xf numFmtId="0" fontId="17" fillId="0" borderId="6" xfId="0" applyFont="1" applyBorder="1"/>
    <xf numFmtId="0" fontId="17" fillId="0" borderId="1" xfId="0" applyFont="1" applyBorder="1"/>
    <xf numFmtId="0" fontId="0" fillId="0" borderId="5" xfId="0" applyBorder="1"/>
    <xf numFmtId="20" fontId="12" fillId="0" borderId="3" xfId="0" applyNumberFormat="1" applyFont="1" applyBorder="1" applyAlignment="1">
      <alignment wrapText="1"/>
    </xf>
    <xf numFmtId="0" fontId="7" fillId="0" borderId="0" xfId="0" applyFont="1"/>
    <xf numFmtId="0" fontId="1" fillId="6" borderId="0" xfId="0" applyFont="1" applyFill="1" applyAlignment="1">
      <alignment horizontal="left"/>
    </xf>
    <xf numFmtId="0" fontId="3" fillId="8" borderId="7" xfId="0" applyFont="1" applyFill="1" applyBorder="1" applyAlignment="1">
      <alignment horizontal="center" vertical="top"/>
    </xf>
    <xf numFmtId="0" fontId="18" fillId="2" borderId="7" xfId="0" applyFont="1" applyFill="1" applyBorder="1"/>
    <xf numFmtId="0" fontId="0" fillId="5" borderId="10" xfId="0" applyFill="1" applyBorder="1"/>
    <xf numFmtId="0" fontId="0" fillId="5" borderId="9" xfId="0" applyFill="1" applyBorder="1"/>
    <xf numFmtId="0" fontId="0" fillId="0" borderId="8" xfId="0" applyBorder="1"/>
    <xf numFmtId="49" fontId="0" fillId="5" borderId="14" xfId="0" applyNumberFormat="1" applyFill="1" applyBorder="1"/>
    <xf numFmtId="49" fontId="0" fillId="5" borderId="4" xfId="0" applyNumberFormat="1" applyFill="1" applyBorder="1"/>
    <xf numFmtId="49" fontId="0" fillId="9" borderId="15" xfId="0" applyNumberFormat="1" applyFill="1" applyBorder="1"/>
    <xf numFmtId="0" fontId="0" fillId="0" borderId="0" xfId="0" applyAlignment="1">
      <alignment horizontal="center"/>
    </xf>
    <xf numFmtId="49" fontId="12" fillId="0" borderId="0" xfId="0" applyNumberFormat="1" applyFont="1"/>
    <xf numFmtId="0" fontId="1" fillId="2" borderId="6" xfId="0" applyFont="1" applyFill="1" applyBorder="1"/>
    <xf numFmtId="0" fontId="1" fillId="2" borderId="7" xfId="0" applyFont="1" applyFill="1" applyBorder="1"/>
    <xf numFmtId="0" fontId="19" fillId="6" borderId="16" xfId="0" applyFont="1" applyFill="1" applyBorder="1" applyAlignment="1">
      <alignment wrapText="1"/>
    </xf>
    <xf numFmtId="0" fontId="19" fillId="0" borderId="16" xfId="0" applyFont="1" applyBorder="1"/>
    <xf numFmtId="0" fontId="20" fillId="0" borderId="16" xfId="0" applyFont="1" applyBorder="1"/>
    <xf numFmtId="20" fontId="20" fillId="0" borderId="16" xfId="0" applyNumberFormat="1" applyFont="1" applyBorder="1"/>
    <xf numFmtId="0" fontId="19" fillId="0" borderId="0" xfId="0" applyFont="1"/>
    <xf numFmtId="0" fontId="20" fillId="0" borderId="0" xfId="0" applyFont="1"/>
    <xf numFmtId="20" fontId="20" fillId="0" borderId="0" xfId="0" applyNumberFormat="1" applyFont="1"/>
    <xf numFmtId="0" fontId="16" fillId="0" borderId="2" xfId="0" applyFont="1" applyBorder="1"/>
    <xf numFmtId="49" fontId="12" fillId="0" borderId="3" xfId="0" applyNumberFormat="1" applyFont="1" applyBorder="1"/>
    <xf numFmtId="49" fontId="3" fillId="0" borderId="0" xfId="0" applyNumberFormat="1" applyFont="1"/>
    <xf numFmtId="49" fontId="15" fillId="0" borderId="2" xfId="0" applyNumberFormat="1" applyFont="1" applyBorder="1"/>
    <xf numFmtId="0" fontId="0" fillId="6" borderId="0" xfId="0" applyFill="1"/>
    <xf numFmtId="0" fontId="0" fillId="0" borderId="12" xfId="0" applyBorder="1"/>
    <xf numFmtId="0" fontId="0" fillId="6" borderId="6" xfId="0" applyFill="1" applyBorder="1" applyAlignment="1">
      <alignment horizontal="right"/>
    </xf>
    <xf numFmtId="0" fontId="0" fillId="6" borderId="1" xfId="0" applyFill="1" applyBorder="1"/>
    <xf numFmtId="0" fontId="18" fillId="2" borderId="0" xfId="0" applyFont="1" applyFill="1"/>
    <xf numFmtId="0" fontId="17" fillId="6" borderId="0" xfId="0" applyFont="1" applyFill="1"/>
    <xf numFmtId="0" fontId="2" fillId="2" borderId="0" xfId="0" applyFont="1" applyFill="1" applyAlignment="1">
      <alignment horizontal="left"/>
    </xf>
    <xf numFmtId="0" fontId="0" fillId="6" borderId="4" xfId="0" applyFill="1" applyBorder="1" applyAlignment="1">
      <alignment horizontal="right"/>
    </xf>
    <xf numFmtId="0" fontId="0" fillId="6" borderId="5" xfId="0" applyFill="1" applyBorder="1"/>
    <xf numFmtId="49" fontId="22" fillId="10" borderId="5" xfId="0" applyNumberFormat="1" applyFont="1" applyFill="1" applyBorder="1"/>
    <xf numFmtId="0" fontId="17" fillId="0" borderId="0" xfId="0" applyFont="1"/>
    <xf numFmtId="0" fontId="6" fillId="0" borderId="13" xfId="0" applyFont="1" applyBorder="1"/>
    <xf numFmtId="0" fontId="6" fillId="8" borderId="14" xfId="0" applyFont="1" applyFill="1" applyBorder="1"/>
    <xf numFmtId="0" fontId="6" fillId="2" borderId="0" xfId="0" applyFont="1" applyFill="1"/>
    <xf numFmtId="49" fontId="22" fillId="7" borderId="10" xfId="0" applyNumberFormat="1" applyFont="1" applyFill="1" applyBorder="1"/>
    <xf numFmtId="164" fontId="4" fillId="8" borderId="14" xfId="0" applyNumberFormat="1" applyFont="1" applyFill="1" applyBorder="1" applyAlignment="1">
      <alignment horizontal="left"/>
    </xf>
    <xf numFmtId="49" fontId="6" fillId="2" borderId="12" xfId="0" applyNumberFormat="1" applyFont="1" applyFill="1" applyBorder="1"/>
    <xf numFmtId="0" fontId="6" fillId="6" borderId="0" xfId="0" applyFont="1" applyFill="1" applyAlignment="1">
      <alignment horizontal="right" indent="1"/>
    </xf>
    <xf numFmtId="49" fontId="22" fillId="10" borderId="11" xfId="0" applyNumberFormat="1" applyFont="1" applyFill="1" applyBorder="1"/>
    <xf numFmtId="49" fontId="0" fillId="0" borderId="6" xfId="0" applyNumberFormat="1" applyBorder="1" applyAlignment="1">
      <alignment horizontal="left"/>
    </xf>
    <xf numFmtId="0" fontId="17" fillId="0" borderId="9" xfId="0" applyFont="1" applyBorder="1" applyAlignment="1">
      <alignment horizontal="center"/>
    </xf>
    <xf numFmtId="49" fontId="0" fillId="0" borderId="2" xfId="0" applyNumberFormat="1" applyBorder="1" applyAlignment="1">
      <alignment horizontal="left"/>
    </xf>
    <xf numFmtId="0" fontId="1" fillId="6" borderId="0" xfId="0" applyFont="1" applyFill="1"/>
    <xf numFmtId="0" fontId="3" fillId="6" borderId="0" xfId="0" applyFont="1" applyFill="1" applyAlignment="1">
      <alignment horizontal="left"/>
    </xf>
    <xf numFmtId="0" fontId="3" fillId="6" borderId="0" xfId="0" applyFont="1" applyFill="1"/>
    <xf numFmtId="0" fontId="12" fillId="0" borderId="0" xfId="0" applyFont="1" applyAlignment="1">
      <alignment horizontal="left"/>
    </xf>
    <xf numFmtId="49" fontId="12" fillId="0" borderId="2" xfId="0" applyNumberFormat="1" applyFont="1" applyBorder="1"/>
    <xf numFmtId="0" fontId="0" fillId="0" borderId="0" xfId="0" quotePrefix="1"/>
    <xf numFmtId="0" fontId="12" fillId="0" borderId="13" xfId="0" applyFont="1" applyBorder="1" applyAlignment="1">
      <alignment vertical="center" wrapText="1"/>
    </xf>
    <xf numFmtId="0" fontId="12" fillId="0" borderId="14" xfId="0" applyFont="1" applyBorder="1" applyAlignment="1">
      <alignment wrapText="1"/>
    </xf>
    <xf numFmtId="20" fontId="12" fillId="0" borderId="14" xfId="0" applyNumberFormat="1" applyFont="1" applyBorder="1" applyAlignment="1">
      <alignment wrapText="1"/>
    </xf>
    <xf numFmtId="0" fontId="23" fillId="0" borderId="2" xfId="0" applyFont="1" applyBorder="1"/>
    <xf numFmtId="0" fontId="3" fillId="0" borderId="9" xfId="0" applyFont="1" applyBorder="1" applyAlignment="1">
      <alignment horizontal="center"/>
    </xf>
    <xf numFmtId="49" fontId="10" fillId="7" borderId="10" xfId="0" applyNumberFormat="1" applyFont="1" applyFill="1" applyBorder="1"/>
    <xf numFmtId="0" fontId="12" fillId="0" borderId="8" xfId="0" applyFont="1" applyBorder="1"/>
    <xf numFmtId="0" fontId="0" fillId="0" borderId="6" xfId="0" applyBorder="1" applyAlignment="1">
      <alignment horizontal="center"/>
    </xf>
    <xf numFmtId="0" fontId="0" fillId="0" borderId="1" xfId="0" applyBorder="1" applyAlignment="1">
      <alignment horizontal="center"/>
    </xf>
    <xf numFmtId="0" fontId="0" fillId="0" borderId="7"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2" fillId="0" borderId="2" xfId="0" applyFont="1" applyBorder="1" applyAlignment="1">
      <alignment horizontal="center"/>
    </xf>
    <xf numFmtId="0" fontId="12" fillId="0" borderId="3" xfId="0" applyFont="1" applyBorder="1" applyAlignment="1">
      <alignment horizontal="center"/>
    </xf>
    <xf numFmtId="0" fontId="12" fillId="0" borderId="0" xfId="0" applyFont="1" applyAlignment="1">
      <alignment horizontal="center"/>
    </xf>
    <xf numFmtId="0" fontId="12" fillId="0" borderId="4" xfId="0" applyFont="1" applyBorder="1" applyAlignment="1">
      <alignment horizontal="center"/>
    </xf>
    <xf numFmtId="0" fontId="12" fillId="0" borderId="8" xfId="0" applyFont="1" applyBorder="1" applyAlignment="1">
      <alignment horizontal="center"/>
    </xf>
    <xf numFmtId="0" fontId="12" fillId="0" borderId="5" xfId="0" applyFont="1" applyBorder="1" applyAlignment="1">
      <alignment horizontal="center"/>
    </xf>
    <xf numFmtId="0" fontId="12" fillId="0" borderId="7" xfId="0" applyFont="1" applyBorder="1"/>
    <xf numFmtId="0" fontId="0" fillId="0" borderId="4" xfId="0" applyBorder="1" applyAlignment="1">
      <alignment horizontal="center"/>
    </xf>
    <xf numFmtId="0" fontId="0" fillId="0" borderId="5" xfId="0" applyBorder="1" applyAlignment="1">
      <alignment horizontal="center"/>
    </xf>
    <xf numFmtId="0" fontId="0" fillId="0" borderId="8" xfId="0" applyBorder="1" applyAlignment="1">
      <alignment horizontal="center"/>
    </xf>
    <xf numFmtId="0" fontId="12" fillId="0" borderId="6" xfId="0" applyFont="1" applyBorder="1" applyAlignment="1">
      <alignment horizontal="center"/>
    </xf>
    <xf numFmtId="0" fontId="12" fillId="0" borderId="1" xfId="0" applyFont="1" applyBorder="1" applyAlignment="1">
      <alignment horizontal="center"/>
    </xf>
    <xf numFmtId="0" fontId="12" fillId="0" borderId="7" xfId="0" applyFont="1" applyBorder="1" applyAlignment="1">
      <alignment horizontal="center"/>
    </xf>
    <xf numFmtId="49" fontId="3" fillId="0" borderId="2" xfId="0" applyNumberFormat="1" applyFont="1" applyBorder="1"/>
    <xf numFmtId="0" fontId="24" fillId="0" borderId="0" xfId="0" applyFont="1" applyAlignment="1">
      <alignment vertical="center"/>
    </xf>
    <xf numFmtId="0" fontId="5" fillId="0" borderId="15" xfId="0" applyFont="1" applyBorder="1"/>
    <xf numFmtId="0" fontId="23" fillId="0" borderId="3" xfId="0" applyFont="1" applyBorder="1"/>
    <xf numFmtId="0" fontId="0" fillId="5" borderId="12" xfId="0" applyFill="1" applyBorder="1"/>
    <xf numFmtId="0" fontId="0" fillId="0" borderId="15" xfId="0" applyBorder="1"/>
    <xf numFmtId="0" fontId="25" fillId="6" borderId="0" xfId="0" applyFont="1" applyFill="1"/>
    <xf numFmtId="0" fontId="6" fillId="0" borderId="2" xfId="0" applyFont="1" applyBorder="1" applyAlignment="1">
      <alignment horizontal="center"/>
    </xf>
    <xf numFmtId="0" fontId="6" fillId="0" borderId="0" xfId="0" applyFont="1" applyAlignment="1">
      <alignment horizontal="center"/>
    </xf>
    <xf numFmtId="0" fontId="6" fillId="8" borderId="0" xfId="0" applyFont="1" applyFill="1" applyAlignment="1">
      <alignment horizontal="center"/>
    </xf>
    <xf numFmtId="0" fontId="6" fillId="0" borderId="7" xfId="0" applyFont="1" applyBorder="1" applyAlignment="1">
      <alignment horizontal="center"/>
    </xf>
    <xf numFmtId="0" fontId="6" fillId="0" borderId="3" xfId="0" applyFont="1" applyBorder="1" applyAlignment="1">
      <alignment horizontal="center"/>
    </xf>
    <xf numFmtId="49" fontId="6" fillId="0" borderId="0" xfId="0" applyNumberFormat="1" applyFont="1" applyAlignment="1">
      <alignment horizontal="center"/>
    </xf>
    <xf numFmtId="0" fontId="10" fillId="0" borderId="0" xfId="0" applyFont="1" applyAlignment="1">
      <alignment horizontal="center"/>
    </xf>
    <xf numFmtId="0" fontId="12" fillId="0" borderId="10" xfId="0" applyFont="1" applyBorder="1"/>
    <xf numFmtId="0" fontId="9" fillId="0" borderId="0" xfId="0" applyFont="1" applyAlignment="1">
      <alignment horizontal="center"/>
    </xf>
    <xf numFmtId="0" fontId="12" fillId="0" borderId="9" xfId="0" applyFont="1" applyBorder="1"/>
    <xf numFmtId="0" fontId="12" fillId="0" borderId="9" xfId="0" applyFont="1" applyBorder="1" applyAlignment="1">
      <alignment horizontal="center"/>
    </xf>
    <xf numFmtId="49" fontId="12" fillId="0" borderId="2" xfId="0" applyNumberFormat="1" applyFont="1" applyBorder="1" applyAlignment="1">
      <alignment horizontal="left"/>
    </xf>
    <xf numFmtId="0" fontId="12" fillId="3" borderId="3" xfId="0" applyFont="1" applyFill="1" applyBorder="1" applyAlignment="1">
      <alignment horizontal="left"/>
    </xf>
    <xf numFmtId="0" fontId="9" fillId="8" borderId="0" xfId="0" applyFont="1" applyFill="1" applyAlignment="1">
      <alignment horizontal="center"/>
    </xf>
    <xf numFmtId="0" fontId="12" fillId="6" borderId="0" xfId="0" applyFont="1" applyFill="1"/>
    <xf numFmtId="0" fontId="12" fillId="0" borderId="3" xfId="0" applyFont="1" applyBorder="1"/>
    <xf numFmtId="0" fontId="21" fillId="6" borderId="12" xfId="0" applyFont="1" applyFill="1" applyBorder="1" applyAlignment="1">
      <alignment horizontal="left"/>
    </xf>
    <xf numFmtId="49" fontId="3" fillId="0" borderId="14" xfId="0" applyNumberFormat="1" applyFont="1" applyBorder="1"/>
    <xf numFmtId="49" fontId="3" fillId="3" borderId="0" xfId="0" applyNumberFormat="1" applyFont="1" applyFill="1" applyAlignment="1">
      <alignment horizontal="left"/>
    </xf>
    <xf numFmtId="20" fontId="3" fillId="0" borderId="3" xfId="0" applyNumberFormat="1" applyFont="1" applyBorder="1" applyAlignment="1">
      <alignment wrapText="1"/>
    </xf>
    <xf numFmtId="0" fontId="10" fillId="8" borderId="0" xfId="0" applyFont="1" applyFill="1" applyAlignment="1">
      <alignment horizontal="center"/>
    </xf>
    <xf numFmtId="0" fontId="0" fillId="4" borderId="0" xfId="0" applyFill="1"/>
    <xf numFmtId="0" fontId="0" fillId="4" borderId="8" xfId="0" applyFill="1" applyBorder="1"/>
    <xf numFmtId="0" fontId="0" fillId="4" borderId="14" xfId="0" applyFill="1" applyBorder="1"/>
    <xf numFmtId="0" fontId="0" fillId="11" borderId="0" xfId="0" applyFill="1"/>
    <xf numFmtId="0" fontId="0" fillId="13" borderId="0" xfId="0" applyFill="1"/>
    <xf numFmtId="0" fontId="0" fillId="15" borderId="0" xfId="0" applyFill="1"/>
    <xf numFmtId="0" fontId="3" fillId="0" borderId="2" xfId="0" applyFont="1" applyBorder="1" applyAlignment="1">
      <alignment wrapText="1"/>
    </xf>
    <xf numFmtId="0" fontId="0" fillId="12" borderId="14" xfId="0" applyFill="1" applyBorder="1"/>
    <xf numFmtId="0" fontId="0" fillId="16" borderId="14" xfId="0" applyFill="1" applyBorder="1"/>
    <xf numFmtId="0" fontId="0" fillId="4" borderId="7" xfId="0" applyFill="1" applyBorder="1"/>
    <xf numFmtId="0" fontId="0" fillId="14" borderId="7" xfId="0" applyFill="1" applyBorder="1"/>
    <xf numFmtId="0" fontId="0" fillId="14" borderId="8" xfId="0" applyFill="1" applyBorder="1"/>
    <xf numFmtId="0" fontId="1" fillId="2" borderId="1" xfId="0" applyFont="1" applyFill="1" applyBorder="1"/>
    <xf numFmtId="0" fontId="3" fillId="0" borderId="9" xfId="0" applyFont="1" applyBorder="1"/>
    <xf numFmtId="0" fontId="3" fillId="0" borderId="2" xfId="0" applyFont="1" applyBorder="1"/>
    <xf numFmtId="49" fontId="3" fillId="0" borderId="6" xfId="0" applyNumberFormat="1" applyFont="1" applyBorder="1"/>
    <xf numFmtId="49" fontId="3" fillId="0" borderId="3" xfId="0" applyNumberFormat="1" applyFont="1" applyBorder="1"/>
    <xf numFmtId="49" fontId="3" fillId="0" borderId="9" xfId="0" applyNumberFormat="1" applyFont="1" applyBorder="1"/>
    <xf numFmtId="49" fontId="3" fillId="0" borderId="10" xfId="0" applyNumberFormat="1" applyFont="1" applyBorder="1"/>
    <xf numFmtId="49" fontId="12" fillId="3" borderId="0" xfId="0" applyNumberFormat="1" applyFont="1" applyFill="1" applyAlignment="1">
      <alignment horizontal="left"/>
    </xf>
    <xf numFmtId="0" fontId="0" fillId="0" borderId="11" xfId="0" applyBorder="1"/>
    <xf numFmtId="0" fontId="0" fillId="0" borderId="4" xfId="0" applyBorder="1"/>
    <xf numFmtId="49" fontId="0" fillId="9" borderId="13" xfId="0" applyNumberFormat="1" applyFill="1" applyBorder="1"/>
    <xf numFmtId="49" fontId="0" fillId="0" borderId="3" xfId="0" applyNumberFormat="1" applyBorder="1"/>
    <xf numFmtId="0" fontId="1" fillId="0" borderId="14" xfId="0" applyFont="1" applyBorder="1"/>
    <xf numFmtId="0" fontId="0" fillId="0" borderId="14" xfId="0" applyBorder="1"/>
    <xf numFmtId="0" fontId="1" fillId="2" borderId="17" xfId="0" applyFont="1" applyFill="1" applyBorder="1"/>
    <xf numFmtId="0" fontId="1" fillId="2" borderId="18" xfId="0" applyFont="1" applyFill="1" applyBorder="1"/>
    <xf numFmtId="0" fontId="1" fillId="2" borderId="16" xfId="0" applyFont="1" applyFill="1" applyBorder="1"/>
    <xf numFmtId="0" fontId="1" fillId="2" borderId="19" xfId="0" applyFont="1" applyFill="1" applyBorder="1"/>
    <xf numFmtId="0" fontId="1" fillId="2" borderId="20" xfId="0" applyFont="1" applyFill="1" applyBorder="1"/>
    <xf numFmtId="0" fontId="1" fillId="2" borderId="21" xfId="0" applyFont="1" applyFill="1" applyBorder="1"/>
    <xf numFmtId="0" fontId="0" fillId="0" borderId="22" xfId="0" applyBorder="1" applyAlignment="1">
      <alignment horizontal="center"/>
    </xf>
    <xf numFmtId="0" fontId="0" fillId="0" borderId="23" xfId="0" applyBorder="1" applyAlignment="1">
      <alignment horizontal="center"/>
    </xf>
    <xf numFmtId="0" fontId="12" fillId="0" borderId="25" xfId="0" applyFont="1" applyBorder="1" applyAlignment="1">
      <alignment horizontal="center"/>
    </xf>
    <xf numFmtId="0" fontId="12" fillId="0" borderId="23" xfId="0" applyFont="1" applyBorder="1"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17" borderId="22" xfId="0" applyFill="1" applyBorder="1" applyAlignment="1">
      <alignment horizontal="center"/>
    </xf>
    <xf numFmtId="0" fontId="0" fillId="17" borderId="3" xfId="0" applyFill="1" applyBorder="1" applyAlignment="1">
      <alignment horizontal="center"/>
    </xf>
    <xf numFmtId="0" fontId="0" fillId="17" borderId="0" xfId="0" applyFill="1" applyAlignment="1">
      <alignment horizontal="center"/>
    </xf>
    <xf numFmtId="0" fontId="0" fillId="17" borderId="2" xfId="0" applyFill="1" applyBorder="1" applyAlignment="1">
      <alignment horizontal="center"/>
    </xf>
    <xf numFmtId="0" fontId="0" fillId="17" borderId="23" xfId="0" applyFill="1" applyBorder="1" applyAlignment="1">
      <alignment horizontal="center"/>
    </xf>
    <xf numFmtId="0" fontId="0" fillId="17" borderId="24" xfId="0" applyFill="1" applyBorder="1" applyAlignment="1">
      <alignment horizontal="center"/>
    </xf>
    <xf numFmtId="0" fontId="0" fillId="17" borderId="7" xfId="0" applyFill="1" applyBorder="1" applyAlignment="1">
      <alignment horizontal="center"/>
    </xf>
    <xf numFmtId="0" fontId="0" fillId="17" borderId="25" xfId="0" applyFill="1" applyBorder="1" applyAlignment="1">
      <alignment horizontal="center"/>
    </xf>
    <xf numFmtId="0" fontId="0" fillId="17" borderId="26" xfId="0" applyFill="1" applyBorder="1" applyAlignment="1">
      <alignment horizontal="center"/>
    </xf>
    <xf numFmtId="0" fontId="0" fillId="17" borderId="8" xfId="0" applyFill="1" applyBorder="1" applyAlignment="1">
      <alignment horizontal="center"/>
    </xf>
    <xf numFmtId="0" fontId="0" fillId="17" borderId="5" xfId="0" applyFill="1" applyBorder="1" applyAlignment="1">
      <alignment horizontal="center"/>
    </xf>
    <xf numFmtId="0" fontId="0" fillId="17" borderId="27" xfId="0" applyFill="1" applyBorder="1" applyAlignment="1">
      <alignment horizontal="center"/>
    </xf>
    <xf numFmtId="0" fontId="12" fillId="17" borderId="22" xfId="0" applyFont="1" applyFill="1" applyBorder="1" applyAlignment="1">
      <alignment horizontal="center"/>
    </xf>
    <xf numFmtId="0" fontId="12" fillId="17" borderId="2" xfId="0" applyFont="1" applyFill="1" applyBorder="1" applyAlignment="1">
      <alignment horizontal="center"/>
    </xf>
    <xf numFmtId="0" fontId="12" fillId="17" borderId="3" xfId="0" applyFont="1" applyFill="1" applyBorder="1" applyAlignment="1">
      <alignment horizontal="center"/>
    </xf>
    <xf numFmtId="0" fontId="12" fillId="17" borderId="23" xfId="0" applyFont="1" applyFill="1" applyBorder="1" applyAlignment="1">
      <alignment horizontal="center"/>
    </xf>
    <xf numFmtId="0" fontId="12" fillId="0" borderId="16" xfId="0" applyFont="1" applyBorder="1"/>
    <xf numFmtId="0" fontId="0" fillId="0" borderId="20" xfId="0" applyBorder="1"/>
    <xf numFmtId="0" fontId="0" fillId="0" borderId="23" xfId="0" applyBorder="1"/>
    <xf numFmtId="0" fontId="0" fillId="0" borderId="27" xfId="0" applyBorder="1"/>
    <xf numFmtId="0" fontId="12" fillId="0" borderId="29" xfId="0" applyFont="1" applyBorder="1"/>
    <xf numFmtId="0" fontId="12" fillId="0" borderId="20" xfId="0" applyFont="1" applyBorder="1"/>
    <xf numFmtId="0" fontId="12" fillId="0" borderId="23" xfId="0" applyFont="1" applyBorder="1"/>
    <xf numFmtId="0" fontId="12" fillId="0" borderId="30" xfId="0" applyFont="1" applyBorder="1"/>
    <xf numFmtId="0" fontId="21" fillId="2" borderId="7" xfId="0" applyFont="1" applyFill="1" applyBorder="1"/>
    <xf numFmtId="0" fontId="12" fillId="0" borderId="25" xfId="0" applyFont="1" applyBorder="1"/>
    <xf numFmtId="0" fontId="12" fillId="0" borderId="27" xfId="0" applyFont="1" applyBorder="1"/>
    <xf numFmtId="0" fontId="0" fillId="2" borderId="31" xfId="0" applyFill="1" applyBorder="1"/>
    <xf numFmtId="0" fontId="1" fillId="2" borderId="20" xfId="0" applyFont="1" applyFill="1" applyBorder="1" applyAlignment="1">
      <alignment horizontal="left"/>
    </xf>
    <xf numFmtId="0" fontId="1" fillId="2" borderId="21" xfId="0" applyFont="1" applyFill="1" applyBorder="1" applyAlignment="1">
      <alignment horizontal="left"/>
    </xf>
    <xf numFmtId="0" fontId="0" fillId="0" borderId="22" xfId="0" applyBorder="1"/>
    <xf numFmtId="0" fontId="0" fillId="0" borderId="24" xfId="0" applyBorder="1"/>
    <xf numFmtId="0" fontId="0" fillId="0" borderId="26" xfId="0" applyBorder="1"/>
    <xf numFmtId="0" fontId="10" fillId="0" borderId="2" xfId="0" applyFont="1" applyBorder="1" applyAlignment="1">
      <alignment horizontal="center"/>
    </xf>
    <xf numFmtId="49" fontId="0" fillId="18" borderId="2" xfId="0" applyNumberFormat="1" applyFill="1" applyBorder="1" applyAlignment="1">
      <alignment horizontal="left"/>
    </xf>
    <xf numFmtId="0" fontId="0" fillId="18" borderId="3" xfId="0" applyFill="1" applyBorder="1" applyAlignment="1">
      <alignment horizontal="left"/>
    </xf>
    <xf numFmtId="0" fontId="0" fillId="18" borderId="9" xfId="0" applyFill="1" applyBorder="1"/>
    <xf numFmtId="0" fontId="0" fillId="18" borderId="0" xfId="0" applyFill="1"/>
    <xf numFmtId="0" fontId="12" fillId="18" borderId="10" xfId="0" applyFont="1" applyFill="1" applyBorder="1"/>
    <xf numFmtId="0" fontId="3" fillId="18" borderId="9" xfId="0" applyFont="1" applyFill="1" applyBorder="1" applyAlignment="1">
      <alignment horizontal="center"/>
    </xf>
    <xf numFmtId="0" fontId="17" fillId="18" borderId="9" xfId="0" applyFont="1" applyFill="1" applyBorder="1" applyAlignment="1">
      <alignment horizontal="center"/>
    </xf>
    <xf numFmtId="0" fontId="9" fillId="18" borderId="0" xfId="0" applyFont="1" applyFill="1" applyAlignment="1">
      <alignment horizontal="center"/>
    </xf>
    <xf numFmtId="0" fontId="0" fillId="0" borderId="0" xfId="0"/>
    <xf numFmtId="0" fontId="1" fillId="2" borderId="6" xfId="0" applyFont="1" applyFill="1" applyBorder="1"/>
    <xf numFmtId="164" fontId="26" fillId="2" borderId="14" xfId="0" applyNumberFormat="1" applyFont="1" applyFill="1" applyBorder="1" applyAlignment="1">
      <alignment horizontal="left"/>
    </xf>
    <xf numFmtId="0" fontId="3" fillId="0" borderId="3" xfId="0" applyFont="1" applyBorder="1" applyAlignment="1">
      <alignment horizontal="center"/>
    </xf>
    <xf numFmtId="0" fontId="3" fillId="0" borderId="16" xfId="0" applyFont="1" applyBorder="1"/>
    <xf numFmtId="0" fontId="3" fillId="0" borderId="20" xfId="0" applyFont="1" applyBorder="1"/>
    <xf numFmtId="0" fontId="3" fillId="0" borderId="16" xfId="0" applyFont="1" applyBorder="1" applyAlignment="1">
      <alignment horizontal="center"/>
    </xf>
    <xf numFmtId="0" fontId="3" fillId="17" borderId="17" xfId="0" applyFont="1" applyFill="1" applyBorder="1" applyAlignment="1">
      <alignment horizontal="center"/>
    </xf>
    <xf numFmtId="0" fontId="3" fillId="17" borderId="16" xfId="0" applyFont="1" applyFill="1" applyBorder="1" applyAlignment="1">
      <alignment horizontal="center"/>
    </xf>
    <xf numFmtId="0" fontId="3" fillId="17" borderId="20" xfId="0" applyFont="1" applyFill="1" applyBorder="1" applyAlignment="1">
      <alignment horizontal="center"/>
    </xf>
    <xf numFmtId="0" fontId="3" fillId="0" borderId="29" xfId="0" applyFont="1" applyBorder="1"/>
    <xf numFmtId="0" fontId="3" fillId="0" borderId="30" xfId="0" applyFont="1" applyBorder="1"/>
    <xf numFmtId="0" fontId="3" fillId="0" borderId="29" xfId="0" applyFont="1" applyBorder="1" applyAlignment="1">
      <alignment horizontal="center"/>
    </xf>
    <xf numFmtId="0" fontId="3" fillId="17" borderId="28" xfId="0" applyFont="1" applyFill="1" applyBorder="1" applyAlignment="1">
      <alignment horizontal="center"/>
    </xf>
    <xf numFmtId="0" fontId="3" fillId="17" borderId="29" xfId="0" applyFont="1" applyFill="1" applyBorder="1" applyAlignment="1">
      <alignment horizontal="center"/>
    </xf>
    <xf numFmtId="0" fontId="3" fillId="17" borderId="30" xfId="0" applyFont="1" applyFill="1" applyBorder="1" applyAlignment="1">
      <alignment horizontal="center"/>
    </xf>
    <xf numFmtId="0" fontId="12" fillId="0" borderId="10" xfId="0" applyFont="1" applyBorder="1" applyAlignment="1">
      <alignment horizontal="center"/>
    </xf>
    <xf numFmtId="0" fontId="9" fillId="0" borderId="2" xfId="0" applyFont="1" applyBorder="1" applyAlignment="1">
      <alignment horizontal="center"/>
    </xf>
    <xf numFmtId="0" fontId="0" fillId="0" borderId="0" xfId="0"/>
    <xf numFmtId="0" fontId="1" fillId="2" borderId="6" xfId="0" applyFont="1" applyFill="1" applyBorder="1"/>
    <xf numFmtId="0" fontId="1" fillId="2" borderId="7" xfId="0" applyFont="1" applyFill="1" applyBorder="1"/>
    <xf numFmtId="0" fontId="1" fillId="2" borderId="1" xfId="0" applyFont="1" applyFill="1" applyBorder="1"/>
    <xf numFmtId="0" fontId="3" fillId="17" borderId="22" xfId="0" applyFont="1" applyFill="1" applyBorder="1" applyAlignment="1">
      <alignment horizontal="center"/>
    </xf>
    <xf numFmtId="0" fontId="3" fillId="17" borderId="0" xfId="0" applyFont="1" applyFill="1" applyAlignment="1">
      <alignment horizontal="center"/>
    </xf>
    <xf numFmtId="0" fontId="28" fillId="0" borderId="0" xfId="0" applyFont="1"/>
    <xf numFmtId="0" fontId="29" fillId="0" borderId="0" xfId="0" applyFont="1"/>
    <xf numFmtId="0" fontId="14" fillId="0" borderId="0" xfId="0" applyFont="1" applyAlignment="1">
      <alignment horizontal="right"/>
    </xf>
    <xf numFmtId="0" fontId="14" fillId="5" borderId="0" xfId="0" applyFont="1" applyFill="1" applyAlignment="1">
      <alignment horizontal="left"/>
    </xf>
    <xf numFmtId="0" fontId="30" fillId="0" borderId="32" xfId="0" applyFont="1" applyBorder="1"/>
    <xf numFmtId="0" fontId="30" fillId="0" borderId="33" xfId="0" applyFont="1" applyBorder="1"/>
    <xf numFmtId="0" fontId="30" fillId="0" borderId="34" xfId="0" applyFont="1" applyBorder="1"/>
    <xf numFmtId="0" fontId="30" fillId="0" borderId="35" xfId="0" applyFont="1" applyBorder="1"/>
    <xf numFmtId="0" fontId="14" fillId="0" borderId="36" xfId="0" applyFont="1" applyBorder="1"/>
    <xf numFmtId="0" fontId="29" fillId="0" borderId="37" xfId="0" applyFont="1" applyBorder="1"/>
    <xf numFmtId="0" fontId="29" fillId="0" borderId="38" xfId="0" applyFont="1" applyBorder="1"/>
    <xf numFmtId="0" fontId="29" fillId="0" borderId="39" xfId="0" applyFont="1" applyBorder="1"/>
    <xf numFmtId="0" fontId="14" fillId="5" borderId="17" xfId="0" applyFont="1" applyFill="1" applyBorder="1" applyAlignment="1">
      <alignment horizontal="center"/>
    </xf>
    <xf numFmtId="0" fontId="29" fillId="0" borderId="40" xfId="0" applyFont="1" applyBorder="1" applyProtection="1">
      <protection locked="0"/>
    </xf>
    <xf numFmtId="0" fontId="29" fillId="0" borderId="41" xfId="0" applyFont="1" applyBorder="1" applyProtection="1">
      <protection locked="0"/>
    </xf>
    <xf numFmtId="0" fontId="29" fillId="0" borderId="43" xfId="0" applyFont="1" applyBorder="1" applyProtection="1">
      <protection locked="0"/>
    </xf>
    <xf numFmtId="0" fontId="14" fillId="0" borderId="16" xfId="0" applyFont="1" applyBorder="1"/>
    <xf numFmtId="0" fontId="14" fillId="0" borderId="16" xfId="0" applyFont="1" applyBorder="1" applyAlignment="1">
      <alignment horizontal="right"/>
    </xf>
    <xf numFmtId="0" fontId="14" fillId="5" borderId="22" xfId="0" applyFont="1" applyFill="1" applyBorder="1" applyAlignment="1">
      <alignment horizontal="center"/>
    </xf>
    <xf numFmtId="0" fontId="29" fillId="0" borderId="44" xfId="0" applyFont="1" applyBorder="1" applyProtection="1">
      <protection locked="0"/>
    </xf>
    <xf numFmtId="0" fontId="29" fillId="0" borderId="45" xfId="0" applyFont="1" applyBorder="1" applyProtection="1">
      <protection locked="0"/>
    </xf>
    <xf numFmtId="0" fontId="29" fillId="0" borderId="38" xfId="0" applyFont="1" applyBorder="1" applyProtection="1">
      <protection locked="0"/>
    </xf>
    <xf numFmtId="0" fontId="29" fillId="0" borderId="46" xfId="0" applyFont="1" applyBorder="1" applyProtection="1">
      <protection locked="0"/>
    </xf>
    <xf numFmtId="0" fontId="29" fillId="0" borderId="47" xfId="0" applyFont="1" applyBorder="1" applyProtection="1">
      <protection locked="0"/>
    </xf>
    <xf numFmtId="0" fontId="14" fillId="5" borderId="28" xfId="0" applyFont="1" applyFill="1" applyBorder="1" applyAlignment="1">
      <alignment horizontal="center"/>
    </xf>
    <xf numFmtId="0" fontId="29" fillId="0" borderId="48" xfId="0" applyFont="1" applyBorder="1" applyProtection="1">
      <protection locked="0"/>
    </xf>
    <xf numFmtId="0" fontId="29" fillId="0" borderId="49" xfId="0" applyFont="1" applyBorder="1" applyProtection="1">
      <protection locked="0"/>
    </xf>
    <xf numFmtId="0" fontId="29" fillId="0" borderId="50" xfId="0" applyFont="1" applyBorder="1" applyProtection="1">
      <protection locked="0"/>
    </xf>
    <xf numFmtId="0" fontId="29" fillId="0" borderId="51" xfId="0" applyFont="1" applyBorder="1" applyProtection="1">
      <protection locked="0"/>
    </xf>
    <xf numFmtId="0" fontId="14" fillId="0" borderId="29" xfId="0" applyFont="1" applyBorder="1"/>
    <xf numFmtId="0" fontId="14" fillId="0" borderId="29" xfId="0" applyFont="1" applyBorder="1" applyAlignment="1">
      <alignment horizontal="right"/>
    </xf>
    <xf numFmtId="0" fontId="29" fillId="0" borderId="52" xfId="0" applyFont="1" applyBorder="1" applyProtection="1">
      <protection locked="0"/>
    </xf>
    <xf numFmtId="0" fontId="29" fillId="0" borderId="53" xfId="0" applyFont="1" applyBorder="1" applyProtection="1">
      <protection locked="0"/>
    </xf>
    <xf numFmtId="0" fontId="29" fillId="0" borderId="42" xfId="0" applyFont="1" applyBorder="1" applyProtection="1">
      <protection locked="0"/>
    </xf>
    <xf numFmtId="0" fontId="29" fillId="0" borderId="54" xfId="0" applyFont="1" applyBorder="1" applyProtection="1">
      <protection locked="0"/>
    </xf>
    <xf numFmtId="0" fontId="29" fillId="0" borderId="56" xfId="0" applyFont="1" applyBorder="1" applyProtection="1">
      <protection locked="0"/>
    </xf>
    <xf numFmtId="0" fontId="29" fillId="0" borderId="57" xfId="0" applyFont="1" applyBorder="1" applyProtection="1">
      <protection locked="0"/>
    </xf>
    <xf numFmtId="0" fontId="29" fillId="0" borderId="58" xfId="0" applyFont="1" applyBorder="1" applyProtection="1">
      <protection locked="0"/>
    </xf>
    <xf numFmtId="0" fontId="14" fillId="5" borderId="0" xfId="0" applyFont="1" applyFill="1" applyAlignment="1">
      <alignment horizontal="center"/>
    </xf>
    <xf numFmtId="0" fontId="14" fillId="0" borderId="59" xfId="0" applyFont="1" applyBorder="1"/>
    <xf numFmtId="0" fontId="29" fillId="0" borderId="60" xfId="0" applyFont="1" applyBorder="1"/>
    <xf numFmtId="0" fontId="29" fillId="0" borderId="61" xfId="0" applyFont="1" applyBorder="1"/>
    <xf numFmtId="0" fontId="29" fillId="0" borderId="62" xfId="0" applyFont="1" applyBorder="1"/>
    <xf numFmtId="0" fontId="29" fillId="0" borderId="63" xfId="0" applyFont="1" applyBorder="1" applyProtection="1">
      <protection locked="0"/>
    </xf>
    <xf numFmtId="0" fontId="29" fillId="0" borderId="64" xfId="0" applyFont="1" applyBorder="1" applyProtection="1">
      <protection locked="0"/>
    </xf>
    <xf numFmtId="0" fontId="29" fillId="0" borderId="65" xfId="0" applyFont="1" applyBorder="1" applyProtection="1">
      <protection locked="0"/>
    </xf>
    <xf numFmtId="0" fontId="29" fillId="0" borderId="66" xfId="0" applyFont="1" applyBorder="1" applyProtection="1">
      <protection locked="0"/>
    </xf>
    <xf numFmtId="0" fontId="29" fillId="0" borderId="67" xfId="0" applyFont="1" applyBorder="1" applyProtection="1">
      <protection locked="0"/>
    </xf>
    <xf numFmtId="0" fontId="29" fillId="0" borderId="68" xfId="0" applyFont="1" applyBorder="1" applyProtection="1">
      <protection locked="0"/>
    </xf>
    <xf numFmtId="0" fontId="29" fillId="0" borderId="69" xfId="0" applyFont="1" applyBorder="1" applyProtection="1">
      <protection locked="0"/>
    </xf>
    <xf numFmtId="0" fontId="29" fillId="0" borderId="70" xfId="0" applyFont="1" applyBorder="1" applyProtection="1">
      <protection locked="0"/>
    </xf>
    <xf numFmtId="0" fontId="20" fillId="0" borderId="0" xfId="0" applyFont="1" applyBorder="1"/>
    <xf numFmtId="0" fontId="20" fillId="0" borderId="29" xfId="0" applyFont="1" applyBorder="1"/>
    <xf numFmtId="0" fontId="29" fillId="0" borderId="71" xfId="0" applyFont="1" applyBorder="1" applyProtection="1">
      <protection locked="0"/>
    </xf>
    <xf numFmtId="0" fontId="13" fillId="5" borderId="0" xfId="0" applyFont="1" applyFill="1" applyAlignment="1">
      <alignment horizontal="center"/>
    </xf>
    <xf numFmtId="0" fontId="29" fillId="19" borderId="52" xfId="0" applyFont="1" applyFill="1" applyBorder="1" applyProtection="1">
      <protection locked="0"/>
    </xf>
    <xf numFmtId="0" fontId="29" fillId="19" borderId="53" xfId="0" applyFont="1" applyFill="1" applyBorder="1" applyProtection="1">
      <protection locked="0"/>
    </xf>
    <xf numFmtId="0" fontId="29" fillId="19" borderId="42" xfId="0" applyFont="1" applyFill="1" applyBorder="1" applyProtection="1">
      <protection locked="0"/>
    </xf>
    <xf numFmtId="0" fontId="29" fillId="19" borderId="55" xfId="0" applyFont="1" applyFill="1" applyBorder="1" applyProtection="1">
      <protection locked="0"/>
    </xf>
    <xf numFmtId="0" fontId="29" fillId="19" borderId="72" xfId="0" applyFont="1" applyFill="1" applyBorder="1" applyProtection="1">
      <protection locked="0"/>
    </xf>
    <xf numFmtId="0" fontId="29" fillId="0" borderId="73" xfId="0" applyFont="1" applyBorder="1" applyProtection="1">
      <protection locked="0"/>
    </xf>
    <xf numFmtId="0" fontId="29" fillId="20" borderId="74" xfId="0" applyFont="1" applyFill="1" applyBorder="1" applyProtection="1">
      <protection locked="0"/>
    </xf>
    <xf numFmtId="0" fontId="29" fillId="20" borderId="75" xfId="0" applyFont="1" applyFill="1" applyBorder="1" applyProtection="1">
      <protection locked="0"/>
    </xf>
    <xf numFmtId="0" fontId="29" fillId="20" borderId="78" xfId="0" applyFont="1" applyFill="1" applyBorder="1" applyProtection="1">
      <protection locked="0"/>
    </xf>
    <xf numFmtId="0" fontId="29" fillId="21" borderId="74" xfId="0" applyFont="1" applyFill="1" applyBorder="1" applyProtection="1">
      <protection locked="0"/>
    </xf>
    <xf numFmtId="0" fontId="29" fillId="21" borderId="75" xfId="0" applyFont="1" applyFill="1" applyBorder="1" applyProtection="1">
      <protection locked="0"/>
    </xf>
    <xf numFmtId="0" fontId="29" fillId="21" borderId="76" xfId="0" applyFont="1" applyFill="1" applyBorder="1" applyProtection="1">
      <protection locked="0"/>
    </xf>
    <xf numFmtId="0" fontId="29" fillId="21" borderId="77" xfId="0" applyFont="1" applyFill="1" applyBorder="1" applyProtection="1">
      <protection locked="0"/>
    </xf>
    <xf numFmtId="0" fontId="29" fillId="21" borderId="78" xfId="0" applyFont="1" applyFill="1" applyBorder="1" applyProtection="1">
      <protection locked="0"/>
    </xf>
    <xf numFmtId="0" fontId="29" fillId="20" borderId="77" xfId="0" applyFont="1" applyFill="1" applyBorder="1" applyProtection="1">
      <protection locked="0"/>
    </xf>
    <xf numFmtId="0" fontId="14" fillId="0" borderId="13" xfId="0" applyFont="1" applyBorder="1" applyAlignment="1" applyProtection="1">
      <alignment horizontal="center"/>
      <protection locked="0"/>
    </xf>
    <xf numFmtId="0" fontId="14"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1" fillId="2" borderId="2" xfId="0" applyFont="1" applyFill="1" applyBorder="1" applyAlignment="1">
      <alignment horizontal="left"/>
    </xf>
    <xf numFmtId="0" fontId="1" fillId="2" borderId="0" xfId="0" applyFont="1" applyFill="1" applyAlignment="1">
      <alignment horizontal="left"/>
    </xf>
    <xf numFmtId="0" fontId="0" fillId="0" borderId="0" xfId="0"/>
    <xf numFmtId="0" fontId="1" fillId="2" borderId="6" xfId="0" applyFont="1" applyFill="1" applyBorder="1"/>
    <xf numFmtId="0" fontId="1" fillId="2" borderId="7" xfId="0" applyFont="1" applyFill="1" applyBorder="1"/>
    <xf numFmtId="0" fontId="1" fillId="2" borderId="6" xfId="0" applyFont="1" applyFill="1" applyBorder="1" applyAlignment="1">
      <alignment horizontal="center"/>
    </xf>
    <xf numFmtId="0" fontId="1" fillId="2" borderId="1" xfId="0" applyFont="1" applyFill="1" applyBorder="1" applyAlignment="1">
      <alignment horizontal="center"/>
    </xf>
    <xf numFmtId="0" fontId="1" fillId="2" borderId="1" xfId="0" applyFont="1" applyFill="1" applyBorder="1"/>
    <xf numFmtId="0" fontId="1" fillId="2" borderId="3" xfId="0" applyFont="1" applyFill="1" applyBorder="1" applyAlignment="1">
      <alignment horizontal="left"/>
    </xf>
    <xf numFmtId="0" fontId="3" fillId="0" borderId="0" xfId="0" applyFont="1" applyAlignment="1">
      <alignment wrapText="1"/>
    </xf>
    <xf numFmtId="165" fontId="4" fillId="4" borderId="6" xfId="0" applyNumberFormat="1" applyFont="1" applyFill="1" applyBorder="1" applyAlignment="1">
      <alignment horizontal="left"/>
    </xf>
    <xf numFmtId="165" fontId="4" fillId="4" borderId="1" xfId="0" applyNumberFormat="1" applyFont="1" applyFill="1" applyBorder="1" applyAlignment="1">
      <alignment horizontal="left"/>
    </xf>
    <xf numFmtId="0" fontId="0" fillId="22" borderId="23" xfId="0" applyFill="1" applyBorder="1" applyAlignment="1">
      <alignment horizontal="center"/>
    </xf>
    <xf numFmtId="0" fontId="12" fillId="0" borderId="22" xfId="0" applyFont="1" applyFill="1" applyBorder="1" applyAlignment="1">
      <alignment horizontal="center"/>
    </xf>
    <xf numFmtId="0" fontId="12" fillId="0" borderId="0" xfId="0" applyFont="1" applyFill="1" applyAlignment="1">
      <alignment horizontal="center"/>
    </xf>
    <xf numFmtId="0" fontId="12" fillId="0" borderId="2" xfId="0" applyFont="1" applyFill="1" applyBorder="1" applyAlignment="1">
      <alignment horizontal="center"/>
    </xf>
    <xf numFmtId="0" fontId="12" fillId="0" borderId="3" xfId="0" applyFont="1" applyFill="1" applyBorder="1" applyAlignment="1">
      <alignment horizontal="center"/>
    </xf>
    <xf numFmtId="0" fontId="12" fillId="0" borderId="23" xfId="0" applyFont="1" applyFill="1" applyBorder="1" applyAlignment="1">
      <alignment horizontal="center"/>
    </xf>
    <xf numFmtId="0" fontId="3" fillId="0" borderId="23" xfId="0" applyFont="1" applyBorder="1" applyAlignment="1">
      <alignment horizontal="center"/>
    </xf>
    <xf numFmtId="0" fontId="12" fillId="0" borderId="0" xfId="0" applyFont="1" applyFill="1" applyBorder="1" applyAlignment="1">
      <alignment horizontal="center"/>
    </xf>
    <xf numFmtId="0" fontId="0" fillId="0" borderId="0" xfId="0" applyBorder="1" applyAlignment="1">
      <alignment horizontal="center"/>
    </xf>
    <xf numFmtId="0" fontId="0" fillId="17" borderId="0" xfId="0" applyFill="1" applyBorder="1" applyAlignment="1">
      <alignment horizontal="center"/>
    </xf>
    <xf numFmtId="0" fontId="0" fillId="0" borderId="28" xfId="0" applyBorder="1"/>
    <xf numFmtId="0" fontId="1" fillId="2" borderId="79" xfId="0" applyFont="1" applyFill="1" applyBorder="1"/>
    <xf numFmtId="0" fontId="3" fillId="0" borderId="25" xfId="0" applyFont="1" applyBorder="1" applyAlignment="1">
      <alignment horizontal="center"/>
    </xf>
    <xf numFmtId="0" fontId="3" fillId="0" borderId="27" xfId="0" applyFont="1" applyBorder="1" applyAlignment="1">
      <alignment horizontal="center"/>
    </xf>
    <xf numFmtId="0" fontId="12" fillId="0" borderId="0" xfId="0" applyFont="1" applyBorder="1"/>
    <xf numFmtId="0" fontId="3" fillId="17" borderId="8" xfId="0" applyFont="1" applyFill="1" applyBorder="1" applyAlignment="1">
      <alignment horizontal="center"/>
    </xf>
    <xf numFmtId="0" fontId="12" fillId="0" borderId="0" xfId="0" applyFont="1" applyBorder="1" applyAlignment="1">
      <alignment horizontal="center"/>
    </xf>
    <xf numFmtId="0" fontId="12" fillId="17" borderId="0" xfId="0" applyFont="1" applyFill="1" applyBorder="1" applyAlignment="1">
      <alignment horizontal="center"/>
    </xf>
    <xf numFmtId="0" fontId="0" fillId="0" borderId="17" xfId="0" applyBorder="1"/>
    <xf numFmtId="0" fontId="0" fillId="0" borderId="17" xfId="0" applyBorder="1" applyAlignment="1">
      <alignment horizontal="center"/>
    </xf>
    <xf numFmtId="0" fontId="0" fillId="0" borderId="18" xfId="0" applyBorder="1" applyAlignment="1">
      <alignment horizontal="center"/>
    </xf>
    <xf numFmtId="0" fontId="0" fillId="0" borderId="16"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17" borderId="17" xfId="0" applyFill="1" applyBorder="1" applyAlignment="1">
      <alignment horizontal="center"/>
    </xf>
    <xf numFmtId="0" fontId="0" fillId="17" borderId="16" xfId="0" applyFill="1" applyBorder="1" applyAlignment="1">
      <alignment horizontal="center"/>
    </xf>
    <xf numFmtId="0" fontId="0" fillId="17" borderId="19" xfId="0" applyFill="1" applyBorder="1" applyAlignment="1">
      <alignment horizontal="center"/>
    </xf>
    <xf numFmtId="0" fontId="0" fillId="17" borderId="18" xfId="0" applyFill="1" applyBorder="1" applyAlignment="1">
      <alignment horizontal="center"/>
    </xf>
    <xf numFmtId="0" fontId="0" fillId="17" borderId="20" xfId="0" applyFill="1" applyBorder="1" applyAlignment="1">
      <alignment horizontal="center"/>
    </xf>
    <xf numFmtId="0" fontId="0" fillId="0" borderId="26" xfId="0" applyFill="1" applyBorder="1"/>
    <xf numFmtId="0" fontId="0" fillId="0" borderId="30" xfId="0" applyBorder="1"/>
    <xf numFmtId="0" fontId="0" fillId="17" borderId="28" xfId="0" applyFill="1" applyBorder="1" applyAlignment="1">
      <alignment horizontal="center"/>
    </xf>
    <xf numFmtId="0" fontId="0" fillId="17" borderId="80" xfId="0" applyFill="1" applyBorder="1" applyAlignment="1">
      <alignment horizontal="center"/>
    </xf>
    <xf numFmtId="0" fontId="0" fillId="17" borderId="29" xfId="0" applyFill="1" applyBorder="1" applyAlignment="1">
      <alignment horizontal="center"/>
    </xf>
    <xf numFmtId="0" fontId="0" fillId="17" borderId="81" xfId="0" applyFill="1" applyBorder="1" applyAlignment="1">
      <alignment horizontal="center"/>
    </xf>
    <xf numFmtId="0" fontId="0" fillId="17" borderId="30" xfId="0" applyFill="1"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81" xfId="0" applyBorder="1" applyAlignment="1">
      <alignment horizontal="center"/>
    </xf>
    <xf numFmtId="0" fontId="0" fillId="0" borderId="80" xfId="0" applyBorder="1" applyAlignment="1">
      <alignment horizontal="center"/>
    </xf>
    <xf numFmtId="0" fontId="0" fillId="0" borderId="30" xfId="0" applyBorder="1" applyAlignment="1">
      <alignment horizontal="center"/>
    </xf>
    <xf numFmtId="0" fontId="12" fillId="0" borderId="17" xfId="0" applyFont="1" applyBorder="1"/>
    <xf numFmtId="0" fontId="3" fillId="0" borderId="18" xfId="0" applyFont="1" applyBorder="1" applyAlignment="1">
      <alignment horizontal="center"/>
    </xf>
    <xf numFmtId="0" fontId="12" fillId="0" borderId="16" xfId="0" applyFont="1" applyBorder="1" applyAlignment="1">
      <alignment horizontal="center"/>
    </xf>
    <xf numFmtId="0" fontId="12" fillId="0" borderId="19" xfId="0" applyFont="1" applyBorder="1" applyAlignment="1">
      <alignment horizontal="center"/>
    </xf>
    <xf numFmtId="0" fontId="12" fillId="0" borderId="18" xfId="0" applyFont="1" applyBorder="1" applyAlignment="1">
      <alignment horizontal="center"/>
    </xf>
    <xf numFmtId="0" fontId="12" fillId="0" borderId="20" xfId="0" applyFont="1" applyBorder="1" applyAlignment="1">
      <alignment horizontal="center"/>
    </xf>
    <xf numFmtId="0" fontId="12" fillId="17" borderId="17" xfId="0" applyFont="1" applyFill="1" applyBorder="1" applyAlignment="1">
      <alignment horizontal="center"/>
    </xf>
    <xf numFmtId="0" fontId="12" fillId="17" borderId="16" xfId="0" applyFont="1" applyFill="1" applyBorder="1" applyAlignment="1">
      <alignment horizontal="center"/>
    </xf>
    <xf numFmtId="0" fontId="12" fillId="17" borderId="19" xfId="0" applyFont="1" applyFill="1" applyBorder="1" applyAlignment="1">
      <alignment horizontal="center"/>
    </xf>
    <xf numFmtId="0" fontId="12" fillId="17" borderId="18" xfId="0" applyFont="1" applyFill="1" applyBorder="1" applyAlignment="1">
      <alignment horizontal="center"/>
    </xf>
    <xf numFmtId="0" fontId="12" fillId="17" borderId="20" xfId="0" applyFont="1" applyFill="1" applyBorder="1" applyAlignment="1">
      <alignment horizontal="center"/>
    </xf>
    <xf numFmtId="0" fontId="12" fillId="0" borderId="22" xfId="0" applyFont="1" applyBorder="1"/>
    <xf numFmtId="0" fontId="12" fillId="0" borderId="28" xfId="0" applyFont="1" applyBorder="1"/>
    <xf numFmtId="0" fontId="3" fillId="0" borderId="80" xfId="0" applyFont="1" applyBorder="1" applyAlignment="1">
      <alignment horizontal="center"/>
    </xf>
    <xf numFmtId="0" fontId="12" fillId="0" borderId="29" xfId="0" applyFont="1" applyBorder="1" applyAlignment="1">
      <alignment horizontal="center"/>
    </xf>
    <xf numFmtId="0" fontId="12" fillId="0" borderId="81" xfId="0" applyFont="1" applyBorder="1" applyAlignment="1">
      <alignment horizontal="center"/>
    </xf>
    <xf numFmtId="0" fontId="12" fillId="0" borderId="80" xfId="0" applyFont="1" applyBorder="1" applyAlignment="1">
      <alignment horizontal="center"/>
    </xf>
    <xf numFmtId="0" fontId="12" fillId="0" borderId="30" xfId="0" applyFont="1" applyBorder="1" applyAlignment="1">
      <alignment horizontal="center"/>
    </xf>
    <xf numFmtId="0" fontId="12" fillId="17" borderId="28" xfId="0" applyFont="1" applyFill="1" applyBorder="1" applyAlignment="1">
      <alignment horizontal="center"/>
    </xf>
    <xf numFmtId="0" fontId="12" fillId="17" borderId="29" xfId="0" applyFont="1" applyFill="1" applyBorder="1" applyAlignment="1">
      <alignment horizontal="center"/>
    </xf>
    <xf numFmtId="0" fontId="12" fillId="17" borderId="81" xfId="0" applyFont="1" applyFill="1" applyBorder="1" applyAlignment="1">
      <alignment horizontal="center"/>
    </xf>
    <xf numFmtId="0" fontId="12" fillId="17" borderId="80" xfId="0" applyFont="1" applyFill="1" applyBorder="1" applyAlignment="1">
      <alignment horizontal="center"/>
    </xf>
    <xf numFmtId="0" fontId="12" fillId="17" borderId="30" xfId="0" applyFont="1" applyFill="1" applyBorder="1" applyAlignment="1">
      <alignment horizontal="center"/>
    </xf>
    <xf numFmtId="0" fontId="3" fillId="17" borderId="26" xfId="0" applyFont="1" applyFill="1" applyBorder="1" applyAlignment="1">
      <alignment horizontal="center"/>
    </xf>
    <xf numFmtId="0" fontId="12" fillId="18" borderId="9" xfId="0" applyFont="1" applyFill="1" applyBorder="1"/>
    <xf numFmtId="0" fontId="0" fillId="0" borderId="1" xfId="0" applyBorder="1"/>
    <xf numFmtId="0" fontId="1" fillId="2" borderId="24" xfId="0" applyFont="1" applyFill="1" applyBorder="1"/>
    <xf numFmtId="0" fontId="1" fillId="2" borderId="16" xfId="0" applyFont="1" applyFill="1" applyBorder="1" applyAlignment="1">
      <alignment horizontal="center"/>
    </xf>
    <xf numFmtId="0" fontId="21" fillId="2" borderId="16" xfId="0" applyFont="1" applyFill="1" applyBorder="1" applyAlignment="1">
      <alignment horizontal="center"/>
    </xf>
    <xf numFmtId="0" fontId="1" fillId="2" borderId="25" xfId="0" applyFont="1" applyFill="1" applyBorder="1"/>
    <xf numFmtId="0" fontId="0" fillId="0" borderId="18" xfId="0" applyBorder="1"/>
    <xf numFmtId="0" fontId="0" fillId="0" borderId="80" xfId="0" applyBorder="1"/>
    <xf numFmtId="0" fontId="29" fillId="19" borderId="82" xfId="0" applyFont="1" applyFill="1" applyBorder="1" applyProtection="1">
      <protection locked="0"/>
    </xf>
  </cellXfs>
  <cellStyles count="1">
    <cellStyle name="Standard" xfId="0" builtinId="0"/>
  </cellStyles>
  <dxfs count="309">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theme="6" tint="-0.24994659260841701"/>
      </font>
      <fill>
        <patternFill>
          <bgColor theme="6" tint="-0.24994659260841701"/>
        </patternFill>
      </fill>
    </dxf>
    <dxf>
      <fill>
        <patternFill>
          <bgColor theme="6"/>
        </patternFill>
      </fill>
    </dxf>
    <dxf>
      <fill>
        <patternFill>
          <bgColor rgb="FFFF5050"/>
        </patternFill>
      </fill>
    </dxf>
  </dxfs>
  <tableStyles count="0" defaultTableStyle="TableStyleMedium2" defaultPivotStyle="PivotStyleLight16"/>
  <colors>
    <mruColors>
      <color rgb="FFBAB9A8"/>
      <color rgb="FF9BA38F"/>
      <color rgb="FFC5BDAF"/>
      <color rgb="FFFA8D74"/>
      <color rgb="FFC7A48B"/>
      <color rgb="FFD5CFC5"/>
      <color rgb="FF798F7B"/>
      <color rgb="FF567C6B"/>
      <color rgb="FF2F6860"/>
      <color rgb="FFBBB2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Simon Haug" id="{3A902CF0-782B-438A-AE8F-CFA88F96C364}" userId="S::simon.haug@ost.ch::ca0e39b8-b1da-4b15-9664-419e181c989f" providerId="AD"/>
  <person displayName="Samuel Kolb" id="{1950299E-D59F-4C68-B72B-6A8E22276365}" userId="S::samuel.kolb@ost.ch::e80832ae-9c23-4ae2-9b5d-643f3fd7ae23"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 dT="2022-10-28T10:05:43.18" personId="{1950299E-D59F-4C68-B72B-6A8E22276365}" id="{181C23A9-FBD0-416A-ABE6-1A8231986171}">
    <text>zählen nicht zum Bedarf am VM</text>
  </threadedComment>
  <threadedComment ref="A11" dT="2022-10-04T08:46:22.92" personId="{1950299E-D59F-4C68-B72B-6A8E22276365}" id="{4221ACCF-D59B-4DFB-A360-B53BBDC0309E}">
    <text>"Nicht Vor Früh": Für "Früh vor Frei" - Regel relevant</text>
  </threadedComment>
  <threadedComment ref="A16" dT="2022-10-06T15:29:30.25" personId="{3A902CF0-782B-438A-AE8F-CFA88F96C364}" id="{2CDE19F9-8357-41D8-8929-F6D3A2CC3ADC}">
    <text>Für Planungswunsch: Jeden 1. Montag F1 oder G1. Mit Reinhard besprechen</text>
  </threadedComment>
  <threadedComment ref="A16" dT="2022-10-11T05:55:54.33" personId="{3A902CF0-782B-438A-AE8F-CFA88F96C364}" id="{F84BDA36-0892-4AE8-A9AF-ED3C50FEE01B}" parentId="{2CDE19F9-8357-41D8-8929-F6D3A2CC3ADC}">
    <text>Wird im Planungswunsch 2.0 berücksichtigt. In Version 1.0 noch nicht</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2-09-13T15:34:47.46" personId="{1950299E-D59F-4C68-B72B-6A8E22276365}" id="{8C38C316-0E5C-42A7-9005-E4D5C956B827}">
    <text>Alltagsmanagement (nur spezifische MA)</text>
  </threadedComment>
  <threadedComment ref="C11" dT="2023-01-25T11:06:48.48" personId="{1950299E-D59F-4C68-B72B-6A8E22276365}" id="{F371ADDD-9BC4-46D9-8185-067B22C257C2}">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3.xml><?xml version="1.0" encoding="utf-8"?>
<ThreadedComments xmlns="http://schemas.microsoft.com/office/spreadsheetml/2018/threadedcomments" xmlns:x="http://schemas.openxmlformats.org/spreadsheetml/2006/main">
  <threadedComment ref="T2" dT="2022-10-03T18:05:06.01" personId="{1950299E-D59F-4C68-B72B-6A8E22276365}" id="{B08FAD5B-4D3A-4B50-BE34-5A1EE4398F39}">
    <text>generelle Regel LAK: min. 1, opt. 2 WE frei</text>
  </threadedComment>
  <threadedComment ref="K4" dT="2022-11-22T15:50:37.57" personId="{3A902CF0-782B-438A-AE8F-CFA88F96C364}" id="{21180379-9C6B-4A6B-A6D0-945AF2D9B1B2}">
    <text>24-48</text>
  </threadedComment>
  <threadedComment ref="N4" dT="2022-11-16T16:44:34.56" personId="{3A902CF0-782B-438A-AE8F-CFA88F96C364}" id="{C3BD9067-7224-47E5-9F0D-B6F54BE18CCA}">
    <text>NVF - NULL</text>
  </threadedComment>
  <threadedComment ref="B5" dT="2023-01-26T08:14:29.81" personId="{1950299E-D59F-4C68-B72B-6A8E22276365}" id="{4C4876D2-EADF-4888-B12E-E7FCFA69D188}">
    <text>70</text>
  </threadedComment>
  <threadedComment ref="C5" dT="2022-11-15T15:11:46.92" personId="{3A902CF0-782B-438A-AE8F-CFA88F96C364}" id="{ABC12D9C-5704-4BAE-8BD7-6CC517F7CC17}">
    <text>Mi, Do - 13:00 - 24:00</text>
  </threadedComment>
  <threadedComment ref="I5" dT="2022-09-20T16:27:38.73" personId="{1950299E-D59F-4C68-B72B-6A8E22276365}" id="{43A21E61-4C79-44EF-9DBB-033B6485E3CA}">
    <text>Falls nötig, hier pro Monat einstellen, z.B. Januar 23:
B2 : 14 - 9, B2M : 4 - 0
"Büro-Regel Monika" bereits gelöst mittels:
- Bedarfe
- Un-/Beliebte Dienste
- live-daten (Abmachungen)</text>
  </threadedComment>
  <threadedComment ref="K5" dT="2023-01-24T08:57:38.65" personId="{1950299E-D59F-4C68-B72B-6A8E22276365}" id="{5975D3D9-DF63-40EA-B292-EBB5F44C531A}">
    <text>war leer</text>
  </threadedComment>
  <threadedComment ref="T5" dT="2022-09-21T08:21:31.63" personId="{1950299E-D59F-4C68-B72B-6A8E22276365}" id="{FF1146C4-64A9-4E12-A7CE-982214EE06FB}">
    <text>Bereit, 2 WE zu arbeiten</text>
  </threadedComment>
  <threadedComment ref="B6" dT="2023-01-26T08:14:35.75" personId="{1950299E-D59F-4C68-B72B-6A8E22276365}" id="{EE644B07-9DDC-47BD-83B1-B569006E6968}">
    <text>90</text>
  </threadedComment>
  <threadedComment ref="J6" dT="2022-12-02T22:24:33.47" personId="{1950299E-D59F-4C68-B72B-6A8E22276365}" id="{F7195FF4-BA68-47B4-ADE5-140BCB71DECF}">
    <text>war 3 - 5</text>
  </threadedComment>
  <threadedComment ref="K6" dT="2022-11-22T15:51:13.71" personId="{3A902CF0-782B-438A-AE8F-CFA88F96C364}" id="{21E86B8A-3090-401F-B950-4E9438B2F5E1}">
    <text>24-72</text>
  </threadedComment>
  <threadedComment ref="T6" dT="2022-10-03T17:39:41.00" personId="{1950299E-D59F-4C68-B72B-6A8E22276365}" id="{17FD65C5-752F-4713-AE40-B8F4BCC5F0A6}">
    <text>Bereit, 2 WE zu arbeiten</text>
  </threadedComment>
  <threadedComment ref="B7" dT="2023-01-26T08:14:41.82" personId="{1950299E-D59F-4C68-B72B-6A8E22276365}" id="{B75DACFB-9172-4647-BD41-6D06B82C2B43}">
    <text>80</text>
  </threadedComment>
  <threadedComment ref="T7" dT="2022-10-03T17:38:22.75" personId="{1950299E-D59F-4C68-B72B-6A8E22276365}" id="{D3333159-FA02-46F7-B3FA-82F68D7B8EAB}">
    <text>Bereit, 2-3 WE zu arbeiten</text>
  </threadedComment>
  <threadedComment ref="B8" dT="2023-01-26T08:14:46.52" personId="{1950299E-D59F-4C68-B72B-6A8E22276365}" id="{FF84F3F7-F886-4FA2-9B2F-739E97582424}">
    <text>90</text>
  </threadedComment>
  <threadedComment ref="G8" dT="2022-11-24T10:36:54.65" personId="{1950299E-D59F-4C68-B72B-6A8E22276365}" id="{C5C3557A-0276-4731-B05E-39AE4CF68AF7}">
    <text>F, S2 von uns hinzugefügt, um G noch unbeliebter zu machen?</text>
  </threadedComment>
  <threadedComment ref="J8" dT="2023-01-24T09:49:07.96" personId="{1950299E-D59F-4C68-B72B-6A8E22276365}" id="{ECD94072-DCDE-46FE-914D-D9AA17CBF393}">
    <text>war leer</text>
  </threadedComment>
  <threadedComment ref="K8" dT="2022-11-22T15:51:13.71" personId="{3A902CF0-782B-438A-AE8F-CFA88F96C364}" id="{C90D0B9D-D550-4AFA-9D85-A963815FCDD6}">
    <text>24-72</text>
  </threadedComment>
  <threadedComment ref="L8" dT="2023-01-26T18:01:49.01" personId="{1950299E-D59F-4C68-B72B-6A8E22276365}" id="{3800D6E7-D8D7-4D9F-9685-B06D03DD84B2}">
    <text>war G : 3 - 2</text>
  </threadedComment>
  <threadedComment ref="T8" dT="2022-10-03T17:39:41.00" personId="{1950299E-D59F-4C68-B72B-6A8E22276365}" id="{B78633AA-3852-40AC-94C9-6F2F1DA25A50}">
    <text>Bereit, 2 WE zu arbeiten</text>
  </threadedComment>
  <threadedComment ref="B9" dT="2023-01-26T08:14:58.95" personId="{1950299E-D59F-4C68-B72B-6A8E22276365}" id="{1F11D74F-E7B5-43D5-8A59-00F8829732D6}">
    <text>30</text>
  </threadedComment>
  <threadedComment ref="C9" dT="2022-11-23T17:11:41.16" personId="{1950299E-D59F-4C68-B72B-6A8E22276365}" id="{8BD7A389-6502-4140-8C4B-4C8E3EE9D1FB}">
    <text>war nur "Di"</text>
  </threadedComment>
  <threadedComment ref="H9" dT="2022-10-28T11:05:25.85" personId="{1950299E-D59F-4C68-B72B-6A8E22276365}" id="{D561D6F3-0ABF-407C-A1D5-4AA11CE6E0E8}">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1950299E-D59F-4C68-B72B-6A8E22276365}" id="{B1BC8DB9-F6C1-42D2-8BFD-8531BB01232D}" parentId="{D561D6F3-0ABF-407C-A1D5-4AA11CE6E0E8}">
    <text>aktuell verbieten wir diese Wochentage -&gt; falls später wieder nötig: PFvor16 - Mo Di Mi Fr</text>
  </threadedComment>
  <threadedComment ref="K9" dT="2023-01-24T08:55:23.42" personId="{1950299E-D59F-4C68-B72B-6A8E22276365}" id="{FE74A50E-7241-4A1C-96DA-EC925FC80731}">
    <text>war leer</text>
  </threadedComment>
  <threadedComment ref="T9" dT="2022-10-03T17:46:35.95" personId="{1950299E-D59F-4C68-B72B-6A8E22276365}" id="{24815A33-DE1C-45CC-AC03-E3FE10CEDE2F}">
    <text>Bereit, 2/4 oder 3/5 zu arbeiten</text>
  </threadedComment>
  <threadedComment ref="B10" dT="2023-01-26T08:15:05.14" personId="{1950299E-D59F-4C68-B72B-6A8E22276365}" id="{846574DC-2178-4588-B5A4-60A7B63ED1C8}">
    <text>70</text>
  </threadedComment>
  <threadedComment ref="C10" dT="2022-11-15T15:11:56.23" personId="{3A902CF0-782B-438A-AE8F-CFA88F96C364}" id="{40A3AA59-DCB9-4CF6-A18C-5CB6A5F45378}">
    <text>Mo, Di -16:00 - 24:00, Do - 13:00 - 24:00</text>
  </threadedComment>
  <threadedComment ref="J10" dT="2022-11-23T17:16:28.04" personId="{1950299E-D59F-4C68-B72B-6A8E22276365}" id="{483D1E06-8510-4790-AE61-CD9158A323D6}">
    <text>6 - 4 - 1</text>
  </threadedComment>
  <threadedComment ref="K10" dT="2023-01-24T08:54:45.46" personId="{1950299E-D59F-4C68-B72B-6A8E22276365}" id="{166863AF-29F5-4848-B8A5-EDFB32F4A820}">
    <text>war leer</text>
  </threadedComment>
  <threadedComment ref="T10" dT="2022-10-03T17:46:35.95" personId="{1950299E-D59F-4C68-B72B-6A8E22276365}" id="{F05C74F0-5080-413C-8E42-BE15BC91246F}">
    <text>Bereit, 2/4 oder 3/5 zu arbeiten</text>
  </threadedComment>
  <threadedComment ref="B11" dT="2023-01-26T08:15:15.83" personId="{1950299E-D59F-4C68-B72B-6A8E22276365}" id="{E5BA675E-BEC0-4B3D-BF5E-CDDDC1F36C8A}">
    <text>80</text>
  </threadedComment>
  <threadedComment ref="K11" dT="2022-11-22T15:51:13.71" personId="{3A902CF0-782B-438A-AE8F-CFA88F96C364}" id="{48680C23-1B7B-4FFF-97FF-49384702DB99}">
    <text>24-72</text>
  </threadedComment>
  <threadedComment ref="L11" dT="2022-12-02T22:30:51.20" personId="{1950299E-D59F-4C68-B72B-6A8E22276365}" id="{96E644B0-5BFB-41CE-89BA-AC8861065A9F}">
    <text>war S : 5 - 1</text>
  </threadedComment>
  <threadedComment ref="T11" dT="2022-10-03T17:39:41.00" personId="{1950299E-D59F-4C68-B72B-6A8E22276365}" id="{AEA41870-3236-467E-9506-3F8D7A0417D7}">
    <text>Bereit, 2 WE zu arbeiten</text>
  </threadedComment>
  <threadedComment ref="B12" dT="2023-01-26T08:15:21.42" personId="{1950299E-D59F-4C68-B72B-6A8E22276365}" id="{45CCE515-B175-4BBB-ABEE-81503D96415F}">
    <text>50</text>
  </threadedComment>
  <threadedComment ref="T12" dT="2022-10-03T17:39:41.00" personId="{1950299E-D59F-4C68-B72B-6A8E22276365}" id="{29A04F37-2886-4F34-BA47-C25FAB5E8F0C}">
    <text>Bereit, 2 WE zu arbeiten</text>
  </threadedComment>
  <threadedComment ref="B13" dT="2023-01-26T08:16:06.33" personId="{1950299E-D59F-4C68-B72B-6A8E22276365}" id="{A330735A-13E7-4658-874F-D7F691444027}">
    <text>Ab 1.2. 30 % 
Arbeitet nur Dienstag und Wochenende</text>
  </threadedComment>
  <threadedComment ref="K13" dT="2023-01-24T08:54:55.39" personId="{1950299E-D59F-4C68-B72B-6A8E22276365}" id="{F14DD323-825D-4421-8C5E-A98ECD961FE3}">
    <text>war leer</text>
  </threadedComment>
  <threadedComment ref="T13" dT="2022-10-03T17:49:52.55" personId="{1950299E-D59F-4C68-B72B-6A8E22276365}" id="{B74740C2-7129-4A64-8675-16ADF6CA64C0}">
    <text>Abgemacht, max. 1 WE zu arbeiten</text>
  </threadedComment>
  <threadedComment ref="B14" dT="2023-01-26T08:16:35.90" personId="{1950299E-D59F-4C68-B72B-6A8E22276365}" id="{E6A88640-99D1-4E17-8A38-E820F7651CAA}">
    <text>0% seit Februar (Mutterschaft)</text>
  </threadedComment>
  <threadedComment ref="C14" dT="2022-12-01T09:08:58.76" personId="{1950299E-D59F-4C68-B72B-6A8E22276365}" id="{1B5CE2E9-37BF-4A2B-802B-2D785CFBA69C}">
    <text>Mo, Di, Mi, Do - 13:00 - 24:00, Fr - 13:00 - 24:00, Sa - 13:00 - 24:00, So - 13:00 - 24:00</text>
  </threadedComment>
  <threadedComment ref="T14" dT="2022-10-03T17:39:41.00" personId="{1950299E-D59F-4C68-B72B-6A8E22276365}" id="{7143AE40-4EDD-4EEA-86CB-860D01FD7B7F}">
    <text>Bereit, 2 WE zu arbeiten</text>
  </threadedComment>
  <threadedComment ref="B15" dT="2023-01-26T08:17:04.97" personId="{1950299E-D59F-4C68-B72B-6A8E22276365}" id="{A88E93F2-8B56-4A6C-A490-EE0ED8157BBD}">
    <text>90
Darf aber aktuell 100 eingeplant werden, auch 6er Schichten wenn nötig</text>
  </threadedComment>
  <threadedComment ref="K15" dT="2023-01-24T13:15:56.40" personId="{1950299E-D59F-4C68-B72B-6A8E22276365}" id="{4B4235D5-86B3-4EA0-9F29-C1954691F2F0}">
    <text>1 Tag frei zwischen 2 Blöcken möglich!</text>
  </threadedComment>
  <threadedComment ref="T15" dT="2022-10-03T17:39:41.00" personId="{1950299E-D59F-4C68-B72B-6A8E22276365}" id="{6FFE38A7-63D4-4103-8090-335504EB3A49}">
    <text>Bereit, 2 WE zu arbeiten</text>
  </threadedComment>
  <threadedComment ref="B16" dT="2023-01-26T08:17:15.98" personId="{1950299E-D59F-4C68-B72B-6A8E22276365}" id="{30BF9E5D-81F0-4DCA-91D5-9FE283220129}">
    <text>90</text>
  </threadedComment>
  <threadedComment ref="T16" dT="2022-10-03T17:39:41.00" personId="{1950299E-D59F-4C68-B72B-6A8E22276365}" id="{28822922-A097-416D-A54F-7A1F9311457E}">
    <text>Bereit, 2 WE zu arbeiten</text>
  </threadedComment>
  <threadedComment ref="B17" dT="2023-01-26T08:17:20.73" personId="{1950299E-D59F-4C68-B72B-6A8E22276365}" id="{E5B5A57E-32B5-420D-B616-64AC1187EE68}">
    <text>50</text>
  </threadedComment>
  <threadedComment ref="I17" dT="2023-01-25T09:54:53.40" personId="{1950299E-D59F-4C68-B72B-6A8E22276365}" id="{3DF05919-4E5E-4987-9BA5-1BBCF3E62CD5}">
    <text>war A5 : 2
wurde geändert wegen Bedarfsregeln für Almas (jeder 3x A3+A6)</text>
  </threadedComment>
  <threadedComment ref="K17" dT="2022-11-22T15:51:17.02" personId="{3A902CF0-782B-438A-AE8F-CFA88F96C364}" id="{5036F241-5C20-449E-A4BF-335BB72404C6}">
    <text>24-72</text>
  </threadedComment>
  <threadedComment ref="L17" dT="2023-01-26T18:00:33.05" personId="{1950299E-D59F-4C68-B72B-6A8E22276365}" id="{BE066B50-8FBA-4766-9302-0F07AFE42FAE}">
    <text>war A5 : 5 - 2</text>
  </threadedComment>
  <threadedComment ref="T17" dT="2022-10-03T17:39:41.00" personId="{1950299E-D59F-4C68-B72B-6A8E22276365}" id="{BA8AB1D1-AC81-46EF-A8A2-FDAA3875DC9B}">
    <text>Bereit, 2 WE zu arbeiten</text>
  </threadedComment>
  <threadedComment ref="B18" dT="2023-01-26T08:17:24.80" personId="{1950299E-D59F-4C68-B72B-6A8E22276365}" id="{69E1AFCD-925D-49EF-AB3F-C0584CE6C417}">
    <text>60</text>
  </threadedComment>
  <threadedComment ref="G18" dT="2023-01-27T00:02:08.03" personId="{1950299E-D59F-4C68-B72B-6A8E22276365}" id="{39AE995F-BF65-475A-96C6-3A182DA9103B}">
    <text>war A1 - Fr Sa So Mo</text>
  </threadedComment>
  <threadedComment ref="I18" dT="2023-01-25T09:56:15.83" personId="{1950299E-D59F-4C68-B72B-6A8E22276365}" id="{3D58A39A-A461-4B0C-85CA-7915EC803C46}">
    <text>war A6 : 2
wurde geändert wegen Bedarfsregeln für Almas (jeder 3x A3)</text>
  </threadedComment>
  <threadedComment ref="T18" dT="2022-10-03T17:39:41.00" personId="{1950299E-D59F-4C68-B72B-6A8E22276365}" id="{4A9CF90F-DA1E-4A5C-909F-D06E5F1915FC}">
    <text>Bereit, 2 WE zu arbeiten</text>
  </threadedComment>
  <threadedComment ref="B19" dT="2023-01-26T08:17:31.46" personId="{1950299E-D59F-4C68-B72B-6A8E22276365}" id="{00ED1147-22EF-46A7-80D4-F1962FEC4AE7}">
    <text>100</text>
  </threadedComment>
  <threadedComment ref="B20" dT="2023-01-26T08:17:36.85" personId="{1950299E-D59F-4C68-B72B-6A8E22276365}" id="{E10E9D43-C5F8-49D9-AA3C-BF37E0642125}">
    <text>100</text>
  </threadedComment>
  <threadedComment ref="B21" dT="2023-01-26T08:17:43.02" personId="{1950299E-D59F-4C68-B72B-6A8E22276365}" id="{A03E023F-63E3-489D-AEE7-FC2E28FD6116}">
    <text>100</text>
  </threadedComment>
</ThreadedComments>
</file>

<file path=xl/threadedComments/threadedComment4.xml><?xml version="1.0" encoding="utf-8"?>
<ThreadedComments xmlns="http://schemas.microsoft.com/office/spreadsheetml/2018/threadedcomments" xmlns:x="http://schemas.openxmlformats.org/spreadsheetml/2006/main">
  <threadedComment ref="A9" dT="2023-01-25T10:59:53.35" personId="{1950299E-D59F-4C68-B72B-6A8E22276365}" id="{170EFD1F-B4D0-4D0A-9118-5CCBA47955C1}">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2-10-04T13:25:27.61" personId="{1950299E-D59F-4C68-B72B-6A8E22276365}" id="{67CE9D18-34AA-4CE4-9280-EF342B9F859C}">
    <text xml:space="preserve">Leitung, Fachpersonal mit Diplom, Fachpersonal mit Fähigkeitszeugnis </text>
  </threadedComment>
  <threadedComment ref="C3" dT="2022-11-30T16:42:32.81" personId="{1950299E-D59F-4C68-B72B-6A8E22276365}" id="{26830BB6-D65D-4008-87AA-E657A079BC6D}">
    <text>Du kannst die Demands nun einfacher eingeben mit: KAT1 KAT2 … - SHIFT_TYPE_GROUP 
siehe KSA</text>
  </threadedComment>
  <threadedComment ref="B11" dT="2022-10-04T13:25:46.87" personId="{1950299E-D59F-4C68-B72B-6A8E22276365}" id="{0A8AEF20-6DC4-416A-8D67-0CEDA4614FF1}">
    <text>Leitung, Fachpersonal mit Diplom, Fachpersonal mit Fähigkeitszeugnis, Mitarbeitende</text>
  </threadedComment>
  <threadedComment ref="W15" dT="2023-01-25T19:03:40.31" personId="{1950299E-D59F-4C68-B72B-6A8E22276365}" id="{4533A20F-C791-4A16-AFF3-EA29EBA005E7}">
    <text>Obergrenze bei der Bedarfsabdeckung (3 wäre ok ab 13 Uhr) -&gt; gilt für alle roten oben</text>
  </threadedComment>
  <threadedComment ref="W16" dT="2022-12-02T21:29:13.71" personId="{1950299E-D59F-4C68-B72B-6A8E22276365}" id="{A140768D-C20C-41D1-AA41-2BC07A99BC5D}">
    <text>max. 2 aus Pflege -&gt; wenn 3. Person, dann Lernende</text>
  </threadedComment>
  <threadedComment ref="W16" dT="2023-01-26T15:36:28.74" personId="{1950299E-D59F-4C68-B72B-6A8E22276365}" id="{5D872F14-52A3-4AE3-92E3-C8CE1D26011F}" parentId="{A140768D-C20C-41D1-AA41-2BC07A99BC5D}">
    <text>war 0, aber dann kommen die Leute nicht auf ihre Stunden</text>
  </threadedComment>
  <threadedComment ref="W17" dT="2022-12-02T11:16:03.73" personId="{1950299E-D59F-4C68-B72B-6A8E22276365}" id="{9AC73D94-6572-4F44-A5BF-13F7CB7BED55}">
    <text>nicht 2 Leute bis halb 9</text>
  </threadedComment>
  <threadedComment ref="W26" dT="2023-01-25T15:43:40.96" personId="{1950299E-D59F-4C68-B72B-6A8E22276365}" id="{E4FE787D-40ED-4855-9066-9036B6B527A0}">
    <text>jeder MA 2-3x im Monat. Wird begrenzt über Monatslimiten. -&gt; überprüfen, ob das klappt.</text>
  </threadedComment>
  <threadedComment ref="W26" dT="2023-01-26T19:04:07.11" personId="{1950299E-D59F-4C68-B72B-6A8E22276365}" id="{8C387215-535F-4034-9BE0-5E225F9AC655}" parentId="{E4FE787D-40ED-4855-9066-9036B6B527A0}">
    <text>aktuell über 1x pro Woche gelöst</text>
  </threadedComment>
  <threadedComment ref="F28" dT="2023-01-26T08:40:39.74" personId="{1950299E-D59F-4C68-B72B-6A8E22276365}" id="{DC292697-ECB6-4DF1-91BA-0F6F50310AD5}">
    <text>wird im preprocessing wieder auf 0 gesetzt</text>
  </threadedComment>
  <threadedComment ref="B29" dT="2022-11-23T11:47:15.70" personId="{1950299E-D59F-4C68-B72B-6A8E22276365}" id="{FF6FBBD1-2E0F-451F-98C1-3C61BEC25FDE}">
    <text>Bedarfsprofil für WE hat andere Zeiten, nicht nur andere Bedarfe, deshalb hier separat definiert.</text>
  </threadedComment>
  <threadedComment ref="F30" dT="2023-01-23T21:09:28.41" personId="{1950299E-D59F-4C68-B72B-6A8E22276365}" id="{4BF1649D-D773-434B-9D8E-91F44C13CA15}">
    <text>Wird beim preprocessing wieder auf 0 gesetzt.</text>
  </threadedComment>
  <threadedComment ref="A33" dT="2022-12-24T00:09:38.19" personId="{1950299E-D59F-4C68-B72B-6A8E22276365}" id="{D64B7757-F8FA-4C49-946F-44A27ADC2D39}">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 ref="F33" dT="2023-01-23T21:32:35.15" personId="{1950299E-D59F-4C68-B72B-6A8E22276365}" id="{3677E85D-85C7-4C99-B7B2-9F1089400986}">
    <text>Wird beim preprocessing wieder auf 0 gesetzt.</text>
  </threadedComment>
</ThreadedComments>
</file>

<file path=xl/threadedComments/threadedComment6.xml><?xml version="1.0" encoding="utf-8"?>
<ThreadedComments xmlns="http://schemas.microsoft.com/office/spreadsheetml/2018/threadedcomments" xmlns:x="http://schemas.openxmlformats.org/spreadsheetml/2006/main">
  <threadedComment ref="C12" dT="2022-11-23T06:36:32.07" personId="{3A902CF0-782B-438A-AE8F-CFA88F96C364}" id="{5C45E80F-43C8-4BF7-AC52-1D2BEA69EFDE}">
    <text>40</text>
  </threadedComment>
</ThreadedComments>
</file>

<file path=xl/threadedComments/threadedComment7.xml><?xml version="1.0" encoding="utf-8"?>
<ThreadedComments xmlns="http://schemas.microsoft.com/office/spreadsheetml/2018/threadedcomments" xmlns:x="http://schemas.openxmlformats.org/spreadsheetml/2006/main">
  <threadedComment ref="K7" dT="2022-12-14T07:45:50.61" personId="{3A902CF0-782B-438A-AE8F-CFA88F96C364}" id="{780CDCE0-0619-4996-9290-7877D2A1168A}">
    <text>Spital</text>
  </threadedComment>
  <threadedComment ref="T10" dT="2022-12-14T07:45:50.61" personId="{3A902CF0-782B-438A-AE8F-CFA88F96C364}" id="{696AA95C-3442-4235-94B2-55073F5253D2}">
    <text>Spital</text>
  </threadedComment>
  <threadedComment ref="K15" dT="2023-01-23T13:14:15.15" personId="{3A902CF0-782B-438A-AE8F-CFA88F96C364}" id="{A5BA14CE-0798-4188-AC61-6C3B8A8ED23F}">
    <text>bis 15. März Mittwochvormittag 8:30 – 11:30 frei (am besten Abend G1)</text>
  </threadedComment>
  <threadedComment ref="R15" dT="2023-01-23T13:14:15.15" personId="{3A902CF0-782B-438A-AE8F-CFA88F96C364}" id="{83924C2C-FD4E-4020-8BB8-7B642BE94DF6}">
    <text>bis 15. März Mittwochvormittag 8:30 – 11:30 frei (am besten Abend G1)</text>
  </threadedComment>
  <threadedComment ref="Y15" dT="2023-01-23T13:14:15.15" personId="{3A902CF0-782B-438A-AE8F-CFA88F96C364}" id="{2FBA6535-80D2-4718-AA84-A32C0A32FAF3}">
    <text>bis 15. März Mittwochvormittag 8:30 – 11:30 frei (am besten Abend G1)</text>
  </threadedComment>
</ThreadedComments>
</file>

<file path=xl/threadedComments/threadedComment8.xml><?xml version="1.0" encoding="utf-8"?>
<ThreadedComments xmlns="http://schemas.microsoft.com/office/spreadsheetml/2018/threadedcomments" xmlns:x="http://schemas.openxmlformats.org/spreadsheetml/2006/main">
  <threadedComment ref="J2" dT="2022-09-21T12:17:08.10" personId="{1950299E-D59F-4C68-B72B-6A8E22276365}" id="{368F9C3A-D68C-4FAA-9C10-9AC114584D8A}">
    <text>Nur zur Kontrolle:
Überall Ruhezeit so einstellen, dass früheste Schicht möglich ist = 07:00 (F1, K2)</text>
  </threadedComment>
  <threadedComment ref="A3" dT="2022-09-21T12:14:25.01" personId="{1950299E-D59F-4C68-B72B-6A8E22276365}" id="{01D24022-2A7E-4648-A820-96D68F4FD771}">
    <text>B2: 08:00 - 12:00, 13:00 - 16:00
Doku: ?</text>
  </threadedComment>
  <threadedComment ref="A3" dT="2022-10-28T08:42:28.82" personId="{1950299E-D59F-4C68-B72B-6A8E22276365}" id="{35D9733C-5244-4D0A-A44C-7649671D6D40}" parentId="{01D24022-2A7E-4648-A820-96D68F4FD771}">
    <text>Doku wird immer nachträglich eingeplant, nicht relevant für uns</text>
  </threadedComment>
  <threadedComment ref="A4" dT="2022-09-21T12:14:47.13" personId="{1950299E-D59F-4C68-B72B-6A8E22276365}" id="{B7CEF5A9-64F5-42AC-8692-6BBCCB4EB950}">
    <text>K2: 07:00 - 13:00
-&gt;: ?</text>
  </threadedComment>
  <threadedComment ref="A4" dT="2022-10-28T08:42:00.54" personId="{1950299E-D59F-4C68-B72B-6A8E22276365}" id="{A4509D26-ADA9-4894-BCD6-DBBD410CC68E}" parentId="{B7CEF5A9-64F5-42AC-8692-6BBCCB4EB950}">
    <text>-&gt; meistens so dass insgesamt 8:24 ergibt
Bedarf nur K2</text>
  </threadedComment>
  <threadedComment ref="A5" dT="2022-09-21T12:13:40.11" personId="{1950299E-D59F-4C68-B72B-6A8E22276365}" id="{38A643DB-1C61-48ED-8907-6918B03183AE}">
    <text>K2: 07:00 - 13:00
Doku: ?</text>
  </threadedComment>
  <threadedComment ref="A6" dT="2022-09-21T12:13:17.23" personId="{1950299E-D59F-4C68-B72B-6A8E22276365}" id="{925F4B96-1839-4C77-90E9-89299F558C87}">
    <text>A2: 07:30 - 13:15
Doku: ?</text>
  </threadedComment>
  <threadedComment ref="A7" dT="2022-09-21T12:11:46.70" personId="{1950299E-D59F-4C68-B72B-6A8E22276365}" id="{489A08AF-ACEB-49DB-9A20-57C529744910}">
    <text>Doku: ?
S2: 11:30 - 13:00, 13:45 - 20:30</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microsoft.com/office/2017/10/relationships/threadedComment" Target="../threadedComments/threadedComment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D6F9-71F1-442D-8034-4F00563218B5}">
  <sheetPr codeName="Tabelle2"/>
  <dimension ref="A1:C9"/>
  <sheetViews>
    <sheetView zoomScale="130" zoomScaleNormal="130" workbookViewId="0">
      <selection activeCell="C7" sqref="C7"/>
    </sheetView>
  </sheetViews>
  <sheetFormatPr baseColWidth="10" defaultRowHeight="12.5"/>
  <cols>
    <col min="2" max="2" width="42.6328125" bestFit="1" customWidth="1"/>
  </cols>
  <sheetData>
    <row r="1" spans="1:3" ht="13">
      <c r="A1" s="106" t="s">
        <v>182</v>
      </c>
      <c r="B1" s="107"/>
    </row>
    <row r="2" spans="1:3" ht="13">
      <c r="A2" s="108" t="s">
        <v>1</v>
      </c>
      <c r="B2" s="108" t="s">
        <v>48</v>
      </c>
      <c r="C2" s="106" t="s">
        <v>303</v>
      </c>
    </row>
    <row r="3" spans="1:3">
      <c r="A3" s="109" t="s">
        <v>114</v>
      </c>
      <c r="B3" s="110" t="s">
        <v>183</v>
      </c>
      <c r="C3" t="s">
        <v>304</v>
      </c>
    </row>
    <row r="4" spans="1:3">
      <c r="A4" s="61" t="s">
        <v>277</v>
      </c>
      <c r="B4" s="1" t="s">
        <v>184</v>
      </c>
      <c r="C4" t="s">
        <v>349</v>
      </c>
    </row>
    <row r="5" spans="1:3">
      <c r="A5" s="61" t="s">
        <v>278</v>
      </c>
      <c r="B5" s="1" t="s">
        <v>185</v>
      </c>
      <c r="C5" t="s">
        <v>348</v>
      </c>
    </row>
    <row r="6" spans="1:3">
      <c r="A6" s="61" t="s">
        <v>113</v>
      </c>
      <c r="B6" s="1" t="s">
        <v>186</v>
      </c>
      <c r="C6" t="s">
        <v>346</v>
      </c>
    </row>
    <row r="7" spans="1:3">
      <c r="A7" s="61" t="s">
        <v>356</v>
      </c>
      <c r="B7" s="1" t="s">
        <v>357</v>
      </c>
      <c r="C7" t="s">
        <v>358</v>
      </c>
    </row>
    <row r="9" spans="1:3" ht="13">
      <c r="B9" s="63" t="s">
        <v>181</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3"/>
  <dimension ref="A1:N38"/>
  <sheetViews>
    <sheetView topLeftCell="A16" zoomScale="115" zoomScaleNormal="115" workbookViewId="0">
      <selection activeCell="D35" sqref="D35"/>
    </sheetView>
  </sheetViews>
  <sheetFormatPr baseColWidth="10" defaultColWidth="11.453125" defaultRowHeight="12.5"/>
  <cols>
    <col min="1" max="1" width="11.453125" style="47"/>
    <col min="2" max="2" width="23.81640625" style="47" bestFit="1" customWidth="1"/>
    <col min="3" max="3" width="19.81640625" style="47" bestFit="1" customWidth="1"/>
    <col min="4" max="4" width="13.81640625" style="47" bestFit="1" customWidth="1"/>
    <col min="5" max="5" width="15.36328125" style="47" bestFit="1" customWidth="1"/>
    <col min="6" max="6" width="16.1796875" style="47" bestFit="1" customWidth="1"/>
    <col min="7" max="7" width="29.6328125" style="47" bestFit="1" customWidth="1"/>
    <col min="8" max="8" width="14.81640625" style="47" bestFit="1" customWidth="1"/>
    <col min="9" max="9" width="29.81640625" style="47" customWidth="1"/>
    <col min="10" max="16384" width="11.453125" style="47"/>
  </cols>
  <sheetData>
    <row r="1" spans="1:14" customFormat="1" ht="13">
      <c r="A1" s="11" t="s">
        <v>57</v>
      </c>
      <c r="B1" s="32"/>
      <c r="C1" s="32"/>
      <c r="D1" s="32"/>
      <c r="E1" s="32"/>
      <c r="F1" s="33"/>
      <c r="G1" s="15" t="s">
        <v>134</v>
      </c>
      <c r="M1" s="113"/>
    </row>
    <row r="2" spans="1:14" customFormat="1" ht="13">
      <c r="A2" s="34" t="s">
        <v>1</v>
      </c>
      <c r="B2" s="35" t="s">
        <v>48</v>
      </c>
      <c r="C2" s="35" t="s">
        <v>52</v>
      </c>
      <c r="D2" s="35" t="s">
        <v>50</v>
      </c>
      <c r="E2" s="35" t="s">
        <v>51</v>
      </c>
      <c r="F2" s="36" t="s">
        <v>53</v>
      </c>
      <c r="G2" s="15" t="s">
        <v>135</v>
      </c>
      <c r="H2" s="114" t="s">
        <v>13</v>
      </c>
      <c r="M2" s="113"/>
    </row>
    <row r="3" spans="1:14" ht="13">
      <c r="A3" s="73" t="s">
        <v>77</v>
      </c>
      <c r="B3" s="74" t="s">
        <v>90</v>
      </c>
      <c r="C3" s="75">
        <v>0.33333333333333331</v>
      </c>
      <c r="D3" s="75">
        <v>0.33333333333333331</v>
      </c>
      <c r="E3" s="75">
        <v>0.29166666666666669</v>
      </c>
      <c r="F3" s="76">
        <v>0.29166666666666669</v>
      </c>
      <c r="H3" s="48"/>
      <c r="N3" s="70"/>
    </row>
    <row r="4" spans="1:14" s="48" customFormat="1" ht="13">
      <c r="A4" s="225" t="s">
        <v>155</v>
      </c>
      <c r="B4" s="48" t="s">
        <v>156</v>
      </c>
      <c r="C4" s="99">
        <v>0.33333333333333331</v>
      </c>
      <c r="D4" s="99">
        <v>0.16666666666666666</v>
      </c>
      <c r="E4" s="99">
        <v>0.16666666666666666</v>
      </c>
      <c r="F4" s="217">
        <v>0.29166666666666669</v>
      </c>
      <c r="H4" s="48" t="s">
        <v>341</v>
      </c>
      <c r="N4" s="87"/>
    </row>
    <row r="5" spans="1:14" ht="13">
      <c r="A5" s="77" t="s">
        <v>188</v>
      </c>
      <c r="B5" s="78" t="s">
        <v>189</v>
      </c>
      <c r="C5" s="79">
        <v>0.54166666666666663</v>
      </c>
      <c r="D5" s="88">
        <v>0.125</v>
      </c>
      <c r="E5" s="88">
        <v>0.125</v>
      </c>
      <c r="F5" s="105">
        <v>0.29166666666666669</v>
      </c>
      <c r="H5" s="48"/>
      <c r="N5" s="70"/>
    </row>
    <row r="6" spans="1:14">
      <c r="A6" s="81" t="s">
        <v>78</v>
      </c>
      <c r="B6" s="47" t="s">
        <v>91</v>
      </c>
      <c r="C6" s="82">
        <v>0.29166666666666669</v>
      </c>
      <c r="D6" s="82">
        <v>0.38125000000000003</v>
      </c>
      <c r="E6" s="82">
        <v>0.35000000000000003</v>
      </c>
      <c r="F6" s="83">
        <v>0.29166666666666669</v>
      </c>
      <c r="H6" s="48"/>
    </row>
    <row r="7" spans="1:14" s="48" customFormat="1" ht="13">
      <c r="A7" s="84" t="s">
        <v>79</v>
      </c>
      <c r="B7" s="85" t="s">
        <v>92</v>
      </c>
      <c r="C7" s="86">
        <v>0.3125</v>
      </c>
      <c r="D7" s="86">
        <v>0.47500000000000003</v>
      </c>
      <c r="E7" s="86">
        <v>0.35000000000000003</v>
      </c>
      <c r="F7" s="83">
        <v>0.29166666666666669</v>
      </c>
      <c r="G7" s="85" t="s">
        <v>136</v>
      </c>
      <c r="N7" s="87"/>
    </row>
    <row r="8" spans="1:14" s="48" customFormat="1" ht="13">
      <c r="A8" s="225" t="s">
        <v>337</v>
      </c>
      <c r="B8" s="48" t="s">
        <v>338</v>
      </c>
      <c r="C8" s="99">
        <v>0.3125</v>
      </c>
      <c r="D8" s="99">
        <v>0.22916666666666666</v>
      </c>
      <c r="E8" s="99">
        <v>0.22916666666666666</v>
      </c>
      <c r="F8" s="217">
        <v>0.29166666666666669</v>
      </c>
      <c r="H8" s="48" t="s">
        <v>341</v>
      </c>
      <c r="N8" s="87"/>
    </row>
    <row r="9" spans="1:14" s="48" customFormat="1">
      <c r="A9" s="98" t="s">
        <v>162</v>
      </c>
      <c r="B9" s="48" t="s">
        <v>168</v>
      </c>
      <c r="C9" s="99">
        <v>0.66666666666666663</v>
      </c>
      <c r="D9" s="99">
        <v>0.12083333333333333</v>
      </c>
      <c r="E9" s="99">
        <v>0.12083333333333333</v>
      </c>
      <c r="F9" s="217">
        <v>0.29166666666666669</v>
      </c>
      <c r="H9" s="48" t="s">
        <v>341</v>
      </c>
    </row>
    <row r="10" spans="1:14" s="48" customFormat="1" ht="13">
      <c r="A10" s="84" t="s">
        <v>80</v>
      </c>
      <c r="B10" s="85" t="s">
        <v>93</v>
      </c>
      <c r="C10" s="86">
        <v>0.3125</v>
      </c>
      <c r="D10" s="86">
        <v>0.54166666666666663</v>
      </c>
      <c r="E10" s="86">
        <v>0.34375</v>
      </c>
      <c r="F10" s="112">
        <v>0.29166666666666669</v>
      </c>
      <c r="G10" s="85" t="s">
        <v>137</v>
      </c>
      <c r="N10" s="87"/>
    </row>
    <row r="11" spans="1:14" s="48" customFormat="1" ht="13">
      <c r="A11" s="98" t="s">
        <v>339</v>
      </c>
      <c r="B11" s="48" t="s">
        <v>340</v>
      </c>
      <c r="C11" s="99">
        <v>0.3125</v>
      </c>
      <c r="D11" s="99">
        <v>0.15625</v>
      </c>
      <c r="E11" s="99">
        <v>0.15625</v>
      </c>
      <c r="F11" s="217">
        <v>0.29166666666666669</v>
      </c>
      <c r="H11" s="48" t="s">
        <v>341</v>
      </c>
      <c r="N11" s="87"/>
    </row>
    <row r="12" spans="1:14" s="48" customFormat="1" ht="13">
      <c r="A12" s="98" t="s">
        <v>163</v>
      </c>
      <c r="B12" s="48" t="s">
        <v>170</v>
      </c>
      <c r="C12" s="99">
        <v>0.66666666666666663</v>
      </c>
      <c r="D12" s="99">
        <v>0.1875</v>
      </c>
      <c r="E12" s="99">
        <v>0.1875</v>
      </c>
      <c r="F12" s="217">
        <v>0.29166666666666669</v>
      </c>
      <c r="H12" s="48" t="s">
        <v>341</v>
      </c>
      <c r="N12" s="87"/>
    </row>
    <row r="13" spans="1:14">
      <c r="A13" s="84" t="s">
        <v>81</v>
      </c>
      <c r="B13" s="85" t="s">
        <v>94</v>
      </c>
      <c r="C13" s="86">
        <v>0.29166666666666669</v>
      </c>
      <c r="D13" s="86">
        <v>0.25</v>
      </c>
      <c r="E13" s="86">
        <v>0.25</v>
      </c>
      <c r="F13" s="112">
        <v>0.29166666666666669</v>
      </c>
      <c r="G13" s="85"/>
      <c r="H13" s="48"/>
    </row>
    <row r="14" spans="1:14">
      <c r="A14" s="84" t="s">
        <v>82</v>
      </c>
      <c r="B14" s="85" t="s">
        <v>95</v>
      </c>
      <c r="C14" s="86">
        <v>0.47916666666666669</v>
      </c>
      <c r="D14" s="86">
        <v>0.375</v>
      </c>
      <c r="E14" s="86">
        <v>0.34375</v>
      </c>
      <c r="F14" s="112">
        <v>0.29166666666666669</v>
      </c>
      <c r="G14" s="85"/>
      <c r="H14" s="48"/>
    </row>
    <row r="15" spans="1:14" s="48" customFormat="1" ht="13">
      <c r="A15" s="90" t="s">
        <v>84</v>
      </c>
      <c r="B15" s="91" t="s">
        <v>97</v>
      </c>
      <c r="C15" s="92">
        <v>0.3125</v>
      </c>
      <c r="D15" s="92">
        <v>0.46875</v>
      </c>
      <c r="E15" s="92">
        <v>0.34375</v>
      </c>
      <c r="F15" s="76">
        <v>0.29166666666666669</v>
      </c>
      <c r="G15" s="85" t="s">
        <v>138</v>
      </c>
      <c r="N15" s="87"/>
    </row>
    <row r="16" spans="1:14" ht="13">
      <c r="A16" s="84" t="s">
        <v>85</v>
      </c>
      <c r="B16" s="85" t="s">
        <v>98</v>
      </c>
      <c r="C16" s="86">
        <v>0.3125</v>
      </c>
      <c r="D16" s="86">
        <v>0.23958333333333334</v>
      </c>
      <c r="E16" s="86">
        <v>0.23958333333333334</v>
      </c>
      <c r="F16" s="112">
        <v>0.29166666666666669</v>
      </c>
      <c r="G16" s="85"/>
      <c r="H16" s="48"/>
      <c r="N16" s="70"/>
    </row>
    <row r="17" spans="1:14">
      <c r="A17" s="84" t="s">
        <v>86</v>
      </c>
      <c r="B17" s="47" t="s">
        <v>99</v>
      </c>
      <c r="C17" s="82">
        <v>0.3125</v>
      </c>
      <c r="D17" s="82">
        <v>0.35416666666666669</v>
      </c>
      <c r="E17" s="82">
        <v>0.32291666666666669</v>
      </c>
      <c r="F17" s="83">
        <v>0.29166666666666669</v>
      </c>
      <c r="H17" s="48"/>
    </row>
    <row r="18" spans="1:14" ht="13">
      <c r="A18" s="81" t="s">
        <v>87</v>
      </c>
      <c r="B18" s="47" t="s">
        <v>100</v>
      </c>
      <c r="C18" s="82">
        <v>0.42708333333333331</v>
      </c>
      <c r="D18" s="82">
        <v>0.35416666666666669</v>
      </c>
      <c r="E18" s="82">
        <v>0.33333333333333331</v>
      </c>
      <c r="F18" s="83">
        <v>0.29166666666666669</v>
      </c>
      <c r="H18" s="48"/>
      <c r="N18" s="70"/>
    </row>
    <row r="19" spans="1:14" ht="13">
      <c r="A19" s="81" t="s">
        <v>88</v>
      </c>
      <c r="B19" s="47" t="s">
        <v>101</v>
      </c>
      <c r="C19" s="82">
        <v>0.67708333333333337</v>
      </c>
      <c r="D19" s="82">
        <v>0.10416666666666667</v>
      </c>
      <c r="E19" s="82">
        <v>0.10416666666666667</v>
      </c>
      <c r="F19" s="83">
        <v>0.29166666666666669</v>
      </c>
      <c r="H19" s="48"/>
      <c r="N19" s="70"/>
    </row>
    <row r="20" spans="1:14" ht="13">
      <c r="A20" s="77" t="s">
        <v>89</v>
      </c>
      <c r="B20" s="78" t="s">
        <v>102</v>
      </c>
      <c r="C20" s="79">
        <v>0.48958333333333331</v>
      </c>
      <c r="D20" s="79">
        <v>0.29166666666666669</v>
      </c>
      <c r="E20" s="79">
        <v>0.26041666666666669</v>
      </c>
      <c r="F20" s="89">
        <v>0.29166666666666669</v>
      </c>
      <c r="H20" s="48"/>
      <c r="N20" s="70"/>
    </row>
    <row r="21" spans="1:14" s="85" customFormat="1" ht="37.5">
      <c r="A21" s="166" t="s">
        <v>191</v>
      </c>
      <c r="B21" s="167" t="s">
        <v>171</v>
      </c>
      <c r="C21" s="168">
        <v>0.29166666666666669</v>
      </c>
      <c r="D21" s="168">
        <v>0.38125000000000003</v>
      </c>
      <c r="E21" s="168">
        <v>0.35000000000000003</v>
      </c>
      <c r="F21" s="76">
        <v>0.29166666666666669</v>
      </c>
      <c r="H21" s="85" t="s">
        <v>330</v>
      </c>
    </row>
    <row r="22" spans="1:14" s="85" customFormat="1" ht="37.5">
      <c r="A22" s="90" t="s">
        <v>313</v>
      </c>
      <c r="B22" s="91" t="s">
        <v>312</v>
      </c>
      <c r="C22" s="92">
        <v>0.29166666666666669</v>
      </c>
      <c r="D22" s="92">
        <v>0.38125000000000003</v>
      </c>
      <c r="E22" s="92">
        <v>0.35000000000000003</v>
      </c>
      <c r="F22" s="76">
        <v>0.29166666666666669</v>
      </c>
      <c r="H22" s="85" t="s">
        <v>329</v>
      </c>
    </row>
    <row r="23" spans="1:14">
      <c r="A23" s="73" t="s">
        <v>352</v>
      </c>
      <c r="B23" s="74" t="s">
        <v>354</v>
      </c>
      <c r="C23" s="75">
        <v>0.29166666666666669</v>
      </c>
      <c r="D23" s="75">
        <v>0.35416666666666669</v>
      </c>
      <c r="E23" s="75">
        <v>0.33333333333333331</v>
      </c>
      <c r="F23" s="76">
        <v>0.29166666666666669</v>
      </c>
    </row>
    <row r="24" spans="1:14">
      <c r="A24" s="81" t="s">
        <v>353</v>
      </c>
      <c r="B24" s="47" t="s">
        <v>355</v>
      </c>
      <c r="C24" s="82">
        <v>0.4375</v>
      </c>
      <c r="D24" s="82">
        <v>0.35416666666666669</v>
      </c>
      <c r="E24" s="82">
        <v>0.33333333333333331</v>
      </c>
      <c r="F24" s="83">
        <v>0.29166666666666669</v>
      </c>
    </row>
    <row r="25" spans="1:14">
      <c r="A25" s="77" t="s">
        <v>368</v>
      </c>
      <c r="B25" s="78" t="s">
        <v>369</v>
      </c>
      <c r="C25" s="88">
        <v>0.29166666666666669</v>
      </c>
      <c r="D25" s="88">
        <v>0.20833333333333334</v>
      </c>
      <c r="E25" s="88">
        <v>0.20833333333333334</v>
      </c>
      <c r="F25" s="105">
        <v>0.29166666666666669</v>
      </c>
    </row>
    <row r="26" spans="1:14">
      <c r="A26" s="47" t="s">
        <v>410</v>
      </c>
      <c r="B26" s="47" t="s">
        <v>411</v>
      </c>
      <c r="C26" s="75">
        <v>0.29166666666666669</v>
      </c>
      <c r="D26" s="75">
        <v>0.35416666666666669</v>
      </c>
      <c r="E26" s="75">
        <v>0.33333333333333331</v>
      </c>
      <c r="F26" s="76">
        <v>0.29166666666666669</v>
      </c>
      <c r="H26" s="85" t="s">
        <v>329</v>
      </c>
    </row>
    <row r="27" spans="1:14">
      <c r="A27" s="47" t="s">
        <v>467</v>
      </c>
      <c r="B27" s="47" t="s">
        <v>468</v>
      </c>
      <c r="C27" s="88">
        <v>0.54166666666666663</v>
      </c>
      <c r="D27" s="88">
        <v>0.20833333333333334</v>
      </c>
      <c r="E27" s="88">
        <v>0.20833333333333334</v>
      </c>
      <c r="F27" s="105">
        <v>0.29166666666666669</v>
      </c>
      <c r="H27" s="85" t="s">
        <v>329</v>
      </c>
    </row>
    <row r="28" spans="1:14" ht="13">
      <c r="A28" s="104" t="s">
        <v>424</v>
      </c>
      <c r="B28" s="85" t="s">
        <v>412</v>
      </c>
      <c r="C28" s="75">
        <v>0.29166666666666669</v>
      </c>
      <c r="D28" s="75">
        <v>0.35416666666666669</v>
      </c>
      <c r="E28" s="75">
        <v>0.33333333333333331</v>
      </c>
      <c r="F28" s="76">
        <v>0.29166666666666669</v>
      </c>
      <c r="H28" s="85" t="s">
        <v>329</v>
      </c>
      <c r="N28" s="70"/>
    </row>
    <row r="29" spans="1:14" ht="25">
      <c r="A29" s="47" t="s">
        <v>425</v>
      </c>
      <c r="B29" s="47" t="s">
        <v>420</v>
      </c>
      <c r="C29" s="75">
        <v>0.29166666666666669</v>
      </c>
      <c r="D29" s="75">
        <v>0.35416666666666669</v>
      </c>
      <c r="E29" s="75">
        <v>0.33333333333333331</v>
      </c>
      <c r="F29" s="76">
        <v>0.29166666666666669</v>
      </c>
      <c r="H29" s="85" t="s">
        <v>329</v>
      </c>
    </row>
    <row r="30" spans="1:14">
      <c r="A30" s="47" t="s">
        <v>432</v>
      </c>
      <c r="B30" s="47" t="s">
        <v>433</v>
      </c>
      <c r="C30" s="168">
        <v>0.29166666666666669</v>
      </c>
      <c r="D30" s="168">
        <v>0.38125000000000003</v>
      </c>
      <c r="E30" s="168">
        <v>0.35000000000000003</v>
      </c>
      <c r="F30" s="76">
        <v>0.29166666666666669</v>
      </c>
    </row>
    <row r="36" spans="14:14" ht="13">
      <c r="N36" s="70"/>
    </row>
    <row r="37" spans="14:14" ht="13">
      <c r="N37" s="70"/>
    </row>
    <row r="38" spans="14:14" ht="13">
      <c r="N38" s="70"/>
    </row>
  </sheetData>
  <pageMargins left="0.7" right="0.7" top="0.78740157499999996" bottom="0.78740157499999996" header="0.3" footer="0.3"/>
  <pageSetup paperSize="9" orientation="portrait" horizontalDpi="4294967293"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N18"/>
  <sheetViews>
    <sheetView zoomScale="115" zoomScaleNormal="115" workbookViewId="0">
      <selection activeCell="D13" sqref="D13"/>
    </sheetView>
  </sheetViews>
  <sheetFormatPr baseColWidth="10" defaultRowHeight="12.5"/>
  <cols>
    <col min="1" max="1" width="8.6328125" customWidth="1"/>
    <col min="2" max="2" width="17.1796875" bestFit="1" customWidth="1"/>
    <col min="8" max="8" width="11.453125" customWidth="1"/>
  </cols>
  <sheetData>
    <row r="1" spans="1:14" ht="13">
      <c r="A1" s="11" t="s">
        <v>69</v>
      </c>
      <c r="B1" s="32"/>
      <c r="C1" s="32"/>
      <c r="D1" s="32"/>
      <c r="E1" s="32"/>
      <c r="F1" s="33"/>
    </row>
    <row r="2" spans="1:14" ht="13">
      <c r="A2" s="34" t="s">
        <v>1</v>
      </c>
      <c r="B2" s="35" t="s">
        <v>48</v>
      </c>
      <c r="C2" s="35" t="s">
        <v>57</v>
      </c>
      <c r="D2" s="35"/>
      <c r="E2" s="35"/>
      <c r="F2" s="36"/>
    </row>
    <row r="3" spans="1:14">
      <c r="A3" s="163" t="s">
        <v>54</v>
      </c>
      <c r="B3" s="163" t="s">
        <v>55</v>
      </c>
      <c r="C3" s="49" t="s">
        <v>77</v>
      </c>
      <c r="D3" s="49" t="s">
        <v>155</v>
      </c>
      <c r="E3" s="49" t="s">
        <v>188</v>
      </c>
      <c r="F3" s="10"/>
      <c r="G3" s="49"/>
      <c r="H3" s="49"/>
      <c r="I3" s="49"/>
      <c r="J3" s="49"/>
      <c r="K3" s="49"/>
      <c r="L3" s="49"/>
      <c r="M3" s="49"/>
      <c r="N3" s="49"/>
    </row>
    <row r="4" spans="1:14">
      <c r="A4" s="163" t="s">
        <v>103</v>
      </c>
      <c r="B4" s="163" t="s">
        <v>106</v>
      </c>
      <c r="C4" s="49" t="s">
        <v>78</v>
      </c>
      <c r="D4" s="49"/>
      <c r="E4" s="49"/>
      <c r="F4" s="49"/>
      <c r="G4" s="49"/>
      <c r="H4" s="49"/>
      <c r="I4" s="49"/>
      <c r="J4" s="49"/>
      <c r="K4" s="49"/>
      <c r="L4" s="49"/>
      <c r="M4" s="49"/>
      <c r="N4" s="49"/>
    </row>
    <row r="5" spans="1:14">
      <c r="A5" s="163" t="s">
        <v>4</v>
      </c>
      <c r="B5" s="163" t="s">
        <v>107</v>
      </c>
      <c r="C5" s="49" t="s">
        <v>79</v>
      </c>
      <c r="D5" s="49" t="s">
        <v>80</v>
      </c>
      <c r="E5" s="10" t="s">
        <v>162</v>
      </c>
      <c r="F5" s="10" t="s">
        <v>163</v>
      </c>
      <c r="G5" s="49"/>
      <c r="H5" s="49"/>
      <c r="J5" s="49"/>
      <c r="K5" s="49"/>
      <c r="L5" s="49"/>
      <c r="M5" s="49"/>
      <c r="N5" s="49"/>
    </row>
    <row r="6" spans="1:14">
      <c r="A6" s="163" t="s">
        <v>104</v>
      </c>
      <c r="B6" s="163" t="s">
        <v>173</v>
      </c>
      <c r="C6" s="49" t="s">
        <v>81</v>
      </c>
      <c r="D6" s="49"/>
      <c r="E6" s="49"/>
      <c r="F6" s="49"/>
      <c r="G6" s="49"/>
      <c r="H6" s="49"/>
      <c r="I6" s="49"/>
      <c r="J6" s="49"/>
      <c r="K6" s="49"/>
      <c r="L6" s="49"/>
      <c r="M6" s="49"/>
      <c r="N6" s="49"/>
    </row>
    <row r="7" spans="1:14">
      <c r="A7" s="163" t="s">
        <v>14</v>
      </c>
      <c r="B7" s="163" t="s">
        <v>108</v>
      </c>
      <c r="C7" s="49" t="s">
        <v>82</v>
      </c>
      <c r="D7" s="49"/>
      <c r="E7" s="49"/>
      <c r="F7" s="49"/>
      <c r="G7" s="49"/>
      <c r="H7" s="49"/>
      <c r="I7" s="49"/>
      <c r="J7" s="49"/>
      <c r="K7" s="49"/>
      <c r="L7" s="49"/>
      <c r="M7" s="49"/>
      <c r="N7" s="49"/>
    </row>
    <row r="8" spans="1:14">
      <c r="A8" s="163" t="s">
        <v>105</v>
      </c>
      <c r="B8" s="163" t="s">
        <v>109</v>
      </c>
      <c r="C8" s="49" t="s">
        <v>84</v>
      </c>
      <c r="D8" s="49" t="s">
        <v>85</v>
      </c>
      <c r="E8" s="49" t="s">
        <v>86</v>
      </c>
      <c r="F8" s="49" t="s">
        <v>87</v>
      </c>
      <c r="G8" s="49" t="s">
        <v>88</v>
      </c>
      <c r="H8" s="49" t="s">
        <v>89</v>
      </c>
      <c r="I8" s="49"/>
      <c r="J8" s="49"/>
      <c r="K8" s="49"/>
      <c r="L8" s="49"/>
      <c r="M8" s="49"/>
      <c r="N8" s="49"/>
    </row>
    <row r="9" spans="1:14">
      <c r="A9" s="163" t="s">
        <v>223</v>
      </c>
      <c r="B9" s="163" t="s">
        <v>154</v>
      </c>
      <c r="C9" s="49" t="s">
        <v>78</v>
      </c>
      <c r="D9" s="49" t="s">
        <v>79</v>
      </c>
      <c r="E9" s="49" t="s">
        <v>80</v>
      </c>
      <c r="F9" s="49" t="s">
        <v>81</v>
      </c>
      <c r="G9" s="49" t="s">
        <v>82</v>
      </c>
      <c r="H9" s="10" t="s">
        <v>337</v>
      </c>
      <c r="I9" s="10" t="s">
        <v>162</v>
      </c>
      <c r="J9" s="10" t="s">
        <v>339</v>
      </c>
      <c r="K9" s="10" t="s">
        <v>163</v>
      </c>
    </row>
    <row r="10" spans="1:14">
      <c r="A10" s="163" t="s">
        <v>292</v>
      </c>
      <c r="B10" s="163" t="s">
        <v>344</v>
      </c>
      <c r="C10" s="49" t="s">
        <v>78</v>
      </c>
      <c r="D10" s="49" t="s">
        <v>79</v>
      </c>
      <c r="E10" s="49" t="s">
        <v>80</v>
      </c>
      <c r="F10" s="49" t="s">
        <v>81</v>
      </c>
      <c r="G10" s="49" t="s">
        <v>82</v>
      </c>
      <c r="H10" s="10" t="s">
        <v>337</v>
      </c>
      <c r="I10" s="10" t="s">
        <v>339</v>
      </c>
      <c r="L10" s="49"/>
      <c r="M10" s="49"/>
      <c r="N10" s="49"/>
    </row>
    <row r="11" spans="1:14">
      <c r="A11" s="163" t="s">
        <v>225</v>
      </c>
      <c r="B11" s="163" t="s">
        <v>226</v>
      </c>
      <c r="C11" s="49" t="s">
        <v>80</v>
      </c>
      <c r="D11" s="49" t="s">
        <v>82</v>
      </c>
      <c r="E11" s="10" t="s">
        <v>163</v>
      </c>
      <c r="I11" s="49"/>
      <c r="J11" s="49"/>
      <c r="K11" s="49"/>
      <c r="L11" s="49"/>
      <c r="M11" s="49"/>
      <c r="N11" s="49"/>
    </row>
    <row r="12" spans="1:14" s="317" customFormat="1">
      <c r="A12" s="163" t="s">
        <v>470</v>
      </c>
      <c r="B12" s="163" t="s">
        <v>472</v>
      </c>
      <c r="C12" s="49" t="s">
        <v>78</v>
      </c>
      <c r="D12" s="49" t="s">
        <v>81</v>
      </c>
      <c r="E12" s="10"/>
      <c r="I12" s="49"/>
      <c r="J12" s="49"/>
      <c r="K12" s="49"/>
      <c r="L12" s="49"/>
      <c r="M12" s="49"/>
      <c r="N12" s="49"/>
    </row>
    <row r="13" spans="1:14" s="317" customFormat="1">
      <c r="A13" s="163" t="s">
        <v>469</v>
      </c>
      <c r="B13" s="163" t="s">
        <v>471</v>
      </c>
      <c r="C13" s="49" t="s">
        <v>79</v>
      </c>
      <c r="D13" s="49" t="s">
        <v>80</v>
      </c>
      <c r="E13" s="10" t="s">
        <v>82</v>
      </c>
      <c r="I13" s="49"/>
      <c r="J13" s="49"/>
      <c r="K13" s="49"/>
      <c r="L13" s="49"/>
      <c r="M13" s="49"/>
      <c r="N13" s="49"/>
    </row>
    <row r="14" spans="1:14">
      <c r="A14" s="163" t="s">
        <v>310</v>
      </c>
      <c r="B14" s="49" t="s">
        <v>288</v>
      </c>
      <c r="C14" s="49" t="s">
        <v>80</v>
      </c>
      <c r="D14" s="49" t="s">
        <v>82</v>
      </c>
      <c r="E14" s="10" t="s">
        <v>163</v>
      </c>
      <c r="G14" s="49"/>
      <c r="H14" s="49"/>
      <c r="I14" s="49"/>
      <c r="J14" s="49"/>
      <c r="K14" s="49"/>
      <c r="L14" s="49"/>
      <c r="M14" s="49"/>
      <c r="N14" s="49"/>
    </row>
    <row r="15" spans="1:14">
      <c r="A15" s="49" t="s">
        <v>311</v>
      </c>
      <c r="B15" s="49" t="s">
        <v>289</v>
      </c>
      <c r="C15" s="49" t="s">
        <v>78</v>
      </c>
      <c r="D15" s="49" t="s">
        <v>81</v>
      </c>
      <c r="E15" s="49"/>
      <c r="F15" s="49"/>
      <c r="G15" s="49"/>
      <c r="H15" s="49"/>
      <c r="I15" s="49"/>
      <c r="J15" s="49"/>
      <c r="K15" s="49"/>
      <c r="L15" s="49"/>
      <c r="M15" s="49"/>
      <c r="N15" s="49"/>
    </row>
    <row r="16" spans="1:14">
      <c r="A16" s="163" t="s">
        <v>306</v>
      </c>
      <c r="B16" s="163" t="s">
        <v>276</v>
      </c>
      <c r="C16" s="49" t="s">
        <v>78</v>
      </c>
      <c r="D16" s="49" t="s">
        <v>79</v>
      </c>
      <c r="E16" s="49"/>
      <c r="F16" s="49"/>
      <c r="G16" s="49"/>
      <c r="H16" s="49"/>
      <c r="I16" s="49"/>
      <c r="J16" s="49"/>
      <c r="K16" s="49"/>
      <c r="L16" s="49"/>
      <c r="M16" s="49"/>
      <c r="N16" s="49"/>
    </row>
    <row r="17" spans="1:6">
      <c r="A17" s="9" t="s">
        <v>342</v>
      </c>
      <c r="B17" s="9" t="s">
        <v>343</v>
      </c>
      <c r="C17" s="10" t="s">
        <v>337</v>
      </c>
      <c r="D17" s="10" t="s">
        <v>162</v>
      </c>
      <c r="E17" s="10" t="s">
        <v>339</v>
      </c>
      <c r="F17" s="10" t="s">
        <v>163</v>
      </c>
    </row>
    <row r="18" spans="1:6">
      <c r="A18" s="163" t="s">
        <v>370</v>
      </c>
      <c r="B18" t="s">
        <v>371</v>
      </c>
      <c r="C18" s="49" t="s">
        <v>352</v>
      </c>
      <c r="D18" s="49" t="s">
        <v>353</v>
      </c>
      <c r="E18" s="49" t="s">
        <v>368</v>
      </c>
    </row>
  </sheetData>
  <phoneticPr fontId="9" type="noConversion"/>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BB56-E439-4930-AA8E-59002274931C}">
  <sheetPr codeName="Tabelle5">
    <tabColor theme="0" tint="-0.249977111117893"/>
  </sheetPr>
  <dimension ref="A1:D14"/>
  <sheetViews>
    <sheetView workbookViewId="0">
      <selection activeCell="C9" sqref="C9"/>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127" t="s">
        <v>48</v>
      </c>
      <c r="B1" s="127" t="s">
        <v>207</v>
      </c>
      <c r="C1" s="127" t="s">
        <v>208</v>
      </c>
      <c r="D1" s="127" t="s">
        <v>209</v>
      </c>
    </row>
    <row r="2" spans="1:4" ht="13">
      <c r="A2" s="128" t="s">
        <v>90</v>
      </c>
      <c r="B2" s="129" t="s">
        <v>210</v>
      </c>
      <c r="C2" s="130" t="s">
        <v>211</v>
      </c>
      <c r="D2" s="130">
        <v>0.29166666666666669</v>
      </c>
    </row>
    <row r="3" spans="1:4" ht="13">
      <c r="A3" s="131" t="s">
        <v>91</v>
      </c>
      <c r="B3" s="132" t="s">
        <v>210</v>
      </c>
      <c r="C3" s="132" t="s">
        <v>212</v>
      </c>
      <c r="D3" s="133">
        <v>0.35000000000000003</v>
      </c>
    </row>
    <row r="4" spans="1:4" ht="13">
      <c r="A4" s="131" t="s">
        <v>92</v>
      </c>
      <c r="B4" s="132" t="s">
        <v>210</v>
      </c>
      <c r="C4" s="132" t="s">
        <v>213</v>
      </c>
      <c r="D4" s="133">
        <v>0.35000000000000003</v>
      </c>
    </row>
    <row r="5" spans="1:4" ht="13">
      <c r="A5" s="131" t="s">
        <v>93</v>
      </c>
      <c r="B5" s="132" t="s">
        <v>210</v>
      </c>
      <c r="C5" s="132" t="s">
        <v>214</v>
      </c>
      <c r="D5" s="133">
        <v>0.34375</v>
      </c>
    </row>
    <row r="6" spans="1:4">
      <c r="A6" s="132" t="s">
        <v>94</v>
      </c>
      <c r="B6" s="132" t="s">
        <v>210</v>
      </c>
      <c r="C6" s="132" t="s">
        <v>215</v>
      </c>
      <c r="D6" s="133">
        <v>0.25</v>
      </c>
    </row>
    <row r="7" spans="1:4">
      <c r="A7" s="132" t="s">
        <v>95</v>
      </c>
      <c r="B7" s="132" t="s">
        <v>210</v>
      </c>
      <c r="C7" s="132" t="s">
        <v>216</v>
      </c>
      <c r="D7" s="133">
        <v>0.34375</v>
      </c>
    </row>
    <row r="8" spans="1:4">
      <c r="A8" s="132" t="s">
        <v>96</v>
      </c>
      <c r="B8" s="132" t="s">
        <v>210</v>
      </c>
      <c r="C8" s="132" t="s">
        <v>217</v>
      </c>
      <c r="D8" s="133">
        <v>0.34375</v>
      </c>
    </row>
    <row r="9" spans="1:4" ht="13">
      <c r="A9" s="131" t="s">
        <v>97</v>
      </c>
      <c r="B9" s="132" t="s">
        <v>210</v>
      </c>
      <c r="C9" s="133" t="s">
        <v>218</v>
      </c>
      <c r="D9" s="133">
        <v>0.34375</v>
      </c>
    </row>
    <row r="10" spans="1:4" ht="13">
      <c r="A10" s="131" t="s">
        <v>98</v>
      </c>
      <c r="B10" s="132" t="s">
        <v>210</v>
      </c>
      <c r="C10" s="132" t="s">
        <v>219</v>
      </c>
      <c r="D10" s="133">
        <v>0.23958333333333334</v>
      </c>
    </row>
    <row r="11" spans="1:4">
      <c r="A11" s="132" t="s">
        <v>99</v>
      </c>
      <c r="B11" s="132" t="s">
        <v>210</v>
      </c>
      <c r="C11" s="132" t="s">
        <v>449</v>
      </c>
      <c r="D11" s="133">
        <v>0.32291666666666669</v>
      </c>
    </row>
    <row r="12" spans="1:4">
      <c r="A12" s="132" t="s">
        <v>100</v>
      </c>
      <c r="B12" s="132" t="s">
        <v>210</v>
      </c>
      <c r="C12" s="132" t="s">
        <v>220</v>
      </c>
      <c r="D12" s="133">
        <v>0.33333333333333331</v>
      </c>
    </row>
    <row r="13" spans="1:4">
      <c r="A13" s="132" t="s">
        <v>101</v>
      </c>
      <c r="B13" s="132" t="s">
        <v>210</v>
      </c>
      <c r="C13" s="132" t="s">
        <v>221</v>
      </c>
      <c r="D13" s="133">
        <v>0.10416666666666667</v>
      </c>
    </row>
    <row r="14" spans="1:4">
      <c r="A14" s="132" t="s">
        <v>102</v>
      </c>
      <c r="B14" s="132" t="s">
        <v>210</v>
      </c>
      <c r="C14" s="132" t="s">
        <v>222</v>
      </c>
      <c r="D14" s="133">
        <v>0.26041666666666669</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8"/>
  <dimension ref="A1:Y28"/>
  <sheetViews>
    <sheetView zoomScale="115" zoomScaleNormal="115" workbookViewId="0">
      <pane xSplit="2" ySplit="3" topLeftCell="R4" activePane="bottomRight" state="frozen"/>
      <selection pane="topRight" activeCell="C1" sqref="C1"/>
      <selection pane="bottomLeft" activeCell="A4" sqref="A4"/>
      <selection pane="bottomRight" activeCell="T11" sqref="T11"/>
    </sheetView>
  </sheetViews>
  <sheetFormatPr baseColWidth="10" defaultRowHeight="13"/>
  <cols>
    <col min="1" max="1" width="13.1796875" bestFit="1" customWidth="1"/>
    <col min="2" max="2" width="28" bestFit="1" customWidth="1"/>
    <col min="3" max="3" width="34.81640625" bestFit="1" customWidth="1"/>
    <col min="4" max="4" width="19.1796875" customWidth="1"/>
    <col min="5" max="5" width="19.81640625" bestFit="1" customWidth="1"/>
    <col min="6" max="6" width="27.1796875" bestFit="1" customWidth="1"/>
    <col min="7" max="7" width="41.81640625" customWidth="1"/>
    <col min="8" max="8" width="23.6328125" bestFit="1" customWidth="1"/>
    <col min="9" max="9" width="38.453125" bestFit="1" customWidth="1"/>
    <col min="10" max="10" width="38.1796875" bestFit="1" customWidth="1"/>
    <col min="11" max="11" width="28.6328125" customWidth="1"/>
    <col min="12" max="12" width="30.1796875" bestFit="1" customWidth="1"/>
    <col min="13" max="13" width="32.1796875" bestFit="1" customWidth="1"/>
    <col min="14" max="14" width="47.6328125" style="51" bestFit="1" customWidth="1"/>
    <col min="15" max="15" width="18.453125" customWidth="1"/>
    <col min="16" max="16" width="18.453125" style="123" customWidth="1"/>
    <col min="17" max="17" width="19.81640625" customWidth="1"/>
    <col min="18" max="18" width="18.81640625" customWidth="1"/>
    <col min="19" max="19" width="38.36328125" customWidth="1"/>
    <col min="20" max="20" width="25" bestFit="1" customWidth="1"/>
    <col min="21" max="21" width="34.453125" bestFit="1" customWidth="1"/>
    <col min="22" max="22" width="13.6328125" customWidth="1"/>
    <col min="23" max="23" width="17" bestFit="1" customWidth="1"/>
    <col min="24" max="24" width="22.1796875" customWidth="1"/>
  </cols>
  <sheetData>
    <row r="1" spans="1:25">
      <c r="A1" s="11"/>
      <c r="B1" s="12"/>
      <c r="C1" s="400" t="s">
        <v>23</v>
      </c>
      <c r="D1" s="401"/>
      <c r="E1" s="401"/>
      <c r="F1" s="125" t="s">
        <v>375</v>
      </c>
      <c r="G1" s="402" t="s">
        <v>376</v>
      </c>
      <c r="H1" s="403"/>
      <c r="I1" s="125" t="s">
        <v>37</v>
      </c>
      <c r="J1" s="397" t="s">
        <v>27</v>
      </c>
      <c r="K1" s="398"/>
      <c r="L1" s="398"/>
      <c r="M1" s="398"/>
      <c r="N1" s="405"/>
      <c r="O1" s="126" t="s">
        <v>192</v>
      </c>
      <c r="P1" s="115"/>
      <c r="Q1" s="116" t="s">
        <v>193</v>
      </c>
      <c r="R1" s="126"/>
      <c r="S1" s="231"/>
      <c r="T1" s="400" t="s">
        <v>33</v>
      </c>
      <c r="U1" s="404"/>
      <c r="V1" s="31"/>
      <c r="X1" s="117"/>
    </row>
    <row r="2" spans="1:25">
      <c r="A2" s="14"/>
      <c r="B2" s="15"/>
      <c r="C2" s="50" t="s">
        <v>21</v>
      </c>
      <c r="D2" s="51" t="s">
        <v>22</v>
      </c>
      <c r="E2" s="51" t="s">
        <v>35</v>
      </c>
      <c r="F2" s="50" t="s">
        <v>194</v>
      </c>
      <c r="G2" s="50" t="s">
        <v>25</v>
      </c>
      <c r="H2" s="52" t="s">
        <v>26</v>
      </c>
      <c r="I2" s="50" t="s">
        <v>28</v>
      </c>
      <c r="J2" s="169" t="s">
        <v>36</v>
      </c>
      <c r="K2" s="51" t="s">
        <v>29</v>
      </c>
      <c r="L2" s="51" t="s">
        <v>195</v>
      </c>
      <c r="M2" s="51" t="s">
        <v>30</v>
      </c>
      <c r="N2" s="52" t="s">
        <v>284</v>
      </c>
      <c r="O2" s="51" t="s">
        <v>31</v>
      </c>
      <c r="P2" s="51" t="s">
        <v>196</v>
      </c>
      <c r="Q2" s="51" t="s">
        <v>197</v>
      </c>
      <c r="R2" s="51" t="s">
        <v>38</v>
      </c>
      <c r="S2" s="194" t="s">
        <v>32</v>
      </c>
      <c r="T2" s="134" t="s">
        <v>198</v>
      </c>
      <c r="U2" s="52" t="s">
        <v>34</v>
      </c>
      <c r="V2" s="51"/>
      <c r="X2" s="118" t="s">
        <v>199</v>
      </c>
    </row>
    <row r="3" spans="1:25">
      <c r="A3" s="14" t="s">
        <v>45</v>
      </c>
      <c r="B3" s="19" t="s">
        <v>24</v>
      </c>
      <c r="C3" s="119" t="s">
        <v>43</v>
      </c>
      <c r="D3" s="119" t="s">
        <v>139</v>
      </c>
      <c r="E3" s="119" t="s">
        <v>140</v>
      </c>
      <c r="F3" s="119" t="s">
        <v>43</v>
      </c>
      <c r="G3" s="240" t="s">
        <v>142</v>
      </c>
      <c r="H3" s="111" t="s">
        <v>150</v>
      </c>
      <c r="I3" s="239" t="s">
        <v>140</v>
      </c>
      <c r="J3" s="119" t="s">
        <v>237</v>
      </c>
      <c r="K3" s="119" t="s">
        <v>142</v>
      </c>
      <c r="L3" s="119" t="s">
        <v>140</v>
      </c>
      <c r="M3" s="119" t="s">
        <v>143</v>
      </c>
      <c r="N3" s="111" t="s">
        <v>150</v>
      </c>
      <c r="O3" s="119" t="s">
        <v>142</v>
      </c>
      <c r="P3" s="119" t="s">
        <v>143</v>
      </c>
      <c r="Q3" s="119" t="s">
        <v>139</v>
      </c>
      <c r="R3" s="119" t="s">
        <v>143</v>
      </c>
      <c r="S3" s="119" t="s">
        <v>143</v>
      </c>
      <c r="T3" s="119" t="s">
        <v>143</v>
      </c>
      <c r="U3" s="111" t="s">
        <v>142</v>
      </c>
      <c r="W3" t="s">
        <v>13</v>
      </c>
      <c r="X3" s="118" t="s">
        <v>200</v>
      </c>
      <c r="Y3" t="s">
        <v>305</v>
      </c>
    </row>
    <row r="4" spans="1:25">
      <c r="A4" s="14" t="s">
        <v>1</v>
      </c>
      <c r="B4" s="15" t="s">
        <v>144</v>
      </c>
      <c r="C4" s="120" t="s">
        <v>201</v>
      </c>
      <c r="D4" s="120" t="s">
        <v>201</v>
      </c>
      <c r="E4" s="120" t="s">
        <v>202</v>
      </c>
      <c r="F4" s="121" t="s">
        <v>203</v>
      </c>
      <c r="G4" s="241" t="s">
        <v>202</v>
      </c>
      <c r="H4" s="122" t="s">
        <v>204</v>
      </c>
      <c r="I4" s="234" t="s">
        <v>474</v>
      </c>
      <c r="J4" s="53" t="s">
        <v>466</v>
      </c>
      <c r="K4" s="215" t="s">
        <v>326</v>
      </c>
      <c r="L4" s="215" t="s">
        <v>473</v>
      </c>
      <c r="M4" s="54"/>
      <c r="N4" s="193"/>
      <c r="O4" s="54"/>
      <c r="P4" s="54"/>
      <c r="Q4" s="54" t="s">
        <v>112</v>
      </c>
      <c r="R4" s="54"/>
      <c r="S4" s="55"/>
      <c r="T4" s="53" t="s">
        <v>205</v>
      </c>
      <c r="U4" s="55" t="s">
        <v>15</v>
      </c>
      <c r="V4" s="62"/>
      <c r="X4" s="195" t="s">
        <v>206</v>
      </c>
      <c r="Y4" s="196" t="s">
        <v>43</v>
      </c>
    </row>
    <row r="5" spans="1:25" ht="12.5">
      <c r="A5" s="17" t="s">
        <v>3</v>
      </c>
      <c r="B5" s="43" t="s">
        <v>118</v>
      </c>
      <c r="C5" s="20" t="s">
        <v>315</v>
      </c>
      <c r="D5" s="41"/>
      <c r="E5" s="42"/>
      <c r="F5" s="20" t="s">
        <v>407</v>
      </c>
      <c r="G5" s="20" t="s">
        <v>308</v>
      </c>
      <c r="H5" s="135" t="s">
        <v>223</v>
      </c>
      <c r="I5" s="237" t="s">
        <v>475</v>
      </c>
      <c r="J5" s="62"/>
      <c r="K5" s="136"/>
      <c r="L5" s="136"/>
      <c r="M5" s="39"/>
      <c r="N5" s="235"/>
      <c r="O5" s="41"/>
      <c r="P5" s="45"/>
      <c r="Q5" s="41"/>
      <c r="R5" s="42"/>
      <c r="T5" s="164" t="s">
        <v>417</v>
      </c>
      <c r="U5" s="135"/>
      <c r="V5" s="124"/>
      <c r="W5" s="49"/>
      <c r="X5" s="118" t="s">
        <v>206</v>
      </c>
      <c r="Y5" s="197"/>
    </row>
    <row r="6" spans="1:25" ht="12.5">
      <c r="A6" s="18" t="s">
        <v>5</v>
      </c>
      <c r="B6" s="44" t="s">
        <v>119</v>
      </c>
      <c r="C6" s="20"/>
      <c r="D6" s="41"/>
      <c r="E6" s="42"/>
      <c r="F6" s="20" t="s">
        <v>373</v>
      </c>
      <c r="G6" s="20" t="s">
        <v>490</v>
      </c>
      <c r="H6" s="242" t="s">
        <v>4</v>
      </c>
      <c r="I6" s="236"/>
      <c r="J6" s="136" t="s">
        <v>483</v>
      </c>
      <c r="K6" s="136"/>
      <c r="L6" s="136" t="s">
        <v>351</v>
      </c>
      <c r="M6" s="39"/>
      <c r="N6" s="135" t="s">
        <v>482</v>
      </c>
      <c r="O6" s="41"/>
      <c r="P6" s="45"/>
      <c r="Q6" s="41"/>
      <c r="R6" s="42"/>
      <c r="T6" s="164"/>
      <c r="U6" s="135"/>
      <c r="V6" s="124"/>
      <c r="W6" s="163" t="s">
        <v>180</v>
      </c>
      <c r="X6" s="118" t="s">
        <v>206</v>
      </c>
      <c r="Y6" s="197"/>
    </row>
    <row r="7" spans="1:25" ht="12.5">
      <c r="A7" s="18" t="s">
        <v>6</v>
      </c>
      <c r="B7" s="44" t="s">
        <v>120</v>
      </c>
      <c r="C7" s="191" t="s">
        <v>41</v>
      </c>
      <c r="D7" s="40"/>
      <c r="E7" s="42"/>
      <c r="F7" s="20" t="s">
        <v>373</v>
      </c>
      <c r="G7" s="191"/>
      <c r="H7" s="242" t="s">
        <v>82</v>
      </c>
      <c r="I7" s="236"/>
      <c r="J7" s="62" t="s">
        <v>484</v>
      </c>
      <c r="K7" s="136"/>
      <c r="L7" s="62"/>
      <c r="M7" s="39"/>
      <c r="N7" s="235"/>
      <c r="O7" s="41"/>
      <c r="P7" s="45"/>
      <c r="Q7" s="41"/>
      <c r="R7" s="42"/>
      <c r="T7" s="164" t="s">
        <v>405</v>
      </c>
      <c r="U7" s="135"/>
      <c r="V7" s="124"/>
      <c r="W7" s="49" t="s">
        <v>176</v>
      </c>
      <c r="X7" s="118" t="s">
        <v>206</v>
      </c>
      <c r="Y7" s="197"/>
    </row>
    <row r="8" spans="1:25" ht="13.75" customHeight="1">
      <c r="A8" s="18" t="s">
        <v>7</v>
      </c>
      <c r="B8" s="44" t="s">
        <v>121</v>
      </c>
      <c r="C8" s="20"/>
      <c r="D8" s="41"/>
      <c r="E8" s="42"/>
      <c r="F8" s="20" t="s">
        <v>373</v>
      </c>
      <c r="G8" s="164" t="s">
        <v>490</v>
      </c>
      <c r="H8" s="135" t="s">
        <v>4</v>
      </c>
      <c r="I8" s="236"/>
      <c r="J8" s="62" t="s">
        <v>483</v>
      </c>
      <c r="K8" s="136" t="s">
        <v>488</v>
      </c>
      <c r="L8" s="136"/>
      <c r="M8" s="39"/>
      <c r="N8" s="135" t="s">
        <v>482</v>
      </c>
      <c r="O8" s="41"/>
      <c r="P8" s="45"/>
      <c r="Q8" s="41"/>
      <c r="R8" s="42"/>
      <c r="T8" s="164"/>
      <c r="U8" s="135" t="s">
        <v>293</v>
      </c>
      <c r="V8" s="124"/>
      <c r="W8" s="163"/>
      <c r="X8" s="118" t="s">
        <v>206</v>
      </c>
      <c r="Y8" s="197"/>
    </row>
    <row r="9" spans="1:25" ht="12.5">
      <c r="A9" s="18" t="s">
        <v>8</v>
      </c>
      <c r="B9" s="44" t="s">
        <v>122</v>
      </c>
      <c r="C9" s="20" t="s">
        <v>347</v>
      </c>
      <c r="D9" s="41"/>
      <c r="E9" s="42"/>
      <c r="F9" s="20" t="s">
        <v>373</v>
      </c>
      <c r="G9" s="164" t="s">
        <v>224</v>
      </c>
      <c r="H9" s="135" t="s">
        <v>408</v>
      </c>
      <c r="I9" s="236" t="s">
        <v>476</v>
      </c>
      <c r="J9" s="62" t="s">
        <v>485</v>
      </c>
      <c r="K9" s="136" t="s">
        <v>437</v>
      </c>
      <c r="L9" s="136"/>
      <c r="M9" s="39"/>
      <c r="N9" s="235"/>
      <c r="O9" s="41"/>
      <c r="P9" s="45"/>
      <c r="Q9" s="41"/>
      <c r="R9" s="42"/>
      <c r="T9" s="164"/>
      <c r="U9" s="135"/>
      <c r="V9" s="124"/>
      <c r="W9" s="163"/>
      <c r="X9" s="118" t="s">
        <v>206</v>
      </c>
      <c r="Y9" s="197"/>
    </row>
    <row r="10" spans="1:25" ht="12.5">
      <c r="A10" s="18" t="s">
        <v>9</v>
      </c>
      <c r="B10" s="44" t="s">
        <v>123</v>
      </c>
      <c r="C10" s="20" t="s">
        <v>328</v>
      </c>
      <c r="D10" s="41"/>
      <c r="E10" s="42"/>
      <c r="F10" s="20" t="s">
        <v>373</v>
      </c>
      <c r="G10" s="20"/>
      <c r="H10" s="242" t="s">
        <v>82</v>
      </c>
      <c r="I10" s="236"/>
      <c r="J10" s="136" t="s">
        <v>409</v>
      </c>
      <c r="K10" s="136"/>
      <c r="L10" s="136" t="s">
        <v>480</v>
      </c>
      <c r="M10" s="39"/>
      <c r="N10" s="235"/>
      <c r="O10" s="41"/>
      <c r="P10" s="45"/>
      <c r="Q10" s="41"/>
      <c r="R10" s="42"/>
      <c r="T10" s="164"/>
      <c r="U10" s="135"/>
      <c r="V10" s="124"/>
      <c r="W10" s="163" t="s">
        <v>178</v>
      </c>
      <c r="X10" s="118" t="s">
        <v>206</v>
      </c>
      <c r="Y10" s="197"/>
    </row>
    <row r="11" spans="1:25" ht="12.5">
      <c r="A11" s="18" t="s">
        <v>10</v>
      </c>
      <c r="B11" s="44" t="s">
        <v>124</v>
      </c>
      <c r="C11" s="20"/>
      <c r="D11" s="41"/>
      <c r="E11" s="42"/>
      <c r="F11" s="20" t="s">
        <v>373</v>
      </c>
      <c r="G11" s="20"/>
      <c r="H11" s="242" t="s">
        <v>82</v>
      </c>
      <c r="I11" s="236"/>
      <c r="J11" s="62" t="s">
        <v>483</v>
      </c>
      <c r="K11" s="136" t="s">
        <v>327</v>
      </c>
      <c r="L11" s="136"/>
      <c r="M11" s="39"/>
      <c r="N11" s="235"/>
      <c r="O11" s="41"/>
      <c r="P11" s="45"/>
      <c r="Q11" s="41"/>
      <c r="R11" s="42"/>
      <c r="T11" s="164"/>
      <c r="U11" s="135"/>
      <c r="V11" s="124"/>
      <c r="W11" s="163" t="s">
        <v>177</v>
      </c>
      <c r="X11" s="118" t="s">
        <v>206</v>
      </c>
      <c r="Y11" s="197"/>
    </row>
    <row r="12" spans="1:25" ht="12.5">
      <c r="A12" s="18" t="s">
        <v>11</v>
      </c>
      <c r="B12" s="44" t="s">
        <v>125</v>
      </c>
      <c r="C12" s="20"/>
      <c r="D12" s="41"/>
      <c r="E12" s="42"/>
      <c r="F12" s="20" t="s">
        <v>374</v>
      </c>
      <c r="G12" s="20"/>
      <c r="H12" s="242" t="s">
        <v>342</v>
      </c>
      <c r="I12" s="236" t="s">
        <v>477</v>
      </c>
      <c r="J12" s="62" t="s">
        <v>409</v>
      </c>
      <c r="K12" s="136"/>
      <c r="L12" s="136"/>
      <c r="M12" s="39"/>
      <c r="N12" s="235"/>
      <c r="O12" s="41"/>
      <c r="P12" s="45"/>
      <c r="Q12" s="41"/>
      <c r="R12" s="42"/>
      <c r="T12" s="164"/>
      <c r="U12" s="135"/>
      <c r="V12" s="124"/>
      <c r="W12" s="163"/>
      <c r="X12" s="118" t="s">
        <v>206</v>
      </c>
      <c r="Y12" s="197"/>
    </row>
    <row r="13" spans="1:25" ht="12.5">
      <c r="A13" s="18" t="s">
        <v>12</v>
      </c>
      <c r="B13" s="216" t="s">
        <v>126</v>
      </c>
      <c r="C13" s="20" t="s">
        <v>110</v>
      </c>
      <c r="D13" s="41"/>
      <c r="E13" s="42"/>
      <c r="F13" s="20" t="s">
        <v>374</v>
      </c>
      <c r="G13" s="20"/>
      <c r="H13" s="242" t="s">
        <v>81</v>
      </c>
      <c r="I13" s="236" t="s">
        <v>476</v>
      </c>
      <c r="J13" s="62" t="s">
        <v>485</v>
      </c>
      <c r="K13" s="136" t="s">
        <v>436</v>
      </c>
      <c r="L13" s="136"/>
      <c r="M13" s="39"/>
      <c r="N13" s="235"/>
      <c r="O13" s="41"/>
      <c r="P13" s="45"/>
      <c r="Q13" s="41"/>
      <c r="R13" s="42"/>
      <c r="T13" s="164" t="s">
        <v>291</v>
      </c>
      <c r="U13" s="135"/>
      <c r="V13" s="124"/>
      <c r="W13" s="163"/>
      <c r="X13" s="118" t="s">
        <v>206</v>
      </c>
      <c r="Y13" s="197"/>
    </row>
    <row r="14" spans="1:25" ht="12.5">
      <c r="A14" s="18" t="s">
        <v>16</v>
      </c>
      <c r="B14" s="216" t="s">
        <v>127</v>
      </c>
      <c r="C14" s="164"/>
      <c r="D14" s="41"/>
      <c r="E14" s="42"/>
      <c r="F14" s="20" t="s">
        <v>374</v>
      </c>
      <c r="G14" s="20"/>
      <c r="H14" s="242"/>
      <c r="I14" s="236"/>
      <c r="J14" s="62" t="s">
        <v>485</v>
      </c>
      <c r="K14" s="136"/>
      <c r="L14" s="136"/>
      <c r="M14" s="39"/>
      <c r="N14" s="235"/>
      <c r="O14" s="41"/>
      <c r="P14" s="45"/>
      <c r="Q14" s="41"/>
      <c r="R14" s="42"/>
      <c r="T14" s="164"/>
      <c r="U14" s="135" t="s">
        <v>293</v>
      </c>
      <c r="V14" s="124"/>
      <c r="W14" s="163" t="s">
        <v>179</v>
      </c>
      <c r="X14" s="118" t="s">
        <v>206</v>
      </c>
      <c r="Y14" s="197"/>
    </row>
    <row r="15" spans="1:25" ht="12.5">
      <c r="A15" s="18" t="s">
        <v>17</v>
      </c>
      <c r="B15" s="44" t="s">
        <v>128</v>
      </c>
      <c r="C15" s="191"/>
      <c r="D15" s="41"/>
      <c r="E15" s="42"/>
      <c r="F15" s="20" t="s">
        <v>374</v>
      </c>
      <c r="G15" s="20"/>
      <c r="H15" s="242" t="s">
        <v>81</v>
      </c>
      <c r="I15" s="236"/>
      <c r="J15" s="62" t="s">
        <v>275</v>
      </c>
      <c r="K15" s="136"/>
      <c r="L15" s="136"/>
      <c r="M15" s="39"/>
      <c r="N15" s="235"/>
      <c r="O15" s="41"/>
      <c r="P15" s="45"/>
      <c r="Q15" s="41"/>
      <c r="R15" s="42"/>
      <c r="T15" s="164"/>
      <c r="U15" s="135"/>
      <c r="V15" s="124"/>
      <c r="W15" s="163"/>
      <c r="X15" s="118" t="s">
        <v>206</v>
      </c>
      <c r="Y15" s="197"/>
    </row>
    <row r="16" spans="1:25" ht="12.5">
      <c r="A16" s="18" t="s">
        <v>18</v>
      </c>
      <c r="B16" s="44" t="s">
        <v>129</v>
      </c>
      <c r="C16" s="20"/>
      <c r="D16" s="41"/>
      <c r="E16" s="42"/>
      <c r="F16" s="20" t="s">
        <v>373</v>
      </c>
      <c r="G16" s="20" t="s">
        <v>491</v>
      </c>
      <c r="H16" s="242" t="s">
        <v>87</v>
      </c>
      <c r="I16" s="236"/>
      <c r="J16" s="62" t="s">
        <v>483</v>
      </c>
      <c r="K16" s="136"/>
      <c r="L16" s="136"/>
      <c r="M16" s="39"/>
      <c r="N16" s="235"/>
      <c r="O16" s="41"/>
      <c r="P16" s="45"/>
      <c r="Q16" s="41"/>
      <c r="R16" s="42"/>
      <c r="T16" s="164" t="s">
        <v>291</v>
      </c>
      <c r="U16" s="135" t="s">
        <v>438</v>
      </c>
      <c r="V16" s="124"/>
      <c r="W16" s="163"/>
      <c r="X16" s="118" t="s">
        <v>206</v>
      </c>
      <c r="Y16" s="197"/>
    </row>
    <row r="17" spans="1:25" ht="12.5">
      <c r="A17" s="18" t="s">
        <v>19</v>
      </c>
      <c r="B17" s="44" t="s">
        <v>130</v>
      </c>
      <c r="C17" s="20"/>
      <c r="D17" s="41"/>
      <c r="E17" s="42"/>
      <c r="F17" s="137" t="s">
        <v>373</v>
      </c>
      <c r="G17" s="191" t="s">
        <v>492</v>
      </c>
      <c r="H17" s="242"/>
      <c r="I17" s="236" t="s">
        <v>489</v>
      </c>
      <c r="J17" s="62" t="s">
        <v>409</v>
      </c>
      <c r="K17" s="136" t="s">
        <v>327</v>
      </c>
      <c r="L17" s="136"/>
      <c r="M17" s="39"/>
      <c r="N17" s="235"/>
      <c r="O17" s="41"/>
      <c r="P17" s="45"/>
      <c r="Q17" s="41"/>
      <c r="R17" s="42"/>
      <c r="T17" s="164" t="s">
        <v>291</v>
      </c>
      <c r="U17" s="135" t="s">
        <v>405</v>
      </c>
      <c r="V17" s="124"/>
      <c r="W17" s="163"/>
      <c r="X17" s="118" t="s">
        <v>206</v>
      </c>
      <c r="Y17" s="197"/>
    </row>
    <row r="18" spans="1:25" ht="12.5">
      <c r="A18" s="18" t="s">
        <v>20</v>
      </c>
      <c r="B18" s="44" t="s">
        <v>131</v>
      </c>
      <c r="C18" s="20"/>
      <c r="D18" s="40"/>
      <c r="E18" s="42"/>
      <c r="F18" s="20" t="s">
        <v>373</v>
      </c>
      <c r="G18" s="191" t="s">
        <v>492</v>
      </c>
      <c r="H18" s="242"/>
      <c r="I18" s="236"/>
      <c r="J18" s="62"/>
      <c r="K18" s="124"/>
      <c r="L18" s="136"/>
      <c r="M18" s="39"/>
      <c r="N18" s="235"/>
      <c r="O18" s="41"/>
      <c r="P18" s="45"/>
      <c r="Q18" s="41"/>
      <c r="R18" s="42"/>
      <c r="T18" s="164" t="s">
        <v>405</v>
      </c>
      <c r="U18" s="135"/>
      <c r="V18" s="124"/>
      <c r="W18" s="9"/>
      <c r="X18" s="118" t="s">
        <v>206</v>
      </c>
      <c r="Y18" s="197"/>
    </row>
    <row r="19" spans="1:25">
      <c r="A19" s="18" t="s">
        <v>365</v>
      </c>
      <c r="B19" s="238" t="s">
        <v>361</v>
      </c>
      <c r="C19" t="s">
        <v>394</v>
      </c>
      <c r="D19" s="40"/>
      <c r="E19" s="42"/>
      <c r="F19" t="s">
        <v>372</v>
      </c>
      <c r="G19" s="61"/>
      <c r="H19" s="1" t="s">
        <v>435</v>
      </c>
      <c r="I19" s="38" t="s">
        <v>391</v>
      </c>
      <c r="J19" s="62"/>
      <c r="K19" t="s">
        <v>406</v>
      </c>
      <c r="L19" s="136"/>
      <c r="M19" s="39"/>
      <c r="N19" s="52"/>
      <c r="O19" s="41"/>
      <c r="P19" s="45"/>
      <c r="Q19" s="41"/>
      <c r="R19" s="42"/>
      <c r="T19" s="191" t="s">
        <v>291</v>
      </c>
      <c r="U19" s="135" t="s">
        <v>405</v>
      </c>
      <c r="X19" s="118" t="s">
        <v>206</v>
      </c>
      <c r="Y19" s="197"/>
    </row>
    <row r="20" spans="1:25">
      <c r="A20" s="18" t="s">
        <v>359</v>
      </c>
      <c r="B20" s="238" t="s">
        <v>362</v>
      </c>
      <c r="C20" t="s">
        <v>395</v>
      </c>
      <c r="D20" s="40"/>
      <c r="E20" s="42"/>
      <c r="F20" t="s">
        <v>367</v>
      </c>
      <c r="G20" s="20"/>
      <c r="H20" s="1" t="s">
        <v>393</v>
      </c>
      <c r="I20" s="38" t="s">
        <v>392</v>
      </c>
      <c r="J20" s="62"/>
      <c r="K20" s="299" t="s">
        <v>406</v>
      </c>
      <c r="M20" s="39"/>
      <c r="N20" s="52"/>
      <c r="O20" s="41"/>
      <c r="P20" s="45"/>
      <c r="Q20" s="41"/>
      <c r="R20" s="42"/>
      <c r="T20" s="191" t="s">
        <v>291</v>
      </c>
      <c r="U20" s="135" t="s">
        <v>405</v>
      </c>
      <c r="X20" s="118" t="s">
        <v>206</v>
      </c>
      <c r="Y20" s="197"/>
    </row>
    <row r="21" spans="1:25">
      <c r="A21" s="18" t="s">
        <v>360</v>
      </c>
      <c r="B21" s="238" t="s">
        <v>363</v>
      </c>
      <c r="C21" t="s">
        <v>395</v>
      </c>
      <c r="D21" s="40"/>
      <c r="E21" s="42"/>
      <c r="F21" t="s">
        <v>367</v>
      </c>
      <c r="G21" s="20"/>
      <c r="H21" s="1" t="s">
        <v>393</v>
      </c>
      <c r="I21" s="38" t="s">
        <v>392</v>
      </c>
      <c r="J21" s="62"/>
      <c r="K21" s="299" t="s">
        <v>406</v>
      </c>
      <c r="M21" s="39"/>
      <c r="N21" s="52"/>
      <c r="O21" s="41"/>
      <c r="P21" s="45"/>
      <c r="Q21" s="41"/>
      <c r="R21" s="42"/>
      <c r="T21" s="191" t="s">
        <v>291</v>
      </c>
      <c r="U21" s="135" t="s">
        <v>405</v>
      </c>
      <c r="X21" s="118" t="s">
        <v>206</v>
      </c>
      <c r="Y21" s="197"/>
    </row>
    <row r="22" spans="1:25">
      <c r="J22" s="62"/>
    </row>
    <row r="23" spans="1:25">
      <c r="C23" t="s">
        <v>70</v>
      </c>
    </row>
    <row r="24" spans="1:25" ht="12.5">
      <c r="C24" t="s">
        <v>71</v>
      </c>
      <c r="I24" t="s">
        <v>74</v>
      </c>
      <c r="N24" t="s">
        <v>285</v>
      </c>
    </row>
    <row r="25" spans="1:25" ht="14">
      <c r="C25" t="s">
        <v>72</v>
      </c>
      <c r="I25" s="192" t="s">
        <v>302</v>
      </c>
      <c r="N25" t="s">
        <v>286</v>
      </c>
    </row>
    <row r="26" spans="1:25" ht="12.5">
      <c r="N26" t="s">
        <v>287</v>
      </c>
    </row>
    <row r="27" spans="1:25" ht="12.5">
      <c r="D27" s="16" t="s">
        <v>73</v>
      </c>
      <c r="E27" s="16" t="s">
        <v>73</v>
      </c>
      <c r="G27" s="16" t="s">
        <v>73</v>
      </c>
      <c r="H27" s="16" t="s">
        <v>73</v>
      </c>
      <c r="N27"/>
    </row>
    <row r="28" spans="1:25" ht="12.5">
      <c r="N28" s="10" t="s">
        <v>73</v>
      </c>
    </row>
  </sheetData>
  <mergeCells count="4">
    <mergeCell ref="C1:E1"/>
    <mergeCell ref="G1:H1"/>
    <mergeCell ref="T1:U1"/>
    <mergeCell ref="J1:N1"/>
  </mergeCells>
  <phoneticPr fontId="9" type="noConversion"/>
  <pageMargins left="0.7" right="0.7" top="0.78740157499999996" bottom="0.78740157499999996" header="0.3" footer="0.3"/>
  <pageSetup paperSize="9" orientation="portrait" horizontalDpi="4294967293"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0FB9A41-B4BF-489E-858A-AB15FEF815B6}">
          <x14:formula1>
            <xm:f>qualitativeGewichte!$A$2:$A$9</xm:f>
          </x14:formula1>
          <xm:sqref>C3:I3 K3:U3</xm:sqref>
        </x14:dataValidation>
        <x14:dataValidation type="list" allowBlank="1" showInputMessage="1" showErrorMessage="1" xr:uid="{0D76A1BF-DD06-4C6E-9884-B514B0BADDDC}">
          <x14:formula1>
            <xm:f>qualitativeGewichte!$C$2:$C$7</xm:f>
          </x14:formula1>
          <xm:sqref>J3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60BB3-0083-4C66-94E9-6E6E5C0EAE80}">
  <sheetPr codeName="Tabelle12">
    <tabColor rgb="FFBAB9A8"/>
  </sheetPr>
  <dimension ref="A1:BI24"/>
  <sheetViews>
    <sheetView tabSelected="1" topLeftCell="A4" zoomScale="85" zoomScaleNormal="85" workbookViewId="0">
      <selection activeCell="AI14" sqref="AI14"/>
    </sheetView>
  </sheetViews>
  <sheetFormatPr baseColWidth="10" defaultColWidth="12" defaultRowHeight="15.5"/>
  <cols>
    <col min="1" max="1" width="12.90625" style="57" customWidth="1"/>
    <col min="2" max="7" width="2.7265625" style="57" customWidth="1"/>
    <col min="8" max="59" width="2.81640625" style="324" customWidth="1"/>
    <col min="60" max="61" width="12" style="325"/>
    <col min="62" max="16384" width="12" style="57"/>
  </cols>
  <sheetData>
    <row r="1" spans="1:61" ht="18">
      <c r="A1" s="323" t="s">
        <v>440</v>
      </c>
    </row>
    <row r="3" spans="1:61">
      <c r="A3" s="56" t="s">
        <v>441</v>
      </c>
      <c r="B3" s="393" t="s">
        <v>442</v>
      </c>
      <c r="C3" s="394"/>
      <c r="D3" s="394"/>
      <c r="E3" s="394"/>
      <c r="F3" s="394"/>
      <c r="G3" s="394"/>
      <c r="H3" s="394"/>
      <c r="I3" s="394"/>
      <c r="J3" s="394"/>
      <c r="K3" s="394"/>
      <c r="L3" s="394"/>
      <c r="M3" s="394"/>
      <c r="N3" s="395"/>
      <c r="O3" s="395"/>
      <c r="P3" s="395"/>
      <c r="Q3" s="395"/>
      <c r="R3" s="395"/>
      <c r="S3" s="395"/>
      <c r="T3" s="395"/>
      <c r="U3" s="395"/>
      <c r="V3" s="395"/>
      <c r="W3" s="395"/>
      <c r="X3" s="395"/>
      <c r="Y3" s="395"/>
      <c r="Z3" s="395"/>
      <c r="AA3" s="395"/>
      <c r="AB3" s="395"/>
      <c r="AC3" s="395"/>
      <c r="AD3" s="396"/>
      <c r="AQ3" s="324" t="s">
        <v>60</v>
      </c>
      <c r="AS3" s="324" t="s">
        <v>453</v>
      </c>
      <c r="AV3" s="324" t="s">
        <v>454</v>
      </c>
      <c r="AY3" s="324" t="s">
        <v>455</v>
      </c>
    </row>
    <row r="4" spans="1:61">
      <c r="A4" s="56" t="s">
        <v>443</v>
      </c>
      <c r="B4" s="393" t="s">
        <v>444</v>
      </c>
      <c r="C4" s="394"/>
      <c r="D4" s="394"/>
      <c r="E4" s="394"/>
      <c r="F4" s="394"/>
      <c r="G4" s="394"/>
      <c r="H4" s="394"/>
      <c r="I4" s="394"/>
      <c r="J4" s="394"/>
      <c r="K4" s="394"/>
      <c r="L4" s="394"/>
      <c r="M4" s="394"/>
      <c r="N4" s="395"/>
      <c r="O4" s="395"/>
      <c r="P4" s="395"/>
      <c r="Q4" s="395"/>
      <c r="R4" s="395"/>
      <c r="S4" s="395"/>
      <c r="T4" s="395"/>
      <c r="U4" s="395"/>
      <c r="V4" s="395"/>
      <c r="W4" s="395"/>
      <c r="X4" s="395"/>
      <c r="Y4" s="395"/>
      <c r="Z4" s="395"/>
      <c r="AA4" s="395"/>
      <c r="AB4" s="395"/>
      <c r="AC4" s="395"/>
      <c r="AD4" s="396"/>
      <c r="AM4" s="324" t="s">
        <v>450</v>
      </c>
      <c r="AQ4" s="324">
        <v>1</v>
      </c>
      <c r="AS4" s="324">
        <v>1</v>
      </c>
      <c r="AV4" s="324">
        <v>1</v>
      </c>
      <c r="AY4" s="324">
        <v>1</v>
      </c>
    </row>
    <row r="5" spans="1:61" ht="25.5" customHeight="1">
      <c r="AM5" s="324" t="s">
        <v>451</v>
      </c>
      <c r="AQ5" s="324">
        <v>1</v>
      </c>
      <c r="AS5" s="324">
        <v>1</v>
      </c>
      <c r="AV5" s="324">
        <v>2</v>
      </c>
      <c r="AY5" s="324">
        <v>2</v>
      </c>
    </row>
    <row r="6" spans="1:61">
      <c r="A6" s="56" t="s">
        <v>445</v>
      </c>
      <c r="AM6" s="324" t="s">
        <v>452</v>
      </c>
      <c r="AQ6" s="324">
        <v>1</v>
      </c>
      <c r="AS6" s="324">
        <v>1</v>
      </c>
      <c r="AV6" s="324">
        <v>2</v>
      </c>
      <c r="AY6" s="324">
        <v>2</v>
      </c>
    </row>
    <row r="8" spans="1:61">
      <c r="B8" s="327">
        <v>0</v>
      </c>
      <c r="C8" s="327">
        <v>1</v>
      </c>
      <c r="D8" s="327">
        <v>2</v>
      </c>
      <c r="E8" s="327">
        <v>3</v>
      </c>
      <c r="F8" s="327">
        <v>4</v>
      </c>
      <c r="G8" s="327">
        <v>5</v>
      </c>
      <c r="H8" s="328">
        <v>6</v>
      </c>
      <c r="I8" s="329"/>
      <c r="J8" s="329"/>
      <c r="K8" s="330"/>
      <c r="L8" s="328">
        <v>7</v>
      </c>
      <c r="M8" s="329"/>
      <c r="N8" s="329"/>
      <c r="O8" s="330"/>
      <c r="P8" s="328">
        <v>8</v>
      </c>
      <c r="Q8" s="329"/>
      <c r="R8" s="329"/>
      <c r="S8" s="330"/>
      <c r="T8" s="328">
        <v>9</v>
      </c>
      <c r="U8" s="329"/>
      <c r="V8" s="329"/>
      <c r="W8" s="330"/>
      <c r="X8" s="328">
        <v>10</v>
      </c>
      <c r="Y8" s="329"/>
      <c r="Z8" s="329"/>
      <c r="AA8" s="330"/>
      <c r="AB8" s="328">
        <v>11</v>
      </c>
      <c r="AC8" s="329"/>
      <c r="AD8" s="329"/>
      <c r="AE8" s="330"/>
      <c r="AF8" s="328">
        <v>12</v>
      </c>
      <c r="AG8" s="329"/>
      <c r="AH8" s="329"/>
      <c r="AI8" s="330"/>
      <c r="AJ8" s="328">
        <v>13</v>
      </c>
      <c r="AK8" s="329"/>
      <c r="AL8" s="329"/>
      <c r="AM8" s="330"/>
      <c r="AN8" s="328">
        <v>14</v>
      </c>
      <c r="AO8" s="329"/>
      <c r="AP8" s="329"/>
      <c r="AQ8" s="330"/>
      <c r="AR8" s="328">
        <v>15</v>
      </c>
      <c r="AS8" s="329"/>
      <c r="AT8" s="329"/>
      <c r="AU8" s="330"/>
      <c r="AV8" s="328">
        <v>16</v>
      </c>
      <c r="AW8" s="329"/>
      <c r="AX8" s="329"/>
      <c r="AY8" s="330"/>
      <c r="AZ8" s="328">
        <v>17</v>
      </c>
      <c r="BA8" s="329"/>
      <c r="BB8" s="329"/>
      <c r="BC8" s="330"/>
      <c r="BD8" s="328">
        <v>18</v>
      </c>
      <c r="BE8" s="329"/>
      <c r="BF8" s="329"/>
      <c r="BG8" s="330"/>
    </row>
    <row r="9" spans="1:61" ht="16" thickBot="1">
      <c r="A9" s="377" t="s">
        <v>448</v>
      </c>
      <c r="B9" s="331"/>
      <c r="C9" s="331"/>
      <c r="D9" s="331"/>
      <c r="E9" s="331"/>
      <c r="F9" s="331"/>
      <c r="G9" s="331"/>
      <c r="H9" s="332">
        <v>0</v>
      </c>
      <c r="I9" s="333">
        <v>15</v>
      </c>
      <c r="J9" s="333">
        <v>30</v>
      </c>
      <c r="K9" s="334">
        <v>45</v>
      </c>
      <c r="L9" s="332">
        <v>0</v>
      </c>
      <c r="M9" s="333">
        <v>15</v>
      </c>
      <c r="N9" s="333">
        <v>30</v>
      </c>
      <c r="O9" s="334">
        <v>45</v>
      </c>
      <c r="P9" s="332">
        <v>0</v>
      </c>
      <c r="Q9" s="333">
        <v>15</v>
      </c>
      <c r="R9" s="333">
        <v>30</v>
      </c>
      <c r="S9" s="334">
        <v>45</v>
      </c>
      <c r="T9" s="332">
        <v>0</v>
      </c>
      <c r="U9" s="333">
        <v>15</v>
      </c>
      <c r="V9" s="333">
        <v>30</v>
      </c>
      <c r="W9" s="334">
        <v>45</v>
      </c>
      <c r="X9" s="332">
        <v>0</v>
      </c>
      <c r="Y9" s="333">
        <v>15</v>
      </c>
      <c r="Z9" s="333">
        <v>30</v>
      </c>
      <c r="AA9" s="334">
        <v>45</v>
      </c>
      <c r="AB9" s="332">
        <v>0</v>
      </c>
      <c r="AC9" s="333">
        <v>15</v>
      </c>
      <c r="AD9" s="333">
        <v>30</v>
      </c>
      <c r="AE9" s="334">
        <v>45</v>
      </c>
      <c r="AF9" s="332">
        <v>0</v>
      </c>
      <c r="AG9" s="333">
        <v>15</v>
      </c>
      <c r="AH9" s="333">
        <v>30</v>
      </c>
      <c r="AI9" s="334">
        <v>45</v>
      </c>
      <c r="AJ9" s="332">
        <v>0</v>
      </c>
      <c r="AK9" s="333">
        <v>15</v>
      </c>
      <c r="AL9" s="333">
        <v>30</v>
      </c>
      <c r="AM9" s="334">
        <v>45</v>
      </c>
      <c r="AN9" s="332">
        <v>0</v>
      </c>
      <c r="AO9" s="333">
        <v>15</v>
      </c>
      <c r="AP9" s="333">
        <v>30</v>
      </c>
      <c r="AQ9" s="334">
        <v>45</v>
      </c>
      <c r="AR9" s="332">
        <v>0</v>
      </c>
      <c r="AS9" s="333">
        <v>15</v>
      </c>
      <c r="AT9" s="333">
        <v>30</v>
      </c>
      <c r="AU9" s="334">
        <v>45</v>
      </c>
      <c r="AV9" s="332">
        <v>0</v>
      </c>
      <c r="AW9" s="333">
        <v>15</v>
      </c>
      <c r="AX9" s="333">
        <v>30</v>
      </c>
      <c r="AY9" s="334">
        <v>45</v>
      </c>
      <c r="AZ9" s="332">
        <v>0</v>
      </c>
      <c r="BA9" s="333">
        <v>15</v>
      </c>
      <c r="BB9" s="333">
        <v>30</v>
      </c>
      <c r="BC9" s="334">
        <v>45</v>
      </c>
      <c r="BD9" s="332">
        <v>0</v>
      </c>
      <c r="BE9" s="333">
        <v>15</v>
      </c>
      <c r="BF9" s="333">
        <v>30</v>
      </c>
      <c r="BG9" s="334">
        <v>45</v>
      </c>
    </row>
    <row r="10" spans="1:61" s="339" customFormat="1" ht="16" thickBot="1">
      <c r="A10" s="335"/>
      <c r="B10" s="336"/>
      <c r="C10" s="336"/>
      <c r="D10" s="336"/>
      <c r="E10" s="336"/>
      <c r="F10" s="336"/>
      <c r="G10" s="336"/>
      <c r="H10" s="336"/>
      <c r="I10" s="336"/>
      <c r="J10" s="336"/>
      <c r="K10" s="336"/>
      <c r="L10" s="336"/>
      <c r="M10" s="337"/>
      <c r="N10" s="378"/>
      <c r="O10" s="379"/>
      <c r="P10" s="379"/>
      <c r="Q10" s="379"/>
      <c r="R10" s="379"/>
      <c r="S10" s="379"/>
      <c r="T10" s="379"/>
      <c r="U10" s="379"/>
      <c r="V10" s="379"/>
      <c r="W10" s="379"/>
      <c r="X10" s="379"/>
      <c r="Y10" s="379"/>
      <c r="Z10" s="379"/>
      <c r="AA10" s="379"/>
      <c r="AB10" s="379"/>
      <c r="AC10" s="379"/>
      <c r="AD10" s="379"/>
      <c r="AE10" s="380"/>
      <c r="AF10" s="380"/>
      <c r="AG10" s="380"/>
      <c r="AH10" s="380"/>
      <c r="AI10" s="380"/>
      <c r="AJ10" s="482"/>
      <c r="AK10" s="384"/>
      <c r="AL10" s="385"/>
      <c r="AM10" s="385"/>
      <c r="AN10" s="385"/>
      <c r="AO10" s="385"/>
      <c r="AP10" s="385"/>
      <c r="AQ10" s="385"/>
      <c r="AR10" s="385"/>
      <c r="AS10" s="385"/>
      <c r="AT10" s="385"/>
      <c r="AU10" s="385"/>
      <c r="AV10" s="386"/>
      <c r="AW10" s="381"/>
      <c r="AX10" s="380"/>
      <c r="AY10" s="380"/>
      <c r="AZ10" s="380"/>
      <c r="BA10" s="380"/>
      <c r="BB10" s="380"/>
      <c r="BC10" s="380"/>
      <c r="BD10" s="380"/>
      <c r="BE10" s="380"/>
      <c r="BF10" s="382"/>
      <c r="BG10" s="338"/>
      <c r="BH10" s="340"/>
      <c r="BI10" s="340"/>
    </row>
    <row r="11" spans="1:61" s="352" customFormat="1" ht="16" thickBot="1">
      <c r="A11" s="347"/>
      <c r="B11" s="348"/>
      <c r="C11" s="348"/>
      <c r="D11" s="348"/>
      <c r="E11" s="348"/>
      <c r="F11" s="348"/>
      <c r="G11" s="348"/>
      <c r="H11" s="348"/>
      <c r="I11" s="348"/>
      <c r="J11" s="348"/>
      <c r="K11" s="348"/>
      <c r="L11" s="348"/>
      <c r="M11" s="348"/>
      <c r="N11" s="350"/>
      <c r="O11" s="350"/>
      <c r="P11" s="350"/>
      <c r="Q11" s="350"/>
      <c r="R11" s="350"/>
      <c r="S11" s="350"/>
      <c r="T11" s="350"/>
      <c r="U11" s="350"/>
      <c r="V11" s="350"/>
      <c r="W11" s="350"/>
      <c r="X11" s="350"/>
      <c r="Y11" s="384"/>
      <c r="Z11" s="385"/>
      <c r="AA11" s="385"/>
      <c r="AB11" s="385"/>
      <c r="AC11" s="385"/>
      <c r="AD11" s="386"/>
      <c r="AE11" s="392"/>
      <c r="AF11" s="385"/>
      <c r="AG11" s="385"/>
      <c r="AH11" s="385"/>
      <c r="AI11" s="385"/>
      <c r="AJ11" s="386"/>
      <c r="AK11" s="387"/>
      <c r="AL11" s="388"/>
      <c r="AM11" s="388"/>
      <c r="AN11" s="388"/>
      <c r="AO11" s="388"/>
      <c r="AP11" s="388"/>
      <c r="AQ11" s="388"/>
      <c r="AR11" s="388"/>
      <c r="AS11" s="389"/>
      <c r="AT11" s="390"/>
      <c r="AU11" s="388"/>
      <c r="AV11" s="391"/>
      <c r="AW11" s="383"/>
      <c r="AX11" s="359"/>
      <c r="AY11" s="359"/>
      <c r="AZ11" s="359"/>
      <c r="BA11" s="359"/>
      <c r="BB11" s="359"/>
      <c r="BC11" s="359"/>
      <c r="BD11" s="359"/>
      <c r="BE11" s="359"/>
      <c r="BF11" s="376"/>
      <c r="BG11" s="351"/>
      <c r="BH11" s="353"/>
      <c r="BI11" s="353"/>
    </row>
    <row r="12" spans="1:61" ht="16" thickBot="1">
      <c r="A12" s="377" t="s">
        <v>68</v>
      </c>
      <c r="B12" s="361"/>
      <c r="C12" s="361"/>
      <c r="D12" s="361"/>
      <c r="E12" s="361"/>
      <c r="F12" s="361"/>
      <c r="G12" s="361"/>
      <c r="H12" s="361"/>
      <c r="I12" s="361"/>
      <c r="J12" s="361"/>
      <c r="K12" s="361"/>
      <c r="L12" s="361"/>
      <c r="M12" s="361"/>
      <c r="N12" s="361"/>
      <c r="O12" s="361"/>
      <c r="P12" s="361"/>
      <c r="Q12" s="361"/>
      <c r="R12" s="361"/>
      <c r="S12" s="361"/>
      <c r="T12" s="361"/>
      <c r="U12" s="361"/>
      <c r="V12" s="361"/>
      <c r="W12" s="361"/>
      <c r="X12" s="361"/>
      <c r="Y12" s="361"/>
      <c r="Z12" s="361"/>
      <c r="AA12" s="361"/>
      <c r="AB12" s="361"/>
      <c r="AC12" s="361"/>
      <c r="AD12" s="361"/>
      <c r="AE12" s="361"/>
      <c r="AF12" s="361"/>
      <c r="AG12" s="361"/>
      <c r="AH12" s="361"/>
      <c r="AI12" s="361"/>
      <c r="AJ12" s="361"/>
      <c r="AK12" s="361"/>
      <c r="AL12" s="361"/>
      <c r="AM12" s="361"/>
      <c r="AN12" s="361"/>
      <c r="AO12" s="361"/>
      <c r="AP12" s="361"/>
      <c r="AQ12" s="361"/>
      <c r="AR12" s="361"/>
      <c r="AS12" s="361"/>
      <c r="AT12" s="361"/>
      <c r="AU12" s="361"/>
      <c r="AV12" s="361"/>
      <c r="AW12" s="361"/>
      <c r="AX12" s="361"/>
      <c r="AY12" s="361"/>
      <c r="AZ12" s="361"/>
      <c r="BA12" s="361"/>
      <c r="BB12" s="361"/>
      <c r="BC12" s="361"/>
      <c r="BD12" s="361"/>
      <c r="BE12" s="361"/>
      <c r="BF12" s="361"/>
      <c r="BG12" s="361"/>
    </row>
    <row r="13" spans="1:61" ht="16" thickBot="1">
      <c r="A13" s="335" t="s">
        <v>84</v>
      </c>
      <c r="B13" s="336"/>
      <c r="C13" s="336"/>
      <c r="D13" s="336"/>
      <c r="E13" s="336"/>
      <c r="F13" s="336"/>
      <c r="G13" s="336"/>
      <c r="H13" s="336"/>
      <c r="I13" s="336"/>
      <c r="J13" s="336"/>
      <c r="K13" s="336"/>
      <c r="L13" s="336"/>
      <c r="M13" s="336"/>
      <c r="N13" s="336" t="s">
        <v>132</v>
      </c>
      <c r="O13" s="336" t="s">
        <v>132</v>
      </c>
      <c r="P13" s="336" t="s">
        <v>132</v>
      </c>
      <c r="Q13" s="336" t="s">
        <v>132</v>
      </c>
      <c r="R13" s="336" t="s">
        <v>132</v>
      </c>
      <c r="S13" s="336" t="s">
        <v>132</v>
      </c>
      <c r="T13" s="336" t="s">
        <v>132</v>
      </c>
      <c r="U13" s="336" t="s">
        <v>132</v>
      </c>
      <c r="V13" s="336" t="s">
        <v>132</v>
      </c>
      <c r="W13" s="336" t="s">
        <v>132</v>
      </c>
      <c r="X13" s="336" t="s">
        <v>132</v>
      </c>
      <c r="Y13" s="336" t="s">
        <v>132</v>
      </c>
      <c r="Z13" s="336" t="s">
        <v>132</v>
      </c>
      <c r="AA13" s="336" t="s">
        <v>132</v>
      </c>
      <c r="AB13" s="336" t="s">
        <v>132</v>
      </c>
      <c r="AC13" s="336" t="s">
        <v>132</v>
      </c>
      <c r="AD13" s="336" t="s">
        <v>132</v>
      </c>
      <c r="AE13" s="336" t="s">
        <v>132</v>
      </c>
      <c r="AF13" s="336" t="s">
        <v>132</v>
      </c>
      <c r="AG13" s="336" t="s">
        <v>132</v>
      </c>
      <c r="AH13" s="336" t="s">
        <v>132</v>
      </c>
      <c r="AI13" s="336" t="s">
        <v>132</v>
      </c>
      <c r="AJ13" s="336" t="s">
        <v>132</v>
      </c>
      <c r="AK13" s="336"/>
      <c r="AL13" s="336"/>
      <c r="AM13" s="336"/>
      <c r="AN13" s="336"/>
      <c r="AO13" s="336"/>
      <c r="AP13" s="336"/>
      <c r="AQ13" s="336"/>
      <c r="AR13" s="336"/>
      <c r="AS13" s="336"/>
      <c r="AT13" s="336"/>
      <c r="AU13" s="336"/>
      <c r="AV13" s="336"/>
      <c r="AW13" s="336" t="s">
        <v>132</v>
      </c>
      <c r="AX13" s="336" t="s">
        <v>132</v>
      </c>
      <c r="AY13" s="336" t="s">
        <v>132</v>
      </c>
      <c r="AZ13" s="336" t="s">
        <v>132</v>
      </c>
      <c r="BA13" s="336" t="s">
        <v>132</v>
      </c>
      <c r="BB13" s="336" t="s">
        <v>132</v>
      </c>
      <c r="BC13" s="336" t="s">
        <v>132</v>
      </c>
      <c r="BD13" s="336" t="s">
        <v>132</v>
      </c>
      <c r="BE13" s="336" t="s">
        <v>132</v>
      </c>
      <c r="BF13" s="372" t="s">
        <v>132</v>
      </c>
      <c r="BG13" s="366"/>
    </row>
    <row r="14" spans="1:61" ht="16" thickBot="1">
      <c r="A14" s="341" t="s">
        <v>85</v>
      </c>
      <c r="B14" s="342"/>
      <c r="C14" s="342"/>
      <c r="D14" s="342"/>
      <c r="E14" s="342"/>
      <c r="F14" s="342"/>
      <c r="G14" s="342"/>
      <c r="H14" s="342"/>
      <c r="I14" s="342"/>
      <c r="J14" s="342"/>
      <c r="K14" s="342"/>
      <c r="L14" s="342"/>
      <c r="M14" s="342"/>
      <c r="N14" s="354" t="s">
        <v>132</v>
      </c>
      <c r="O14" s="355" t="s">
        <v>132</v>
      </c>
      <c r="P14" s="355" t="s">
        <v>132</v>
      </c>
      <c r="Q14" s="355" t="s">
        <v>132</v>
      </c>
      <c r="R14" s="355" t="s">
        <v>132</v>
      </c>
      <c r="S14" s="355" t="s">
        <v>132</v>
      </c>
      <c r="T14" s="355" t="s">
        <v>132</v>
      </c>
      <c r="U14" s="355" t="s">
        <v>132</v>
      </c>
      <c r="V14" s="355" t="s">
        <v>132</v>
      </c>
      <c r="W14" s="355" t="s">
        <v>132</v>
      </c>
      <c r="X14" s="355" t="s">
        <v>132</v>
      </c>
      <c r="Y14" s="355" t="s">
        <v>132</v>
      </c>
      <c r="Z14" s="355" t="s">
        <v>132</v>
      </c>
      <c r="AA14" s="355" t="s">
        <v>132</v>
      </c>
      <c r="AB14" s="355" t="s">
        <v>132</v>
      </c>
      <c r="AC14" s="355" t="s">
        <v>132</v>
      </c>
      <c r="AD14" s="355" t="s">
        <v>132</v>
      </c>
      <c r="AE14" s="356" t="s">
        <v>132</v>
      </c>
      <c r="AF14" s="356" t="s">
        <v>132</v>
      </c>
      <c r="AG14" s="356" t="s">
        <v>132</v>
      </c>
      <c r="AH14" s="356" t="s">
        <v>132</v>
      </c>
      <c r="AI14" s="356" t="s">
        <v>132</v>
      </c>
      <c r="AJ14" s="357" t="s">
        <v>132</v>
      </c>
      <c r="AK14" s="342"/>
      <c r="AL14" s="342"/>
      <c r="AM14" s="342"/>
      <c r="AN14" s="342"/>
      <c r="AO14" s="342"/>
      <c r="AP14" s="342"/>
      <c r="AQ14" s="342"/>
      <c r="AR14" s="342"/>
      <c r="AS14" s="342"/>
      <c r="AT14" s="342"/>
      <c r="AU14" s="342"/>
      <c r="AV14" s="342"/>
      <c r="AW14" s="342"/>
      <c r="AX14" s="342"/>
      <c r="AY14" s="342"/>
      <c r="AZ14" s="342"/>
      <c r="BA14" s="342"/>
      <c r="BB14" s="342"/>
      <c r="BC14" s="342"/>
      <c r="BD14" s="342"/>
      <c r="BE14" s="342"/>
      <c r="BF14" s="373"/>
      <c r="BG14" s="366"/>
    </row>
    <row r="15" spans="1:61">
      <c r="A15" s="341" t="s">
        <v>86</v>
      </c>
      <c r="B15" s="342"/>
      <c r="C15" s="342"/>
      <c r="D15" s="342"/>
      <c r="E15" s="342"/>
      <c r="F15" s="342"/>
      <c r="G15" s="342"/>
      <c r="H15" s="342"/>
      <c r="I15" s="342"/>
      <c r="J15" s="342"/>
      <c r="K15" s="342"/>
      <c r="L15" s="342"/>
      <c r="M15" s="342"/>
      <c r="N15" s="342" t="s">
        <v>132</v>
      </c>
      <c r="O15" s="342" t="s">
        <v>132</v>
      </c>
      <c r="P15" s="342" t="s">
        <v>132</v>
      </c>
      <c r="Q15" s="342" t="s">
        <v>132</v>
      </c>
      <c r="R15" s="342" t="s">
        <v>132</v>
      </c>
      <c r="S15" s="342" t="s">
        <v>132</v>
      </c>
      <c r="T15" s="342" t="s">
        <v>132</v>
      </c>
      <c r="U15" s="342" t="s">
        <v>132</v>
      </c>
      <c r="V15" s="342" t="s">
        <v>132</v>
      </c>
      <c r="W15" s="342" t="s">
        <v>132</v>
      </c>
      <c r="X15" s="342" t="s">
        <v>132</v>
      </c>
      <c r="Y15" s="342" t="s">
        <v>132</v>
      </c>
      <c r="Z15" s="342" t="s">
        <v>132</v>
      </c>
      <c r="AA15" s="342" t="s">
        <v>132</v>
      </c>
      <c r="AB15" s="342" t="s">
        <v>132</v>
      </c>
      <c r="AC15" s="342" t="s">
        <v>132</v>
      </c>
      <c r="AD15" s="342" t="s">
        <v>132</v>
      </c>
      <c r="AE15" s="342" t="s">
        <v>132</v>
      </c>
      <c r="AF15" s="342" t="s">
        <v>132</v>
      </c>
      <c r="AG15" s="342" t="s">
        <v>132</v>
      </c>
      <c r="AH15" s="342" t="s">
        <v>132</v>
      </c>
      <c r="AI15" s="342" t="s">
        <v>132</v>
      </c>
      <c r="AJ15" s="342" t="s">
        <v>132</v>
      </c>
      <c r="AK15" s="342" t="s">
        <v>132</v>
      </c>
      <c r="AL15" s="342" t="s">
        <v>132</v>
      </c>
      <c r="AM15" s="342" t="s">
        <v>132</v>
      </c>
      <c r="AN15" s="342" t="s">
        <v>132</v>
      </c>
      <c r="AO15" s="342" t="s">
        <v>132</v>
      </c>
      <c r="AP15" s="342" t="s">
        <v>132</v>
      </c>
      <c r="AQ15" s="342" t="s">
        <v>132</v>
      </c>
      <c r="AR15" s="342" t="s">
        <v>132</v>
      </c>
      <c r="AS15" s="342" t="s">
        <v>132</v>
      </c>
      <c r="AT15" s="342" t="s">
        <v>132</v>
      </c>
      <c r="AU15" s="342" t="s">
        <v>132</v>
      </c>
      <c r="AV15" s="342" t="s">
        <v>132</v>
      </c>
      <c r="AW15" s="342"/>
      <c r="AX15" s="342"/>
      <c r="AY15" s="342"/>
      <c r="AZ15" s="342"/>
      <c r="BA15" s="342"/>
      <c r="BB15" s="342"/>
      <c r="BC15" s="342"/>
      <c r="BD15" s="342"/>
      <c r="BE15" s="342"/>
      <c r="BF15" s="373"/>
      <c r="BG15" s="366"/>
    </row>
    <row r="16" spans="1:61">
      <c r="A16" s="341" t="s">
        <v>87</v>
      </c>
      <c r="B16" s="342"/>
      <c r="C16" s="342"/>
      <c r="D16" s="342"/>
      <c r="E16" s="342"/>
      <c r="F16" s="342"/>
      <c r="G16" s="342"/>
      <c r="H16" s="342"/>
      <c r="I16" s="342"/>
      <c r="J16" s="342"/>
      <c r="K16" s="342"/>
      <c r="L16" s="342"/>
      <c r="M16" s="342"/>
      <c r="N16" s="342"/>
      <c r="O16" s="342"/>
      <c r="P16" s="342"/>
      <c r="Q16" s="342"/>
      <c r="R16" s="342"/>
      <c r="S16" s="342"/>
      <c r="T16" s="342"/>
      <c r="U16" s="342"/>
      <c r="V16" s="342"/>
      <c r="W16" s="342"/>
      <c r="X16" s="342"/>
      <c r="Y16" s="342" t="s">
        <v>132</v>
      </c>
      <c r="Z16" s="342" t="s">
        <v>132</v>
      </c>
      <c r="AA16" s="342" t="s">
        <v>132</v>
      </c>
      <c r="AB16" s="342" t="s">
        <v>132</v>
      </c>
      <c r="AC16" s="342" t="s">
        <v>132</v>
      </c>
      <c r="AD16" s="342" t="s">
        <v>132</v>
      </c>
      <c r="AE16" s="342" t="s">
        <v>132</v>
      </c>
      <c r="AF16" s="342" t="s">
        <v>132</v>
      </c>
      <c r="AG16" s="342" t="s">
        <v>132</v>
      </c>
      <c r="AH16" s="342" t="s">
        <v>132</v>
      </c>
      <c r="AI16" s="342" t="s">
        <v>132</v>
      </c>
      <c r="AJ16" s="342" t="s">
        <v>132</v>
      </c>
      <c r="AK16" s="342" t="s">
        <v>132</v>
      </c>
      <c r="AL16" s="342" t="s">
        <v>132</v>
      </c>
      <c r="AM16" s="342" t="s">
        <v>132</v>
      </c>
      <c r="AN16" s="342" t="s">
        <v>132</v>
      </c>
      <c r="AO16" s="342" t="s">
        <v>132</v>
      </c>
      <c r="AP16" s="342" t="s">
        <v>132</v>
      </c>
      <c r="AQ16" s="342" t="s">
        <v>132</v>
      </c>
      <c r="AR16" s="342" t="s">
        <v>132</v>
      </c>
      <c r="AS16" s="342" t="s">
        <v>132</v>
      </c>
      <c r="AT16" s="342" t="s">
        <v>132</v>
      </c>
      <c r="AU16" s="342" t="s">
        <v>132</v>
      </c>
      <c r="AV16" s="342" t="s">
        <v>132</v>
      </c>
      <c r="AW16" s="342" t="s">
        <v>132</v>
      </c>
      <c r="AX16" s="342" t="s">
        <v>132</v>
      </c>
      <c r="AY16" s="342" t="s">
        <v>132</v>
      </c>
      <c r="AZ16" s="342" t="s">
        <v>132</v>
      </c>
      <c r="BA16" s="342" t="s">
        <v>132</v>
      </c>
      <c r="BB16" s="342" t="s">
        <v>132</v>
      </c>
      <c r="BC16" s="342" t="s">
        <v>132</v>
      </c>
      <c r="BD16" s="342" t="s">
        <v>132</v>
      </c>
      <c r="BE16" s="342" t="s">
        <v>132</v>
      </c>
      <c r="BF16" s="373" t="s">
        <v>132</v>
      </c>
      <c r="BG16" s="366"/>
    </row>
    <row r="17" spans="1:59" ht="16" thickBot="1">
      <c r="A17" s="341" t="s">
        <v>88</v>
      </c>
      <c r="B17" s="342"/>
      <c r="C17" s="342"/>
      <c r="D17" s="342"/>
      <c r="E17" s="342"/>
      <c r="F17" s="342"/>
      <c r="G17" s="342"/>
      <c r="H17" s="342"/>
      <c r="I17" s="342"/>
      <c r="J17" s="342"/>
      <c r="K17" s="374"/>
      <c r="L17" s="344"/>
      <c r="M17" s="344"/>
      <c r="N17" s="344"/>
      <c r="O17" s="344"/>
      <c r="P17" s="344"/>
      <c r="Q17" s="344"/>
      <c r="R17" s="342"/>
      <c r="S17" s="342"/>
      <c r="T17" s="342"/>
      <c r="U17" s="342"/>
      <c r="V17" s="342"/>
      <c r="W17" s="342"/>
      <c r="X17" s="342"/>
      <c r="Y17" s="342"/>
      <c r="Z17" s="342"/>
      <c r="AA17" s="342"/>
      <c r="AB17" s="342"/>
      <c r="AC17" s="342"/>
      <c r="AD17" s="342"/>
      <c r="AE17" s="342"/>
      <c r="AF17" s="342"/>
      <c r="AG17" s="342"/>
      <c r="AH17" s="342"/>
      <c r="AI17" s="342"/>
      <c r="AJ17" s="342"/>
      <c r="AK17" s="342"/>
      <c r="AL17" s="342"/>
      <c r="AM17" s="342"/>
      <c r="AN17" s="342"/>
      <c r="AO17" s="342"/>
      <c r="AP17" s="342"/>
      <c r="AQ17" s="342"/>
      <c r="AR17" s="342"/>
      <c r="AS17" s="342"/>
      <c r="AT17" s="342"/>
      <c r="AU17" s="342"/>
      <c r="AV17" s="342"/>
      <c r="AW17" s="342" t="s">
        <v>132</v>
      </c>
      <c r="AX17" s="342" t="s">
        <v>132</v>
      </c>
      <c r="AY17" s="342" t="s">
        <v>132</v>
      </c>
      <c r="AZ17" s="342" t="s">
        <v>132</v>
      </c>
      <c r="BA17" s="342" t="s">
        <v>132</v>
      </c>
      <c r="BB17" s="342" t="s">
        <v>132</v>
      </c>
      <c r="BC17" s="342" t="s">
        <v>132</v>
      </c>
      <c r="BD17" s="342" t="s">
        <v>132</v>
      </c>
      <c r="BE17" s="342" t="s">
        <v>132</v>
      </c>
      <c r="BF17" s="373" t="s">
        <v>132</v>
      </c>
      <c r="BG17" s="366"/>
    </row>
    <row r="18" spans="1:59" ht="16" thickBot="1">
      <c r="A18" s="347" t="s">
        <v>89</v>
      </c>
      <c r="B18" s="348"/>
      <c r="C18" s="348"/>
      <c r="D18" s="348"/>
      <c r="E18" s="348"/>
      <c r="F18" s="348"/>
      <c r="G18" s="348"/>
      <c r="H18" s="348"/>
      <c r="I18" s="348"/>
      <c r="J18" s="348"/>
      <c r="K18" s="375"/>
      <c r="L18" s="348"/>
      <c r="M18" s="348"/>
      <c r="N18" s="348"/>
      <c r="O18" s="348"/>
      <c r="P18" s="348"/>
      <c r="Q18" s="348"/>
      <c r="R18" s="348"/>
      <c r="S18" s="348"/>
      <c r="T18" s="348"/>
      <c r="U18" s="348"/>
      <c r="V18" s="348"/>
      <c r="W18" s="348"/>
      <c r="X18" s="348"/>
      <c r="Y18" s="348"/>
      <c r="Z18" s="348"/>
      <c r="AA18" s="348"/>
      <c r="AB18" s="348"/>
      <c r="AC18" s="348"/>
      <c r="AD18" s="348"/>
      <c r="AE18" s="358" t="s">
        <v>132</v>
      </c>
      <c r="AF18" s="359" t="s">
        <v>132</v>
      </c>
      <c r="AG18" s="359" t="s">
        <v>132</v>
      </c>
      <c r="AH18" s="359" t="s">
        <v>132</v>
      </c>
      <c r="AI18" s="359" t="s">
        <v>132</v>
      </c>
      <c r="AJ18" s="359" t="s">
        <v>132</v>
      </c>
      <c r="AK18" s="359" t="s">
        <v>132</v>
      </c>
      <c r="AL18" s="359" t="s">
        <v>132</v>
      </c>
      <c r="AM18" s="359" t="s">
        <v>132</v>
      </c>
      <c r="AN18" s="359" t="s">
        <v>132</v>
      </c>
      <c r="AO18" s="359" t="s">
        <v>132</v>
      </c>
      <c r="AP18" s="359" t="s">
        <v>132</v>
      </c>
      <c r="AQ18" s="359" t="s">
        <v>132</v>
      </c>
      <c r="AR18" s="359" t="s">
        <v>132</v>
      </c>
      <c r="AS18" s="360" t="s">
        <v>132</v>
      </c>
      <c r="AT18" s="351" t="s">
        <v>132</v>
      </c>
      <c r="AU18" s="348" t="s">
        <v>132</v>
      </c>
      <c r="AV18" s="349" t="s">
        <v>132</v>
      </c>
      <c r="AW18" s="358" t="s">
        <v>132</v>
      </c>
      <c r="AX18" s="359" t="s">
        <v>132</v>
      </c>
      <c r="AY18" s="359" t="s">
        <v>132</v>
      </c>
      <c r="AZ18" s="359" t="s">
        <v>132</v>
      </c>
      <c r="BA18" s="359" t="s">
        <v>132</v>
      </c>
      <c r="BB18" s="359" t="s">
        <v>132</v>
      </c>
      <c r="BC18" s="359" t="s">
        <v>132</v>
      </c>
      <c r="BD18" s="359" t="s">
        <v>132</v>
      </c>
      <c r="BE18" s="359" t="s">
        <v>132</v>
      </c>
      <c r="BF18" s="376" t="s">
        <v>132</v>
      </c>
      <c r="BG18" s="366"/>
    </row>
    <row r="20" spans="1:59">
      <c r="A20" s="56" t="s">
        <v>446</v>
      </c>
    </row>
    <row r="22" spans="1:59">
      <c r="A22" s="326" t="s">
        <v>447</v>
      </c>
      <c r="B22" s="327">
        <v>0</v>
      </c>
      <c r="C22" s="327">
        <v>1</v>
      </c>
      <c r="D22" s="327">
        <v>2</v>
      </c>
      <c r="E22" s="327">
        <v>3</v>
      </c>
      <c r="F22" s="327">
        <v>4</v>
      </c>
      <c r="G22" s="327">
        <v>5</v>
      </c>
      <c r="H22" s="328">
        <v>6</v>
      </c>
      <c r="I22" s="329"/>
      <c r="J22" s="329"/>
      <c r="K22" s="330"/>
      <c r="L22" s="328">
        <v>7</v>
      </c>
      <c r="M22" s="329"/>
      <c r="N22" s="329"/>
      <c r="O22" s="330"/>
      <c r="P22" s="328">
        <v>8</v>
      </c>
      <c r="Q22" s="329"/>
      <c r="R22" s="329"/>
      <c r="S22" s="330"/>
      <c r="T22" s="328">
        <v>9</v>
      </c>
      <c r="U22" s="329"/>
      <c r="V22" s="329"/>
      <c r="W22" s="330"/>
      <c r="X22" s="328">
        <v>10</v>
      </c>
      <c r="Y22" s="329"/>
      <c r="Z22" s="329"/>
      <c r="AA22" s="330"/>
      <c r="AB22" s="328">
        <v>11</v>
      </c>
      <c r="AC22" s="329"/>
      <c r="AD22" s="329"/>
      <c r="AE22" s="330"/>
      <c r="AF22" s="328">
        <v>12</v>
      </c>
      <c r="AG22" s="329"/>
      <c r="AH22" s="329"/>
      <c r="AI22" s="330"/>
      <c r="AJ22" s="328">
        <v>13</v>
      </c>
      <c r="AK22" s="329"/>
      <c r="AL22" s="329"/>
      <c r="AM22" s="330"/>
      <c r="AN22" s="328">
        <v>14</v>
      </c>
      <c r="AO22" s="329"/>
      <c r="AP22" s="329"/>
      <c r="AQ22" s="330"/>
      <c r="AR22" s="328">
        <v>15</v>
      </c>
      <c r="AS22" s="329"/>
      <c r="AT22" s="329"/>
      <c r="AU22" s="330"/>
      <c r="AV22" s="328">
        <v>16</v>
      </c>
      <c r="AW22" s="329"/>
      <c r="AX22" s="329"/>
      <c r="AY22" s="330"/>
      <c r="AZ22" s="328">
        <v>17</v>
      </c>
      <c r="BA22" s="329"/>
      <c r="BB22" s="329"/>
      <c r="BC22" s="330"/>
      <c r="BD22" s="328">
        <v>18</v>
      </c>
      <c r="BE22" s="329"/>
      <c r="BF22" s="329"/>
      <c r="BG22" s="330"/>
    </row>
    <row r="23" spans="1:59" ht="16" thickBot="1">
      <c r="A23" s="326"/>
      <c r="B23" s="362"/>
      <c r="C23" s="362"/>
      <c r="D23" s="362"/>
      <c r="E23" s="362"/>
      <c r="F23" s="362"/>
      <c r="G23" s="362"/>
      <c r="H23" s="363">
        <v>0</v>
      </c>
      <c r="I23" s="364">
        <v>15</v>
      </c>
      <c r="J23" s="364">
        <v>30</v>
      </c>
      <c r="K23" s="365">
        <v>45</v>
      </c>
      <c r="L23" s="332">
        <v>0</v>
      </c>
      <c r="M23" s="333">
        <v>15</v>
      </c>
      <c r="N23" s="333">
        <v>30</v>
      </c>
      <c r="O23" s="334">
        <v>45</v>
      </c>
      <c r="P23" s="332">
        <v>0</v>
      </c>
      <c r="Q23" s="333">
        <v>15</v>
      </c>
      <c r="R23" s="333">
        <v>30</v>
      </c>
      <c r="S23" s="334">
        <v>45</v>
      </c>
      <c r="T23" s="332">
        <v>0</v>
      </c>
      <c r="U23" s="333">
        <v>15</v>
      </c>
      <c r="V23" s="333">
        <v>30</v>
      </c>
      <c r="W23" s="334">
        <v>45</v>
      </c>
      <c r="X23" s="332">
        <v>0</v>
      </c>
      <c r="Y23" s="333">
        <v>15</v>
      </c>
      <c r="Z23" s="333">
        <v>30</v>
      </c>
      <c r="AA23" s="334">
        <v>45</v>
      </c>
      <c r="AB23" s="332">
        <v>0</v>
      </c>
      <c r="AC23" s="333">
        <v>15</v>
      </c>
      <c r="AD23" s="333">
        <v>30</v>
      </c>
      <c r="AE23" s="334">
        <v>45</v>
      </c>
      <c r="AF23" s="332">
        <v>0</v>
      </c>
      <c r="AG23" s="333">
        <v>15</v>
      </c>
      <c r="AH23" s="333">
        <v>30</v>
      </c>
      <c r="AI23" s="334">
        <v>45</v>
      </c>
      <c r="AJ23" s="363">
        <v>0</v>
      </c>
      <c r="AK23" s="364">
        <v>15</v>
      </c>
      <c r="AL23" s="364">
        <v>30</v>
      </c>
      <c r="AM23" s="334">
        <v>45</v>
      </c>
      <c r="AN23" s="332">
        <v>0</v>
      </c>
      <c r="AO23" s="333">
        <v>15</v>
      </c>
      <c r="AP23" s="333">
        <v>30</v>
      </c>
      <c r="AQ23" s="334">
        <v>45</v>
      </c>
      <c r="AR23" s="332">
        <v>0</v>
      </c>
      <c r="AS23" s="333">
        <v>15</v>
      </c>
      <c r="AT23" s="333">
        <v>30</v>
      </c>
      <c r="AU23" s="334">
        <v>45</v>
      </c>
      <c r="AV23" s="332">
        <v>0</v>
      </c>
      <c r="AW23" s="364">
        <v>15</v>
      </c>
      <c r="AX23" s="364">
        <v>30</v>
      </c>
      <c r="AY23" s="365">
        <v>45</v>
      </c>
      <c r="AZ23" s="363">
        <v>0</v>
      </c>
      <c r="BA23" s="364">
        <v>15</v>
      </c>
      <c r="BB23" s="364">
        <v>30</v>
      </c>
      <c r="BC23" s="365">
        <v>45</v>
      </c>
      <c r="BD23" s="363">
        <v>0</v>
      </c>
      <c r="BE23" s="364">
        <v>15</v>
      </c>
      <c r="BF23" s="364">
        <v>30</v>
      </c>
      <c r="BG23" s="365">
        <v>45</v>
      </c>
    </row>
    <row r="24" spans="1:59" ht="16" thickBot="1">
      <c r="A24" s="361" t="s">
        <v>84</v>
      </c>
      <c r="B24" s="342"/>
      <c r="C24" s="342"/>
      <c r="D24" s="342"/>
      <c r="E24" s="342"/>
      <c r="F24" s="342"/>
      <c r="G24" s="342"/>
      <c r="H24" s="342"/>
      <c r="I24" s="342"/>
      <c r="J24" s="342"/>
      <c r="K24" s="342"/>
      <c r="L24" s="342"/>
      <c r="M24" s="343"/>
      <c r="N24" s="367" t="s">
        <v>132</v>
      </c>
      <c r="O24" s="368" t="s">
        <v>132</v>
      </c>
      <c r="P24" s="368" t="s">
        <v>132</v>
      </c>
      <c r="Q24" s="368" t="s">
        <v>132</v>
      </c>
      <c r="R24" s="368" t="s">
        <v>132</v>
      </c>
      <c r="S24" s="368" t="s">
        <v>132</v>
      </c>
      <c r="T24" s="368" t="s">
        <v>132</v>
      </c>
      <c r="U24" s="368" t="s">
        <v>132</v>
      </c>
      <c r="V24" s="368" t="s">
        <v>132</v>
      </c>
      <c r="W24" s="368" t="s">
        <v>132</v>
      </c>
      <c r="X24" s="368" t="s">
        <v>132</v>
      </c>
      <c r="Y24" s="368" t="s">
        <v>132</v>
      </c>
      <c r="Z24" s="368" t="s">
        <v>132</v>
      </c>
      <c r="AA24" s="368" t="s">
        <v>132</v>
      </c>
      <c r="AB24" s="368" t="s">
        <v>132</v>
      </c>
      <c r="AC24" s="369" t="s">
        <v>132</v>
      </c>
      <c r="AD24" s="369" t="s">
        <v>132</v>
      </c>
      <c r="AE24" s="369" t="s">
        <v>132</v>
      </c>
      <c r="AF24" s="369" t="s">
        <v>132</v>
      </c>
      <c r="AG24" s="369" t="s">
        <v>132</v>
      </c>
      <c r="AH24" s="369" t="s">
        <v>132</v>
      </c>
      <c r="AI24" s="369" t="s">
        <v>132</v>
      </c>
      <c r="AJ24" s="369" t="s">
        <v>132</v>
      </c>
      <c r="AK24" s="370" t="s">
        <v>132</v>
      </c>
      <c r="AL24" s="366"/>
      <c r="AM24" s="342"/>
      <c r="AN24" s="342"/>
      <c r="AO24" s="342"/>
      <c r="AP24" s="342"/>
      <c r="AQ24" s="342"/>
      <c r="AR24" s="342"/>
      <c r="AS24" s="342"/>
      <c r="AT24" s="342"/>
      <c r="AU24" s="342"/>
      <c r="AV24" s="345"/>
      <c r="AW24" s="367" t="s">
        <v>132</v>
      </c>
      <c r="AX24" s="368" t="s">
        <v>132</v>
      </c>
      <c r="AY24" s="368" t="s">
        <v>132</v>
      </c>
      <c r="AZ24" s="368" t="s">
        <v>132</v>
      </c>
      <c r="BA24" s="368" t="s">
        <v>132</v>
      </c>
      <c r="BB24" s="368" t="s">
        <v>132</v>
      </c>
      <c r="BC24" s="368" t="s">
        <v>132</v>
      </c>
      <c r="BD24" s="368" t="s">
        <v>132</v>
      </c>
      <c r="BE24" s="368" t="s">
        <v>132</v>
      </c>
      <c r="BF24" s="371" t="s">
        <v>132</v>
      </c>
      <c r="BG24" s="346"/>
    </row>
  </sheetData>
  <mergeCells count="2">
    <mergeCell ref="B3:AD3"/>
    <mergeCell ref="B4:AD4"/>
  </mergeCells>
  <conditionalFormatting sqref="B24:BG24 B13:BG18 B10:BG11">
    <cfRule type="cellIs" dxfId="306" priority="1" operator="equal">
      <formula>"x"</formula>
    </cfRule>
  </conditionalFormatting>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539A5-914A-4848-8D0C-560DB2E41B88}">
  <sheetPr codeName="Tabelle13"/>
  <dimension ref="A1:E31"/>
  <sheetViews>
    <sheetView workbookViewId="0">
      <selection activeCell="G8" sqref="G8"/>
    </sheetView>
  </sheetViews>
  <sheetFormatPr baseColWidth="10" defaultRowHeight="12.5"/>
  <sheetData>
    <row r="1" spans="1:5" ht="15.5">
      <c r="A1" s="56" t="s">
        <v>495</v>
      </c>
    </row>
    <row r="3" spans="1:5" ht="13">
      <c r="A3" s="31" t="s">
        <v>520</v>
      </c>
      <c r="B3" s="31" t="s">
        <v>277</v>
      </c>
      <c r="C3" s="31" t="s">
        <v>278</v>
      </c>
      <c r="D3" s="31" t="s">
        <v>113</v>
      </c>
      <c r="E3" s="31" t="s">
        <v>356</v>
      </c>
    </row>
    <row r="4" spans="1:5">
      <c r="A4" t="s">
        <v>505</v>
      </c>
      <c r="B4" t="s">
        <v>78</v>
      </c>
      <c r="C4" t="s">
        <v>80</v>
      </c>
      <c r="D4" t="s">
        <v>78</v>
      </c>
      <c r="E4" t="s">
        <v>503</v>
      </c>
    </row>
    <row r="5" spans="1:5">
      <c r="A5" t="s">
        <v>506</v>
      </c>
      <c r="B5" t="s">
        <v>78</v>
      </c>
      <c r="C5" t="s">
        <v>80</v>
      </c>
      <c r="D5" t="s">
        <v>79</v>
      </c>
      <c r="E5" t="s">
        <v>352</v>
      </c>
    </row>
    <row r="6" spans="1:5">
      <c r="A6" t="s">
        <v>507</v>
      </c>
      <c r="B6" t="s">
        <v>496</v>
      </c>
      <c r="C6" t="s">
        <v>500</v>
      </c>
      <c r="D6" t="s">
        <v>81</v>
      </c>
      <c r="E6" t="s">
        <v>352</v>
      </c>
    </row>
    <row r="7" spans="1:5">
      <c r="A7" t="s">
        <v>508</v>
      </c>
      <c r="B7" t="s">
        <v>497</v>
      </c>
      <c r="D7" t="s">
        <v>78</v>
      </c>
      <c r="E7" t="s">
        <v>504</v>
      </c>
    </row>
    <row r="8" spans="1:5">
      <c r="A8" t="s">
        <v>509</v>
      </c>
      <c r="B8" t="s">
        <v>496</v>
      </c>
      <c r="C8" t="s">
        <v>81</v>
      </c>
      <c r="D8" t="s">
        <v>501</v>
      </c>
      <c r="E8" s="317" t="s">
        <v>352</v>
      </c>
    </row>
    <row r="9" spans="1:5">
      <c r="A9" t="s">
        <v>505</v>
      </c>
      <c r="B9" t="s">
        <v>498</v>
      </c>
      <c r="D9" t="s">
        <v>502</v>
      </c>
      <c r="E9" s="317" t="s">
        <v>504</v>
      </c>
    </row>
    <row r="10" spans="1:5">
      <c r="A10" t="s">
        <v>506</v>
      </c>
      <c r="B10" t="s">
        <v>498</v>
      </c>
      <c r="C10" t="s">
        <v>81</v>
      </c>
      <c r="D10" t="s">
        <v>78</v>
      </c>
      <c r="E10" s="317" t="s">
        <v>353</v>
      </c>
    </row>
    <row r="11" spans="1:5">
      <c r="A11" t="s">
        <v>507</v>
      </c>
      <c r="B11" t="s">
        <v>499</v>
      </c>
      <c r="C11" t="s">
        <v>510</v>
      </c>
      <c r="E11" s="317" t="s">
        <v>353</v>
      </c>
    </row>
    <row r="12" spans="1:5">
      <c r="A12" t="s">
        <v>508</v>
      </c>
      <c r="B12" t="s">
        <v>496</v>
      </c>
      <c r="D12" t="s">
        <v>500</v>
      </c>
      <c r="E12" t="s">
        <v>511</v>
      </c>
    </row>
    <row r="13" spans="1:5">
      <c r="A13" t="s">
        <v>509</v>
      </c>
      <c r="B13" t="s">
        <v>510</v>
      </c>
      <c r="D13" t="s">
        <v>500</v>
      </c>
      <c r="E13" t="s">
        <v>504</v>
      </c>
    </row>
    <row r="14" spans="1:5">
      <c r="A14" t="s">
        <v>505</v>
      </c>
      <c r="B14" t="s">
        <v>499</v>
      </c>
      <c r="C14" t="s">
        <v>80</v>
      </c>
      <c r="D14" t="s">
        <v>78</v>
      </c>
      <c r="E14" t="s">
        <v>504</v>
      </c>
    </row>
    <row r="15" spans="1:5">
      <c r="A15" t="s">
        <v>506</v>
      </c>
      <c r="B15" t="s">
        <v>510</v>
      </c>
      <c r="C15" t="s">
        <v>502</v>
      </c>
      <c r="D15" t="s">
        <v>78</v>
      </c>
    </row>
    <row r="16" spans="1:5">
      <c r="A16" t="s">
        <v>507</v>
      </c>
      <c r="B16" t="s">
        <v>512</v>
      </c>
      <c r="C16" t="s">
        <v>78</v>
      </c>
      <c r="D16" t="s">
        <v>78</v>
      </c>
      <c r="E16" t="s">
        <v>353</v>
      </c>
    </row>
    <row r="17" spans="1:5">
      <c r="A17" t="s">
        <v>508</v>
      </c>
      <c r="B17" t="s">
        <v>510</v>
      </c>
      <c r="C17" t="s">
        <v>79</v>
      </c>
      <c r="E17" t="s">
        <v>352</v>
      </c>
    </row>
    <row r="18" spans="1:5">
      <c r="A18" t="s">
        <v>509</v>
      </c>
      <c r="B18" t="s">
        <v>78</v>
      </c>
      <c r="C18" t="s">
        <v>510</v>
      </c>
      <c r="D18" t="s">
        <v>79</v>
      </c>
      <c r="E18" t="s">
        <v>353</v>
      </c>
    </row>
    <row r="19" spans="1:5">
      <c r="A19" t="s">
        <v>505</v>
      </c>
      <c r="B19" t="s">
        <v>513</v>
      </c>
      <c r="C19" t="s">
        <v>81</v>
      </c>
      <c r="D19" t="s">
        <v>79</v>
      </c>
      <c r="E19" t="s">
        <v>504</v>
      </c>
    </row>
    <row r="20" spans="1:5">
      <c r="A20" t="s">
        <v>506</v>
      </c>
      <c r="B20" t="s">
        <v>514</v>
      </c>
      <c r="C20" t="s">
        <v>81</v>
      </c>
      <c r="D20" t="s">
        <v>78</v>
      </c>
      <c r="E20" t="s">
        <v>353</v>
      </c>
    </row>
    <row r="21" spans="1:5">
      <c r="A21" t="s">
        <v>507</v>
      </c>
      <c r="B21" t="s">
        <v>499</v>
      </c>
      <c r="C21" t="s">
        <v>163</v>
      </c>
      <c r="D21" t="s">
        <v>79</v>
      </c>
      <c r="E21" t="s">
        <v>352</v>
      </c>
    </row>
    <row r="22" spans="1:5">
      <c r="A22" t="s">
        <v>508</v>
      </c>
      <c r="B22" t="s">
        <v>498</v>
      </c>
      <c r="C22" t="s">
        <v>81</v>
      </c>
      <c r="D22" t="s">
        <v>78</v>
      </c>
      <c r="E22" t="s">
        <v>353</v>
      </c>
    </row>
    <row r="23" spans="1:5">
      <c r="A23" t="s">
        <v>509</v>
      </c>
      <c r="B23" t="s">
        <v>496</v>
      </c>
      <c r="C23" t="s">
        <v>78</v>
      </c>
      <c r="D23" t="s">
        <v>79</v>
      </c>
      <c r="E23" t="s">
        <v>515</v>
      </c>
    </row>
    <row r="28" spans="1:5">
      <c r="A28" t="s">
        <v>516</v>
      </c>
    </row>
    <row r="29" spans="1:5">
      <c r="A29" s="165" t="s">
        <v>517</v>
      </c>
    </row>
    <row r="30" spans="1:5">
      <c r="A30" s="165" t="s">
        <v>518</v>
      </c>
    </row>
    <row r="31" spans="1:5">
      <c r="A31" s="165" t="s">
        <v>519</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0EB6F-3EFB-47DD-9FEF-6A79C721DA74}">
  <sheetPr codeName="Tabelle9"/>
  <dimension ref="A1:X42"/>
  <sheetViews>
    <sheetView topLeftCell="A10" zoomScale="113" zoomScaleNormal="130" workbookViewId="0">
      <selection activeCell="B4" sqref="B4"/>
    </sheetView>
  </sheetViews>
  <sheetFormatPr baseColWidth="10" defaultRowHeight="12.5"/>
  <cols>
    <col min="1" max="1" width="9.08984375" style="299" customWidth="1"/>
    <col min="2" max="2" width="28.6328125" style="299" customWidth="1"/>
    <col min="3" max="3" width="69.36328125" style="299" customWidth="1"/>
    <col min="4" max="4" width="12.7265625" style="49" customWidth="1"/>
    <col min="5" max="5" width="15" style="299" customWidth="1"/>
    <col min="6" max="6" width="4.08984375" style="299" bestFit="1" customWidth="1"/>
    <col min="7" max="7" width="3.81640625" style="299" bestFit="1" customWidth="1"/>
    <col min="8" max="8" width="4.08984375" style="299" customWidth="1"/>
    <col min="9" max="9" width="3.81640625" style="299" bestFit="1" customWidth="1"/>
    <col min="10" max="10" width="4.08984375" style="299" bestFit="1" customWidth="1"/>
    <col min="11" max="11" width="3.81640625" style="299" bestFit="1" customWidth="1"/>
    <col min="12" max="12" width="4.08984375" style="299" bestFit="1" customWidth="1"/>
    <col min="13" max="13" width="3.81640625" style="299" bestFit="1" customWidth="1"/>
    <col min="14" max="14" width="4.08984375" style="299" bestFit="1" customWidth="1"/>
    <col min="15" max="15" width="3.81640625" style="299" bestFit="1" customWidth="1"/>
    <col min="16" max="16" width="4.08984375" style="299" bestFit="1" customWidth="1"/>
    <col min="17" max="17" width="3.81640625" style="299" bestFit="1" customWidth="1"/>
    <col min="18" max="18" width="4.08984375" style="299" bestFit="1" customWidth="1"/>
    <col min="19" max="19" width="3.81640625" style="299" bestFit="1" customWidth="1"/>
    <col min="20" max="21" width="4.08984375" style="299" customWidth="1"/>
    <col min="22" max="22" width="19.7265625" style="299" customWidth="1"/>
    <col min="23" max="23" width="14.81640625" style="299" customWidth="1"/>
    <col min="24" max="24" width="17.453125" style="299" customWidth="1"/>
    <col min="25" max="25" width="34" style="299" bestFit="1" customWidth="1"/>
    <col min="26" max="16384" width="10.90625" style="299"/>
  </cols>
  <sheetData>
    <row r="1" spans="1:24" ht="13">
      <c r="A1" s="300" t="s">
        <v>56</v>
      </c>
      <c r="B1" s="245"/>
      <c r="C1" s="477" t="s">
        <v>280</v>
      </c>
      <c r="D1" s="478"/>
      <c r="E1" s="285" t="s">
        <v>273</v>
      </c>
      <c r="F1" s="247" t="s">
        <v>59</v>
      </c>
      <c r="G1" s="246"/>
      <c r="H1" s="247" t="s">
        <v>41</v>
      </c>
      <c r="I1" s="247"/>
      <c r="J1" s="248" t="s">
        <v>39</v>
      </c>
      <c r="K1" s="246"/>
      <c r="L1" s="247" t="s">
        <v>40</v>
      </c>
      <c r="M1" s="247"/>
      <c r="N1" s="248" t="s">
        <v>62</v>
      </c>
      <c r="O1" s="249"/>
      <c r="P1" s="245" t="s">
        <v>63</v>
      </c>
      <c r="Q1" s="247"/>
      <c r="R1" s="248" t="s">
        <v>64</v>
      </c>
      <c r="S1" s="246"/>
      <c r="T1" s="248" t="s">
        <v>151</v>
      </c>
      <c r="U1" s="247"/>
      <c r="V1" s="284" t="s">
        <v>65</v>
      </c>
      <c r="W1" s="285" t="s">
        <v>296</v>
      </c>
    </row>
    <row r="2" spans="1:24" s="244" customFormat="1" ht="13.5" thickBot="1">
      <c r="A2" s="300" t="s">
        <v>274</v>
      </c>
      <c r="B2" s="476" t="s">
        <v>67</v>
      </c>
      <c r="C2" s="319" t="s">
        <v>281</v>
      </c>
      <c r="D2" s="281" t="s">
        <v>294</v>
      </c>
      <c r="E2" s="479" t="s">
        <v>152</v>
      </c>
      <c r="F2" s="59" t="s">
        <v>60</v>
      </c>
      <c r="G2" s="60" t="s">
        <v>61</v>
      </c>
      <c r="H2" s="59" t="s">
        <v>60</v>
      </c>
      <c r="I2" s="59" t="s">
        <v>61</v>
      </c>
      <c r="J2" s="58" t="s">
        <v>60</v>
      </c>
      <c r="K2" s="60" t="s">
        <v>61</v>
      </c>
      <c r="L2" s="59" t="s">
        <v>60</v>
      </c>
      <c r="M2" s="59" t="s">
        <v>61</v>
      </c>
      <c r="N2" s="58" t="s">
        <v>60</v>
      </c>
      <c r="O2" s="250" t="s">
        <v>61</v>
      </c>
      <c r="P2" s="476" t="s">
        <v>60</v>
      </c>
      <c r="Q2" s="319" t="s">
        <v>61</v>
      </c>
      <c r="R2" s="318" t="s">
        <v>60</v>
      </c>
      <c r="S2" s="320" t="s">
        <v>61</v>
      </c>
      <c r="T2" s="318" t="s">
        <v>60</v>
      </c>
      <c r="U2" s="319" t="s">
        <v>61</v>
      </c>
      <c r="V2" s="420" t="s">
        <v>66</v>
      </c>
      <c r="W2" s="286" t="s">
        <v>297</v>
      </c>
      <c r="X2" s="243" t="s">
        <v>153</v>
      </c>
    </row>
    <row r="3" spans="1:24" s="31" customFormat="1" ht="13">
      <c r="A3" s="287">
        <v>1</v>
      </c>
      <c r="B3" s="288" t="s">
        <v>389</v>
      </c>
      <c r="C3" s="184" t="s">
        <v>379</v>
      </c>
      <c r="D3" s="184" t="s">
        <v>314</v>
      </c>
      <c r="E3" s="282"/>
      <c r="F3" s="322">
        <v>1</v>
      </c>
      <c r="G3" s="123">
        <v>1</v>
      </c>
      <c r="H3" s="322">
        <v>1</v>
      </c>
      <c r="I3" s="123">
        <v>1</v>
      </c>
      <c r="J3" s="322">
        <v>1</v>
      </c>
      <c r="K3" s="123">
        <v>1</v>
      </c>
      <c r="L3" s="322">
        <v>1</v>
      </c>
      <c r="M3" s="123">
        <v>1</v>
      </c>
      <c r="N3" s="322">
        <v>1</v>
      </c>
      <c r="O3" s="252">
        <v>1</v>
      </c>
      <c r="P3" s="433">
        <v>0</v>
      </c>
      <c r="Q3" s="434">
        <v>0</v>
      </c>
      <c r="R3" s="434">
        <v>0</v>
      </c>
      <c r="S3" s="434">
        <v>0</v>
      </c>
      <c r="T3" s="434">
        <v>0</v>
      </c>
      <c r="U3" s="437">
        <v>0</v>
      </c>
      <c r="V3" s="475" t="s">
        <v>140</v>
      </c>
      <c r="W3" s="252">
        <v>0</v>
      </c>
    </row>
    <row r="4" spans="1:24" s="31" customFormat="1" ht="13">
      <c r="A4" s="287">
        <v>2</v>
      </c>
      <c r="B4" s="287" t="s">
        <v>388</v>
      </c>
      <c r="C4" s="423" t="s">
        <v>390</v>
      </c>
      <c r="D4" s="423"/>
      <c r="E4" s="279"/>
      <c r="F4" s="322">
        <v>1</v>
      </c>
      <c r="G4" s="123">
        <v>1</v>
      </c>
      <c r="H4" s="322">
        <v>1</v>
      </c>
      <c r="I4" s="123">
        <v>1</v>
      </c>
      <c r="J4" s="322">
        <v>1</v>
      </c>
      <c r="K4" s="123">
        <v>1</v>
      </c>
      <c r="L4" s="322">
        <v>1</v>
      </c>
      <c r="M4" s="123">
        <v>1</v>
      </c>
      <c r="N4" s="322">
        <v>1</v>
      </c>
      <c r="O4" s="252">
        <v>1</v>
      </c>
      <c r="P4" s="257">
        <v>0</v>
      </c>
      <c r="Q4" s="418">
        <v>0</v>
      </c>
      <c r="R4" s="418">
        <v>0</v>
      </c>
      <c r="S4" s="418">
        <v>0</v>
      </c>
      <c r="T4" s="418">
        <v>0</v>
      </c>
      <c r="U4" s="261">
        <v>0</v>
      </c>
      <c r="V4" s="1" t="s">
        <v>140</v>
      </c>
      <c r="W4" s="252">
        <v>0</v>
      </c>
    </row>
    <row r="5" spans="1:24" s="31" customFormat="1" ht="13">
      <c r="A5" s="287">
        <v>3</v>
      </c>
      <c r="B5" s="289" t="s">
        <v>493</v>
      </c>
      <c r="C5" s="172" t="s">
        <v>494</v>
      </c>
      <c r="D5" s="172"/>
      <c r="E5" s="283"/>
      <c r="F5" s="411">
        <v>1</v>
      </c>
      <c r="G5" s="411">
        <v>1</v>
      </c>
      <c r="H5" s="411">
        <v>1</v>
      </c>
      <c r="I5" s="411">
        <v>1</v>
      </c>
      <c r="J5" s="411">
        <v>1</v>
      </c>
      <c r="K5" s="411">
        <v>1</v>
      </c>
      <c r="L5" s="411">
        <v>1</v>
      </c>
      <c r="M5" s="411">
        <v>1</v>
      </c>
      <c r="N5" s="411">
        <v>1</v>
      </c>
      <c r="O5" s="414">
        <v>1</v>
      </c>
      <c r="P5" s="257">
        <v>0</v>
      </c>
      <c r="Q5" s="418">
        <v>0</v>
      </c>
      <c r="R5" s="418">
        <v>0</v>
      </c>
      <c r="S5" s="418">
        <v>0</v>
      </c>
      <c r="T5" s="418">
        <v>0</v>
      </c>
      <c r="U5" s="261">
        <v>0</v>
      </c>
      <c r="V5" s="186" t="s">
        <v>43</v>
      </c>
      <c r="W5" s="252">
        <v>2</v>
      </c>
    </row>
    <row r="6" spans="1:24" ht="13">
      <c r="A6" s="287">
        <v>4</v>
      </c>
      <c r="B6" s="287" t="s">
        <v>380</v>
      </c>
      <c r="C6" s="423" t="s">
        <v>398</v>
      </c>
      <c r="D6" s="423" t="s">
        <v>314</v>
      </c>
      <c r="E6" s="279"/>
      <c r="F6" s="175">
        <v>2</v>
      </c>
      <c r="G6" s="174">
        <v>2</v>
      </c>
      <c r="H6" s="175">
        <v>2</v>
      </c>
      <c r="I6" s="175">
        <v>2</v>
      </c>
      <c r="J6" s="173">
        <v>2</v>
      </c>
      <c r="K6" s="174">
        <v>2</v>
      </c>
      <c r="L6" s="175">
        <v>2</v>
      </c>
      <c r="M6" s="175">
        <v>2</v>
      </c>
      <c r="N6" s="173">
        <v>2</v>
      </c>
      <c r="O6" s="256">
        <v>2</v>
      </c>
      <c r="P6" s="262">
        <v>0</v>
      </c>
      <c r="Q6" s="263">
        <v>0</v>
      </c>
      <c r="R6" s="263">
        <v>0</v>
      </c>
      <c r="S6" s="263">
        <v>0</v>
      </c>
      <c r="T6" s="263">
        <v>0</v>
      </c>
      <c r="U6" s="264">
        <v>0</v>
      </c>
      <c r="V6" s="177" t="s">
        <v>43</v>
      </c>
      <c r="W6" s="421">
        <v>1</v>
      </c>
      <c r="X6" s="31"/>
    </row>
    <row r="7" spans="1:24" ht="13">
      <c r="A7" s="287">
        <v>5</v>
      </c>
      <c r="B7" s="287" t="s">
        <v>381</v>
      </c>
      <c r="C7" s="423" t="s">
        <v>399</v>
      </c>
      <c r="D7" s="423"/>
      <c r="E7" s="279"/>
      <c r="F7" s="123">
        <v>1</v>
      </c>
      <c r="G7" s="177">
        <v>1</v>
      </c>
      <c r="H7" s="123">
        <v>1</v>
      </c>
      <c r="I7" s="123">
        <v>1</v>
      </c>
      <c r="J7" s="176">
        <v>1</v>
      </c>
      <c r="K7" s="177">
        <v>1</v>
      </c>
      <c r="L7" s="123">
        <v>1</v>
      </c>
      <c r="M7" s="123">
        <v>1</v>
      </c>
      <c r="N7" s="176">
        <v>1</v>
      </c>
      <c r="O7" s="252">
        <v>1</v>
      </c>
      <c r="P7" s="257">
        <v>0</v>
      </c>
      <c r="Q7" s="418">
        <v>0</v>
      </c>
      <c r="R7" s="418">
        <v>0</v>
      </c>
      <c r="S7" s="418">
        <v>0</v>
      </c>
      <c r="T7" s="418">
        <v>0</v>
      </c>
      <c r="U7" s="261">
        <v>0</v>
      </c>
      <c r="V7" s="177" t="s">
        <v>43</v>
      </c>
      <c r="W7" s="415">
        <v>1</v>
      </c>
      <c r="X7" s="31"/>
    </row>
    <row r="8" spans="1:24" ht="13">
      <c r="A8" s="287">
        <v>6</v>
      </c>
      <c r="B8" s="287" t="s">
        <v>324</v>
      </c>
      <c r="C8" s="423" t="s">
        <v>377</v>
      </c>
      <c r="D8" s="423"/>
      <c r="E8" s="279"/>
      <c r="F8" s="123">
        <v>1</v>
      </c>
      <c r="G8" s="177">
        <v>1</v>
      </c>
      <c r="H8" s="123">
        <v>1</v>
      </c>
      <c r="I8" s="123">
        <v>1</v>
      </c>
      <c r="J8" s="176">
        <v>1</v>
      </c>
      <c r="K8" s="177">
        <v>1</v>
      </c>
      <c r="L8" s="123">
        <v>1</v>
      </c>
      <c r="M8" s="123">
        <v>1</v>
      </c>
      <c r="N8" s="176">
        <v>1</v>
      </c>
      <c r="O8" s="252">
        <v>1</v>
      </c>
      <c r="P8" s="257">
        <v>0</v>
      </c>
      <c r="Q8" s="418">
        <v>0</v>
      </c>
      <c r="R8" s="418">
        <v>0</v>
      </c>
      <c r="S8" s="418">
        <v>0</v>
      </c>
      <c r="T8" s="418">
        <v>0</v>
      </c>
      <c r="U8" s="261">
        <v>0</v>
      </c>
      <c r="V8" s="177" t="s">
        <v>43</v>
      </c>
      <c r="W8" s="415">
        <v>1</v>
      </c>
      <c r="X8" s="31"/>
    </row>
    <row r="9" spans="1:24" ht="13">
      <c r="A9" s="287">
        <v>7</v>
      </c>
      <c r="B9" s="461" t="s">
        <v>317</v>
      </c>
      <c r="C9" s="423" t="s">
        <v>400</v>
      </c>
      <c r="D9" s="423"/>
      <c r="E9" s="279"/>
      <c r="F9" s="123">
        <v>2</v>
      </c>
      <c r="G9" s="177">
        <v>2</v>
      </c>
      <c r="H9" s="123">
        <v>2</v>
      </c>
      <c r="I9" s="123">
        <v>2</v>
      </c>
      <c r="J9" s="176">
        <v>2</v>
      </c>
      <c r="K9" s="177">
        <v>2</v>
      </c>
      <c r="L9" s="123">
        <v>2</v>
      </c>
      <c r="M9" s="123">
        <v>2</v>
      </c>
      <c r="N9" s="176">
        <v>2</v>
      </c>
      <c r="O9" s="252">
        <v>2</v>
      </c>
      <c r="P9" s="257">
        <v>0</v>
      </c>
      <c r="Q9" s="418">
        <v>0</v>
      </c>
      <c r="R9" s="418">
        <v>0</v>
      </c>
      <c r="S9" s="418">
        <v>0</v>
      </c>
      <c r="T9" s="418">
        <v>0</v>
      </c>
      <c r="U9" s="261">
        <v>0</v>
      </c>
      <c r="V9" s="177" t="s">
        <v>43</v>
      </c>
      <c r="W9" s="415">
        <v>1</v>
      </c>
      <c r="X9" s="31"/>
    </row>
    <row r="10" spans="1:24" ht="13">
      <c r="A10" s="287">
        <v>8</v>
      </c>
      <c r="B10" s="287" t="s">
        <v>325</v>
      </c>
      <c r="C10" s="423" t="s">
        <v>401</v>
      </c>
      <c r="D10" s="423"/>
      <c r="E10" s="283"/>
      <c r="F10" s="187">
        <v>1</v>
      </c>
      <c r="G10" s="186">
        <v>1</v>
      </c>
      <c r="H10" s="187">
        <v>1</v>
      </c>
      <c r="I10" s="187">
        <v>1</v>
      </c>
      <c r="J10" s="185">
        <v>1</v>
      </c>
      <c r="K10" s="186">
        <v>1</v>
      </c>
      <c r="L10" s="187">
        <v>1</v>
      </c>
      <c r="M10" s="187">
        <v>1</v>
      </c>
      <c r="N10" s="185">
        <v>1</v>
      </c>
      <c r="O10" s="255">
        <v>1</v>
      </c>
      <c r="P10" s="265">
        <v>0</v>
      </c>
      <c r="Q10" s="266">
        <v>0</v>
      </c>
      <c r="R10" s="266">
        <v>0</v>
      </c>
      <c r="S10" s="266">
        <v>0</v>
      </c>
      <c r="T10" s="266">
        <v>0</v>
      </c>
      <c r="U10" s="268">
        <v>0</v>
      </c>
      <c r="V10" s="186" t="s">
        <v>43</v>
      </c>
      <c r="W10" s="422">
        <v>1</v>
      </c>
      <c r="X10" s="31"/>
    </row>
    <row r="11" spans="1:24" ht="13">
      <c r="A11" s="287">
        <v>9</v>
      </c>
      <c r="B11" s="288" t="s">
        <v>318</v>
      </c>
      <c r="C11" s="184" t="s">
        <v>423</v>
      </c>
      <c r="D11" s="184" t="s">
        <v>427</v>
      </c>
      <c r="E11" s="282" t="s">
        <v>154</v>
      </c>
      <c r="F11" s="190">
        <v>2</v>
      </c>
      <c r="G11" s="189">
        <v>2</v>
      </c>
      <c r="H11" s="188">
        <v>2</v>
      </c>
      <c r="I11" s="189">
        <v>2</v>
      </c>
      <c r="J11" s="190">
        <v>2</v>
      </c>
      <c r="K11" s="189">
        <v>2</v>
      </c>
      <c r="L11" s="188">
        <v>2</v>
      </c>
      <c r="M11" s="189">
        <v>2</v>
      </c>
      <c r="N11" s="190">
        <v>2</v>
      </c>
      <c r="O11" s="253">
        <v>2</v>
      </c>
      <c r="P11" s="262">
        <v>0</v>
      </c>
      <c r="Q11" s="263">
        <v>0</v>
      </c>
      <c r="R11" s="263">
        <v>0</v>
      </c>
      <c r="S11" s="263">
        <v>0</v>
      </c>
      <c r="T11" s="263">
        <v>0</v>
      </c>
      <c r="U11" s="264">
        <v>0</v>
      </c>
      <c r="V11" s="174" t="s">
        <v>43</v>
      </c>
      <c r="W11" s="421">
        <v>2</v>
      </c>
      <c r="X11" s="31"/>
    </row>
    <row r="12" spans="1:24" ht="13">
      <c r="A12" s="287">
        <v>10</v>
      </c>
      <c r="B12" s="287" t="s">
        <v>319</v>
      </c>
      <c r="C12" s="423" t="s">
        <v>422</v>
      </c>
      <c r="D12" s="423" t="s">
        <v>427</v>
      </c>
      <c r="E12" s="279" t="s">
        <v>154</v>
      </c>
      <c r="F12" s="180">
        <v>4</v>
      </c>
      <c r="G12" s="179">
        <v>4</v>
      </c>
      <c r="H12" s="178">
        <v>4</v>
      </c>
      <c r="I12" s="179">
        <v>4</v>
      </c>
      <c r="J12" s="180">
        <v>4</v>
      </c>
      <c r="K12" s="179">
        <v>4</v>
      </c>
      <c r="L12" s="178">
        <v>4</v>
      </c>
      <c r="M12" s="179">
        <v>4</v>
      </c>
      <c r="N12" s="180">
        <v>4</v>
      </c>
      <c r="O12" s="254">
        <v>4</v>
      </c>
      <c r="P12" s="257">
        <v>0</v>
      </c>
      <c r="Q12" s="418">
        <v>0</v>
      </c>
      <c r="R12" s="418">
        <v>0</v>
      </c>
      <c r="S12" s="418">
        <v>0</v>
      </c>
      <c r="T12" s="418">
        <v>0</v>
      </c>
      <c r="U12" s="261">
        <v>0</v>
      </c>
      <c r="V12" s="177" t="s">
        <v>43</v>
      </c>
      <c r="W12" s="415">
        <v>2</v>
      </c>
      <c r="X12" s="31"/>
    </row>
    <row r="13" spans="1:24" ht="13">
      <c r="A13" s="287">
        <v>11</v>
      </c>
      <c r="B13" s="287" t="s">
        <v>382</v>
      </c>
      <c r="C13" s="423" t="s">
        <v>421</v>
      </c>
      <c r="D13" s="423"/>
      <c r="E13" s="279" t="s">
        <v>154</v>
      </c>
      <c r="F13" s="180">
        <v>3</v>
      </c>
      <c r="G13" s="179">
        <v>3</v>
      </c>
      <c r="H13" s="178">
        <v>3</v>
      </c>
      <c r="I13" s="179">
        <v>3</v>
      </c>
      <c r="J13" s="180">
        <v>3</v>
      </c>
      <c r="K13" s="179">
        <v>3</v>
      </c>
      <c r="L13" s="178">
        <v>3</v>
      </c>
      <c r="M13" s="179">
        <v>3</v>
      </c>
      <c r="N13" s="180">
        <v>3</v>
      </c>
      <c r="O13" s="254">
        <v>3</v>
      </c>
      <c r="P13" s="257">
        <v>0</v>
      </c>
      <c r="Q13" s="418">
        <v>0</v>
      </c>
      <c r="R13" s="418">
        <v>0</v>
      </c>
      <c r="S13" s="418">
        <v>0</v>
      </c>
      <c r="T13" s="418">
        <v>0</v>
      </c>
      <c r="U13" s="261">
        <v>0</v>
      </c>
      <c r="V13" s="177" t="s">
        <v>43</v>
      </c>
      <c r="W13" s="415">
        <v>2</v>
      </c>
      <c r="X13" s="31"/>
    </row>
    <row r="14" spans="1:24" ht="13">
      <c r="A14" s="287">
        <v>12</v>
      </c>
      <c r="B14" s="287" t="s">
        <v>320</v>
      </c>
      <c r="C14" s="423" t="s">
        <v>396</v>
      </c>
      <c r="D14" s="423" t="s">
        <v>426</v>
      </c>
      <c r="E14" s="279" t="s">
        <v>154</v>
      </c>
      <c r="F14" s="180">
        <v>2</v>
      </c>
      <c r="G14" s="179">
        <v>2</v>
      </c>
      <c r="H14" s="178">
        <v>2</v>
      </c>
      <c r="I14" s="179">
        <v>2</v>
      </c>
      <c r="J14" s="180">
        <v>2</v>
      </c>
      <c r="K14" s="179">
        <v>2</v>
      </c>
      <c r="L14" s="178">
        <v>2</v>
      </c>
      <c r="M14" s="179">
        <v>2</v>
      </c>
      <c r="N14" s="180">
        <v>2</v>
      </c>
      <c r="O14" s="254">
        <v>2</v>
      </c>
      <c r="P14" s="257">
        <v>0</v>
      </c>
      <c r="Q14" s="418">
        <v>0</v>
      </c>
      <c r="R14" s="418">
        <v>0</v>
      </c>
      <c r="S14" s="418">
        <v>0</v>
      </c>
      <c r="T14" s="418">
        <v>0</v>
      </c>
      <c r="U14" s="261">
        <v>0</v>
      </c>
      <c r="V14" s="177" t="s">
        <v>43</v>
      </c>
      <c r="W14" s="415">
        <v>3</v>
      </c>
      <c r="X14" s="31"/>
    </row>
    <row r="15" spans="1:24" ht="13">
      <c r="A15" s="287">
        <v>13</v>
      </c>
      <c r="B15" s="287" t="s">
        <v>321</v>
      </c>
      <c r="C15" s="423" t="s">
        <v>402</v>
      </c>
      <c r="D15" s="423" t="s">
        <v>426</v>
      </c>
      <c r="E15" s="279" t="s">
        <v>154</v>
      </c>
      <c r="F15" s="180">
        <v>4</v>
      </c>
      <c r="G15" s="179">
        <v>4</v>
      </c>
      <c r="H15" s="178">
        <v>4</v>
      </c>
      <c r="I15" s="179">
        <v>4</v>
      </c>
      <c r="J15" s="180">
        <v>4</v>
      </c>
      <c r="K15" s="179">
        <v>4</v>
      </c>
      <c r="L15" s="178">
        <v>4</v>
      </c>
      <c r="M15" s="179">
        <v>4</v>
      </c>
      <c r="N15" s="180">
        <v>4</v>
      </c>
      <c r="O15" s="254">
        <v>4</v>
      </c>
      <c r="P15" s="257">
        <v>0</v>
      </c>
      <c r="Q15" s="418">
        <v>0</v>
      </c>
      <c r="R15" s="418">
        <v>0</v>
      </c>
      <c r="S15" s="418">
        <v>0</v>
      </c>
      <c r="T15" s="418">
        <v>0</v>
      </c>
      <c r="U15" s="261">
        <v>0</v>
      </c>
      <c r="V15" s="177" t="s">
        <v>43</v>
      </c>
      <c r="W15" s="415">
        <v>2</v>
      </c>
      <c r="X15" s="31"/>
    </row>
    <row r="16" spans="1:24" ht="13">
      <c r="A16" s="287">
        <v>14</v>
      </c>
      <c r="B16" s="287" t="s">
        <v>322</v>
      </c>
      <c r="C16" s="423" t="s">
        <v>403</v>
      </c>
      <c r="D16" s="423"/>
      <c r="E16" s="279" t="s">
        <v>154</v>
      </c>
      <c r="F16" s="180">
        <v>2</v>
      </c>
      <c r="G16" s="179">
        <v>2</v>
      </c>
      <c r="H16" s="178">
        <v>2</v>
      </c>
      <c r="I16" s="179">
        <v>2</v>
      </c>
      <c r="J16" s="180">
        <v>2</v>
      </c>
      <c r="K16" s="179">
        <v>2</v>
      </c>
      <c r="L16" s="178">
        <v>2</v>
      </c>
      <c r="M16" s="179">
        <v>2</v>
      </c>
      <c r="N16" s="180">
        <v>2</v>
      </c>
      <c r="O16" s="254">
        <v>2</v>
      </c>
      <c r="P16" s="257">
        <v>0</v>
      </c>
      <c r="Q16" s="418">
        <v>0</v>
      </c>
      <c r="R16" s="418">
        <v>0</v>
      </c>
      <c r="S16" s="418">
        <v>0</v>
      </c>
      <c r="T16" s="418">
        <v>0</v>
      </c>
      <c r="U16" s="261">
        <v>0</v>
      </c>
      <c r="V16" s="177" t="s">
        <v>43</v>
      </c>
      <c r="W16" s="415">
        <v>1</v>
      </c>
      <c r="X16" s="31"/>
    </row>
    <row r="17" spans="1:24" ht="13">
      <c r="A17" s="287">
        <v>15</v>
      </c>
      <c r="B17" s="289" t="s">
        <v>323</v>
      </c>
      <c r="C17" s="172" t="s">
        <v>404</v>
      </c>
      <c r="D17" s="172"/>
      <c r="E17" s="283" t="s">
        <v>154</v>
      </c>
      <c r="F17" s="187">
        <v>1</v>
      </c>
      <c r="G17" s="183">
        <v>1</v>
      </c>
      <c r="H17" s="181">
        <v>1</v>
      </c>
      <c r="I17" s="183">
        <v>1</v>
      </c>
      <c r="J17" s="182">
        <v>1</v>
      </c>
      <c r="K17" s="186">
        <v>1</v>
      </c>
      <c r="L17" s="185">
        <v>1</v>
      </c>
      <c r="M17" s="186">
        <v>1</v>
      </c>
      <c r="N17" s="187">
        <v>1</v>
      </c>
      <c r="O17" s="255">
        <v>1</v>
      </c>
      <c r="P17" s="265">
        <v>0</v>
      </c>
      <c r="Q17" s="266">
        <v>0</v>
      </c>
      <c r="R17" s="266">
        <v>0</v>
      </c>
      <c r="S17" s="266">
        <v>0</v>
      </c>
      <c r="T17" s="266">
        <v>0</v>
      </c>
      <c r="U17" s="268">
        <v>0</v>
      </c>
      <c r="V17" s="186" t="s">
        <v>43</v>
      </c>
      <c r="W17" s="422">
        <v>0</v>
      </c>
      <c r="X17" s="31"/>
    </row>
    <row r="18" spans="1:24" s="31" customFormat="1" ht="13">
      <c r="A18" s="287">
        <v>16</v>
      </c>
      <c r="B18" s="287" t="s">
        <v>384</v>
      </c>
      <c r="C18" s="423" t="s">
        <v>465</v>
      </c>
      <c r="D18" s="423"/>
      <c r="E18" s="279" t="s">
        <v>154</v>
      </c>
      <c r="F18" s="259">
        <v>0</v>
      </c>
      <c r="G18" s="258">
        <v>0</v>
      </c>
      <c r="H18" s="259">
        <v>0</v>
      </c>
      <c r="I18" s="259">
        <v>0</v>
      </c>
      <c r="J18" s="260">
        <v>0</v>
      </c>
      <c r="K18" s="258">
        <v>0</v>
      </c>
      <c r="L18" s="259">
        <v>0</v>
      </c>
      <c r="M18" s="259">
        <v>0</v>
      </c>
      <c r="N18" s="260">
        <v>0</v>
      </c>
      <c r="O18" s="261">
        <v>0</v>
      </c>
      <c r="P18" s="410">
        <v>1</v>
      </c>
      <c r="Q18" s="416">
        <v>1</v>
      </c>
      <c r="R18" s="412">
        <v>1</v>
      </c>
      <c r="S18" s="413">
        <v>1</v>
      </c>
      <c r="T18" s="416">
        <v>1</v>
      </c>
      <c r="U18" s="414">
        <v>1</v>
      </c>
      <c r="V18" s="177" t="s">
        <v>43</v>
      </c>
      <c r="W18" s="252">
        <v>2</v>
      </c>
    </row>
    <row r="19" spans="1:24" s="31" customFormat="1" ht="13">
      <c r="A19" s="287">
        <v>17</v>
      </c>
      <c r="B19" s="287" t="s">
        <v>385</v>
      </c>
      <c r="C19" s="423" t="s">
        <v>378</v>
      </c>
      <c r="D19" s="423"/>
      <c r="E19" s="279" t="s">
        <v>154</v>
      </c>
      <c r="F19" s="259">
        <v>0</v>
      </c>
      <c r="G19" s="258">
        <v>0</v>
      </c>
      <c r="H19" s="259">
        <v>0</v>
      </c>
      <c r="I19" s="259">
        <v>0</v>
      </c>
      <c r="J19" s="260">
        <v>0</v>
      </c>
      <c r="K19" s="258">
        <v>0</v>
      </c>
      <c r="L19" s="259">
        <v>0</v>
      </c>
      <c r="M19" s="259">
        <v>0</v>
      </c>
      <c r="N19" s="260">
        <v>0</v>
      </c>
      <c r="O19" s="261">
        <v>0</v>
      </c>
      <c r="P19" s="251">
        <v>1</v>
      </c>
      <c r="Q19" s="417">
        <v>1</v>
      </c>
      <c r="R19" s="176">
        <v>1</v>
      </c>
      <c r="S19" s="177">
        <v>1</v>
      </c>
      <c r="T19" s="417">
        <v>1</v>
      </c>
      <c r="U19" s="252">
        <v>1</v>
      </c>
      <c r="V19" s="177" t="s">
        <v>43</v>
      </c>
      <c r="W19" s="252">
        <v>1</v>
      </c>
    </row>
    <row r="20" spans="1:24" s="31" customFormat="1" ht="13">
      <c r="A20" s="287">
        <v>18</v>
      </c>
      <c r="B20" s="287" t="s">
        <v>386</v>
      </c>
      <c r="C20" s="423" t="s">
        <v>397</v>
      </c>
      <c r="D20" s="423"/>
      <c r="E20" s="279" t="s">
        <v>154</v>
      </c>
      <c r="F20" s="259">
        <v>0</v>
      </c>
      <c r="G20" s="258">
        <v>0</v>
      </c>
      <c r="H20" s="259">
        <v>0</v>
      </c>
      <c r="I20" s="259">
        <v>0</v>
      </c>
      <c r="J20" s="260">
        <v>0</v>
      </c>
      <c r="K20" s="258">
        <v>0</v>
      </c>
      <c r="L20" s="259">
        <v>0</v>
      </c>
      <c r="M20" s="259">
        <v>0</v>
      </c>
      <c r="N20" s="260">
        <v>0</v>
      </c>
      <c r="O20" s="261">
        <v>0</v>
      </c>
      <c r="P20" s="251">
        <v>2</v>
      </c>
      <c r="Q20" s="417">
        <v>2</v>
      </c>
      <c r="R20" s="176">
        <v>2</v>
      </c>
      <c r="S20" s="177">
        <v>2</v>
      </c>
      <c r="T20" s="417">
        <v>2</v>
      </c>
      <c r="U20" s="252">
        <v>2</v>
      </c>
      <c r="V20" s="177" t="s">
        <v>43</v>
      </c>
      <c r="W20" s="252">
        <v>0</v>
      </c>
    </row>
    <row r="21" spans="1:24" s="31" customFormat="1" ht="13">
      <c r="A21" s="287">
        <v>19</v>
      </c>
      <c r="B21" s="287" t="s">
        <v>387</v>
      </c>
      <c r="C21" s="423" t="s">
        <v>383</v>
      </c>
      <c r="D21" s="423"/>
      <c r="E21" s="279" t="s">
        <v>154</v>
      </c>
      <c r="F21" s="259">
        <v>0</v>
      </c>
      <c r="G21" s="258">
        <v>0</v>
      </c>
      <c r="H21" s="259">
        <v>0</v>
      </c>
      <c r="I21" s="259">
        <v>0</v>
      </c>
      <c r="J21" s="260">
        <v>0</v>
      </c>
      <c r="K21" s="258">
        <v>0</v>
      </c>
      <c r="L21" s="259">
        <v>0</v>
      </c>
      <c r="M21" s="259">
        <v>0</v>
      </c>
      <c r="N21" s="260">
        <v>0</v>
      </c>
      <c r="O21" s="261">
        <v>0</v>
      </c>
      <c r="P21" s="251">
        <v>1</v>
      </c>
      <c r="Q21" s="417">
        <v>1</v>
      </c>
      <c r="R21" s="176">
        <v>1</v>
      </c>
      <c r="S21" s="177">
        <v>1</v>
      </c>
      <c r="T21" s="417">
        <v>1</v>
      </c>
      <c r="U21" s="252">
        <v>1</v>
      </c>
      <c r="V21" s="177" t="s">
        <v>43</v>
      </c>
      <c r="W21" s="252">
        <v>0</v>
      </c>
    </row>
    <row r="22" spans="1:24" s="31" customFormat="1" ht="13.5" thickBot="1">
      <c r="A22" s="287">
        <v>20</v>
      </c>
      <c r="B22" s="419" t="s">
        <v>428</v>
      </c>
      <c r="C22" s="277" t="s">
        <v>413</v>
      </c>
      <c r="D22" s="277"/>
      <c r="E22" s="280" t="s">
        <v>154</v>
      </c>
      <c r="F22" s="259">
        <v>0</v>
      </c>
      <c r="G22" s="258">
        <v>0</v>
      </c>
      <c r="H22" s="259">
        <v>0</v>
      </c>
      <c r="I22" s="259">
        <v>0</v>
      </c>
      <c r="J22" s="260">
        <v>0</v>
      </c>
      <c r="K22" s="258">
        <v>0</v>
      </c>
      <c r="L22" s="259">
        <v>0</v>
      </c>
      <c r="M22" s="259">
        <v>0</v>
      </c>
      <c r="N22" s="260">
        <v>0</v>
      </c>
      <c r="O22" s="261">
        <v>0</v>
      </c>
      <c r="P22" s="445">
        <v>1</v>
      </c>
      <c r="Q22" s="446">
        <v>1</v>
      </c>
      <c r="R22" s="447">
        <v>1</v>
      </c>
      <c r="S22" s="448">
        <v>1</v>
      </c>
      <c r="T22" s="446">
        <v>1</v>
      </c>
      <c r="U22" s="449">
        <v>1</v>
      </c>
      <c r="V22" s="448" t="s">
        <v>43</v>
      </c>
      <c r="W22" s="449">
        <v>0</v>
      </c>
    </row>
    <row r="23" spans="1:24" ht="13">
      <c r="A23" s="287">
        <v>21</v>
      </c>
      <c r="B23" s="427" t="s">
        <v>456</v>
      </c>
      <c r="C23" s="273" t="s">
        <v>283</v>
      </c>
      <c r="D23" s="273"/>
      <c r="E23" s="274" t="s">
        <v>109</v>
      </c>
      <c r="F23" s="428">
        <v>1</v>
      </c>
      <c r="G23" s="429">
        <v>1</v>
      </c>
      <c r="H23" s="430">
        <v>1</v>
      </c>
      <c r="I23" s="430">
        <v>1</v>
      </c>
      <c r="J23" s="431">
        <v>1</v>
      </c>
      <c r="K23" s="429">
        <v>1</v>
      </c>
      <c r="L23" s="430">
        <v>1</v>
      </c>
      <c r="M23" s="430">
        <v>1</v>
      </c>
      <c r="N23" s="431">
        <v>1</v>
      </c>
      <c r="O23" s="432">
        <v>1</v>
      </c>
      <c r="P23" s="433">
        <v>0</v>
      </c>
      <c r="Q23" s="434">
        <v>0</v>
      </c>
      <c r="R23" s="435">
        <v>0</v>
      </c>
      <c r="S23" s="436">
        <v>0</v>
      </c>
      <c r="T23" s="434">
        <v>0</v>
      </c>
      <c r="U23" s="437">
        <v>0</v>
      </c>
      <c r="V23" s="177" t="s">
        <v>43</v>
      </c>
      <c r="W23" s="252">
        <v>0</v>
      </c>
      <c r="X23" s="31"/>
    </row>
    <row r="24" spans="1:24" ht="13">
      <c r="A24" s="287">
        <v>22</v>
      </c>
      <c r="B24" s="287" t="s">
        <v>459</v>
      </c>
      <c r="C24" s="423" t="s">
        <v>461</v>
      </c>
      <c r="D24" s="423"/>
      <c r="E24" s="275" t="s">
        <v>109</v>
      </c>
      <c r="F24" s="251">
        <v>1</v>
      </c>
      <c r="G24" s="177">
        <v>1</v>
      </c>
      <c r="H24" s="417">
        <v>1</v>
      </c>
      <c r="I24" s="417">
        <v>1</v>
      </c>
      <c r="J24" s="176">
        <v>1</v>
      </c>
      <c r="K24" s="177">
        <v>1</v>
      </c>
      <c r="L24" s="417">
        <v>1</v>
      </c>
      <c r="M24" s="417">
        <v>1</v>
      </c>
      <c r="N24" s="176">
        <v>1</v>
      </c>
      <c r="O24" s="252">
        <v>1</v>
      </c>
      <c r="P24" s="257">
        <v>0</v>
      </c>
      <c r="Q24" s="418">
        <v>0</v>
      </c>
      <c r="R24" s="260">
        <v>0</v>
      </c>
      <c r="S24" s="258">
        <v>0</v>
      </c>
      <c r="T24" s="418">
        <v>0</v>
      </c>
      <c r="U24" s="261">
        <v>0</v>
      </c>
      <c r="V24" s="177" t="s">
        <v>43</v>
      </c>
      <c r="W24" s="409">
        <v>1</v>
      </c>
      <c r="X24" s="31"/>
    </row>
    <row r="25" spans="1:24" s="317" customFormat="1" ht="13">
      <c r="A25" s="287">
        <v>23</v>
      </c>
      <c r="B25" s="287" t="s">
        <v>460</v>
      </c>
      <c r="C25" s="423" t="s">
        <v>462</v>
      </c>
      <c r="D25" s="423"/>
      <c r="E25" s="275" t="s">
        <v>109</v>
      </c>
      <c r="F25" s="251">
        <v>1</v>
      </c>
      <c r="G25" s="177">
        <v>1</v>
      </c>
      <c r="H25" s="417">
        <v>1</v>
      </c>
      <c r="I25" s="417">
        <v>1</v>
      </c>
      <c r="J25" s="176">
        <v>1</v>
      </c>
      <c r="K25" s="177">
        <v>1</v>
      </c>
      <c r="L25" s="417">
        <v>1</v>
      </c>
      <c r="M25" s="417">
        <v>1</v>
      </c>
      <c r="N25" s="176">
        <v>1</v>
      </c>
      <c r="O25" s="252">
        <v>1</v>
      </c>
      <c r="P25" s="257">
        <v>0</v>
      </c>
      <c r="Q25" s="418">
        <v>0</v>
      </c>
      <c r="R25" s="260">
        <v>0</v>
      </c>
      <c r="S25" s="258">
        <v>0</v>
      </c>
      <c r="T25" s="418">
        <v>0</v>
      </c>
      <c r="U25" s="261">
        <v>0</v>
      </c>
      <c r="V25" s="177" t="s">
        <v>43</v>
      </c>
      <c r="W25" s="409">
        <v>1</v>
      </c>
      <c r="X25" s="31"/>
    </row>
    <row r="26" spans="1:24" ht="13">
      <c r="A26" s="287">
        <v>24</v>
      </c>
      <c r="B26" s="287" t="s">
        <v>457</v>
      </c>
      <c r="C26" s="423" t="s">
        <v>463</v>
      </c>
      <c r="D26" s="423"/>
      <c r="E26" s="275" t="s">
        <v>109</v>
      </c>
      <c r="F26" s="251">
        <v>2</v>
      </c>
      <c r="G26" s="177">
        <v>2</v>
      </c>
      <c r="H26" s="417">
        <v>1</v>
      </c>
      <c r="I26" s="417">
        <v>1</v>
      </c>
      <c r="J26" s="176">
        <v>1</v>
      </c>
      <c r="K26" s="177">
        <v>1</v>
      </c>
      <c r="L26" s="417">
        <v>1</v>
      </c>
      <c r="M26" s="417">
        <v>1</v>
      </c>
      <c r="N26" s="176">
        <v>1</v>
      </c>
      <c r="O26" s="252">
        <v>1</v>
      </c>
      <c r="P26" s="257">
        <v>0</v>
      </c>
      <c r="Q26" s="418">
        <v>0</v>
      </c>
      <c r="R26" s="260">
        <v>0</v>
      </c>
      <c r="S26" s="258">
        <v>0</v>
      </c>
      <c r="T26" s="418">
        <v>0</v>
      </c>
      <c r="U26" s="261">
        <v>0</v>
      </c>
      <c r="V26" s="177" t="s">
        <v>43</v>
      </c>
      <c r="W26" s="409">
        <v>0</v>
      </c>
      <c r="X26" s="31"/>
    </row>
    <row r="27" spans="1:24" ht="13.5" thickBot="1">
      <c r="A27" s="287">
        <v>25</v>
      </c>
      <c r="B27" s="287" t="s">
        <v>458</v>
      </c>
      <c r="C27" s="423" t="s">
        <v>464</v>
      </c>
      <c r="D27" s="423"/>
      <c r="E27" s="275" t="s">
        <v>109</v>
      </c>
      <c r="F27" s="251">
        <v>1</v>
      </c>
      <c r="G27" s="177">
        <v>1</v>
      </c>
      <c r="H27" s="417">
        <v>1</v>
      </c>
      <c r="I27" s="417">
        <v>1</v>
      </c>
      <c r="J27" s="176">
        <v>1</v>
      </c>
      <c r="K27" s="177">
        <v>1</v>
      </c>
      <c r="L27" s="417">
        <v>1</v>
      </c>
      <c r="M27" s="417">
        <v>1</v>
      </c>
      <c r="N27" s="176">
        <v>1</v>
      </c>
      <c r="O27" s="252">
        <v>1</v>
      </c>
      <c r="P27" s="257">
        <v>0</v>
      </c>
      <c r="Q27" s="418">
        <v>0</v>
      </c>
      <c r="R27" s="260">
        <v>0</v>
      </c>
      <c r="S27" s="258">
        <v>0</v>
      </c>
      <c r="T27" s="418">
        <v>0</v>
      </c>
      <c r="U27" s="261">
        <v>0</v>
      </c>
      <c r="V27" s="177" t="s">
        <v>43</v>
      </c>
      <c r="W27" s="252">
        <v>0</v>
      </c>
      <c r="X27" s="31"/>
    </row>
    <row r="28" spans="1:24" s="317" customFormat="1" ht="13">
      <c r="A28" s="287">
        <v>26</v>
      </c>
      <c r="B28" s="438" t="s">
        <v>479</v>
      </c>
      <c r="C28" s="172" t="s">
        <v>478</v>
      </c>
      <c r="D28" s="172"/>
      <c r="E28" s="276" t="s">
        <v>109</v>
      </c>
      <c r="F28" s="473">
        <v>1</v>
      </c>
      <c r="G28" s="186">
        <v>1</v>
      </c>
      <c r="H28" s="424">
        <v>1</v>
      </c>
      <c r="I28" s="186">
        <v>1</v>
      </c>
      <c r="J28" s="424">
        <v>1</v>
      </c>
      <c r="K28" s="186">
        <v>1</v>
      </c>
      <c r="L28" s="424">
        <v>1</v>
      </c>
      <c r="M28" s="186">
        <v>1</v>
      </c>
      <c r="N28" s="424">
        <v>1</v>
      </c>
      <c r="O28" s="255">
        <v>1</v>
      </c>
      <c r="P28" s="265">
        <v>0</v>
      </c>
      <c r="Q28" s="267">
        <v>0</v>
      </c>
      <c r="R28" s="266">
        <v>0</v>
      </c>
      <c r="S28" s="267">
        <v>0</v>
      </c>
      <c r="T28" s="266">
        <v>0</v>
      </c>
      <c r="U28" s="268">
        <v>0</v>
      </c>
      <c r="V28" s="480" t="s">
        <v>150</v>
      </c>
      <c r="W28" s="255">
        <v>0</v>
      </c>
      <c r="X28" s="31"/>
    </row>
    <row r="29" spans="1:24" ht="13.75" customHeight="1" thickBot="1">
      <c r="A29" s="287">
        <v>27</v>
      </c>
      <c r="B29" s="419" t="s">
        <v>414</v>
      </c>
      <c r="C29" s="277" t="s">
        <v>415</v>
      </c>
      <c r="D29" s="277"/>
      <c r="E29" s="439" t="s">
        <v>109</v>
      </c>
      <c r="F29" s="440">
        <v>0</v>
      </c>
      <c r="G29" s="441">
        <v>0</v>
      </c>
      <c r="H29" s="442">
        <v>0</v>
      </c>
      <c r="I29" s="442">
        <v>0</v>
      </c>
      <c r="J29" s="443">
        <v>0</v>
      </c>
      <c r="K29" s="441">
        <v>0</v>
      </c>
      <c r="L29" s="442">
        <v>0</v>
      </c>
      <c r="M29" s="442">
        <v>0</v>
      </c>
      <c r="N29" s="443">
        <v>0</v>
      </c>
      <c r="O29" s="444">
        <v>0</v>
      </c>
      <c r="P29" s="445">
        <v>1</v>
      </c>
      <c r="Q29" s="446">
        <v>1</v>
      </c>
      <c r="R29" s="447">
        <v>1</v>
      </c>
      <c r="S29" s="448">
        <v>1</v>
      </c>
      <c r="T29" s="446">
        <v>1</v>
      </c>
      <c r="U29" s="449">
        <v>1</v>
      </c>
      <c r="V29" s="174" t="s">
        <v>43</v>
      </c>
      <c r="W29" s="252">
        <v>0</v>
      </c>
      <c r="X29" s="31"/>
    </row>
    <row r="30" spans="1:24" ht="13">
      <c r="A30" s="287">
        <v>28</v>
      </c>
      <c r="B30" s="450" t="s">
        <v>279</v>
      </c>
      <c r="C30" s="273" t="s">
        <v>282</v>
      </c>
      <c r="D30" s="273"/>
      <c r="E30" s="278" t="s">
        <v>55</v>
      </c>
      <c r="F30" s="306">
        <v>1</v>
      </c>
      <c r="G30" s="451">
        <v>1</v>
      </c>
      <c r="H30" s="452">
        <v>1</v>
      </c>
      <c r="I30" s="452">
        <v>1</v>
      </c>
      <c r="J30" s="453">
        <v>0</v>
      </c>
      <c r="K30" s="454">
        <v>0</v>
      </c>
      <c r="L30" s="452">
        <v>0</v>
      </c>
      <c r="M30" s="452">
        <v>0</v>
      </c>
      <c r="N30" s="453">
        <v>1</v>
      </c>
      <c r="O30" s="455">
        <v>1</v>
      </c>
      <c r="P30" s="456">
        <v>0</v>
      </c>
      <c r="Q30" s="457">
        <v>0</v>
      </c>
      <c r="R30" s="458">
        <v>0</v>
      </c>
      <c r="S30" s="459">
        <v>0</v>
      </c>
      <c r="T30" s="457">
        <v>0</v>
      </c>
      <c r="U30" s="460">
        <v>0</v>
      </c>
      <c r="V30" s="480" t="s">
        <v>150</v>
      </c>
      <c r="W30" s="432">
        <v>0</v>
      </c>
      <c r="X30" s="31"/>
    </row>
    <row r="31" spans="1:24">
      <c r="A31" s="287">
        <v>29</v>
      </c>
      <c r="B31" s="461" t="s">
        <v>298</v>
      </c>
      <c r="C31" s="423" t="s">
        <v>300</v>
      </c>
      <c r="D31" s="423"/>
      <c r="E31" s="279" t="s">
        <v>55</v>
      </c>
      <c r="F31" s="321">
        <v>1</v>
      </c>
      <c r="G31" s="302">
        <v>1</v>
      </c>
      <c r="H31" s="425">
        <v>1</v>
      </c>
      <c r="I31" s="425">
        <v>1</v>
      </c>
      <c r="J31" s="178">
        <v>0</v>
      </c>
      <c r="K31" s="179">
        <v>0</v>
      </c>
      <c r="L31" s="425">
        <v>1</v>
      </c>
      <c r="M31" s="425">
        <v>1</v>
      </c>
      <c r="N31" s="178">
        <v>1</v>
      </c>
      <c r="O31" s="254">
        <v>1</v>
      </c>
      <c r="P31" s="269">
        <v>0</v>
      </c>
      <c r="Q31" s="426">
        <v>0</v>
      </c>
      <c r="R31" s="270">
        <v>0</v>
      </c>
      <c r="S31" s="271">
        <v>0</v>
      </c>
      <c r="T31" s="426">
        <v>0</v>
      </c>
      <c r="U31" s="272">
        <v>0</v>
      </c>
      <c r="V31" s="1" t="s">
        <v>150</v>
      </c>
      <c r="W31" s="252">
        <v>0</v>
      </c>
    </row>
    <row r="32" spans="1:24" ht="13" thickBot="1">
      <c r="A32" s="287">
        <v>30</v>
      </c>
      <c r="B32" s="462" t="s">
        <v>299</v>
      </c>
      <c r="C32" s="277" t="s">
        <v>301</v>
      </c>
      <c r="D32" s="277" t="s">
        <v>295</v>
      </c>
      <c r="E32" s="280" t="s">
        <v>55</v>
      </c>
      <c r="F32" s="312">
        <v>1</v>
      </c>
      <c r="G32" s="463">
        <v>1</v>
      </c>
      <c r="H32" s="464">
        <v>1</v>
      </c>
      <c r="I32" s="464">
        <v>1</v>
      </c>
      <c r="J32" s="465">
        <v>0</v>
      </c>
      <c r="K32" s="466">
        <v>0</v>
      </c>
      <c r="L32" s="464">
        <v>0</v>
      </c>
      <c r="M32" s="464">
        <v>0</v>
      </c>
      <c r="N32" s="465">
        <v>1</v>
      </c>
      <c r="O32" s="467">
        <v>1</v>
      </c>
      <c r="P32" s="468">
        <v>0</v>
      </c>
      <c r="Q32" s="469">
        <v>0</v>
      </c>
      <c r="R32" s="470">
        <v>0</v>
      </c>
      <c r="S32" s="471">
        <v>0</v>
      </c>
      <c r="T32" s="469">
        <v>0</v>
      </c>
      <c r="U32" s="472">
        <v>0</v>
      </c>
      <c r="V32" s="481" t="s">
        <v>150</v>
      </c>
      <c r="W32" s="449">
        <v>0</v>
      </c>
    </row>
    <row r="33" spans="1:23" s="10" customFormat="1">
      <c r="A33" s="287">
        <v>31</v>
      </c>
      <c r="B33" s="303" t="s">
        <v>429</v>
      </c>
      <c r="C33" s="303" t="s">
        <v>416</v>
      </c>
      <c r="D33" s="303"/>
      <c r="E33" s="304"/>
      <c r="F33" s="307">
        <v>1</v>
      </c>
      <c r="G33" s="305">
        <v>1</v>
      </c>
      <c r="H33" s="307">
        <v>1</v>
      </c>
      <c r="I33" s="305">
        <v>1</v>
      </c>
      <c r="J33" s="307">
        <v>1</v>
      </c>
      <c r="K33" s="305">
        <v>1</v>
      </c>
      <c r="L33" s="307">
        <v>1</v>
      </c>
      <c r="M33" s="305">
        <v>1</v>
      </c>
      <c r="N33" s="307">
        <v>1</v>
      </c>
      <c r="O33" s="305">
        <v>1</v>
      </c>
      <c r="P33" s="306">
        <v>0</v>
      </c>
      <c r="Q33" s="307">
        <v>0</v>
      </c>
      <c r="R33" s="307">
        <v>0</v>
      </c>
      <c r="S33" s="307">
        <v>0</v>
      </c>
      <c r="T33" s="307">
        <v>0</v>
      </c>
      <c r="U33" s="308">
        <v>0</v>
      </c>
      <c r="V33" s="1" t="s">
        <v>150</v>
      </c>
      <c r="W33" s="308">
        <v>1</v>
      </c>
    </row>
    <row r="34" spans="1:23" s="10" customFormat="1" ht="13" thickBot="1">
      <c r="A34" s="287">
        <v>32</v>
      </c>
      <c r="B34" s="309" t="s">
        <v>430</v>
      </c>
      <c r="C34" s="309" t="s">
        <v>431</v>
      </c>
      <c r="D34" s="309"/>
      <c r="E34" s="310"/>
      <c r="F34" s="313">
        <v>1</v>
      </c>
      <c r="G34" s="311">
        <v>1</v>
      </c>
      <c r="H34" s="313">
        <v>1</v>
      </c>
      <c r="I34" s="311">
        <v>1</v>
      </c>
      <c r="J34" s="313">
        <v>1</v>
      </c>
      <c r="K34" s="311">
        <v>1</v>
      </c>
      <c r="L34" s="313">
        <v>1</v>
      </c>
      <c r="M34" s="311">
        <v>1</v>
      </c>
      <c r="N34" s="313">
        <v>1</v>
      </c>
      <c r="O34" s="311">
        <v>1</v>
      </c>
      <c r="P34" s="312">
        <v>0</v>
      </c>
      <c r="Q34" s="313">
        <v>0</v>
      </c>
      <c r="R34" s="313">
        <v>0</v>
      </c>
      <c r="S34" s="313">
        <v>0</v>
      </c>
      <c r="T34" s="313">
        <v>0</v>
      </c>
      <c r="U34" s="314">
        <v>0</v>
      </c>
      <c r="V34" s="481" t="s">
        <v>150</v>
      </c>
      <c r="W34" s="314">
        <v>1</v>
      </c>
    </row>
    <row r="35" spans="1:23">
      <c r="D35" s="299"/>
    </row>
    <row r="36" spans="1:23">
      <c r="D36" s="299"/>
    </row>
    <row r="39" spans="1:23">
      <c r="B39" s="324"/>
      <c r="C39" s="324"/>
      <c r="D39" s="324"/>
      <c r="E39" s="324"/>
      <c r="F39" s="324"/>
      <c r="G39" s="324"/>
      <c r="H39" s="324"/>
      <c r="I39" s="324"/>
      <c r="J39" s="324"/>
      <c r="K39" s="324"/>
    </row>
    <row r="40" spans="1:23">
      <c r="B40" s="324"/>
      <c r="C40" s="324"/>
      <c r="D40" s="324"/>
      <c r="E40" s="324"/>
      <c r="F40" s="324"/>
      <c r="G40" s="324"/>
      <c r="H40" s="324"/>
      <c r="I40" s="324"/>
      <c r="J40" s="324"/>
      <c r="K40" s="324"/>
    </row>
    <row r="41" spans="1:23">
      <c r="B41" s="324"/>
      <c r="C41" s="324"/>
      <c r="D41" s="324"/>
      <c r="E41" s="324"/>
      <c r="F41" s="324"/>
      <c r="G41" s="324"/>
      <c r="H41" s="324"/>
      <c r="I41" s="324"/>
      <c r="J41" s="324"/>
      <c r="K41" s="324"/>
    </row>
    <row r="42" spans="1:23">
      <c r="B42" s="324"/>
      <c r="C42" s="324"/>
      <c r="D42" s="324"/>
      <c r="E42" s="324"/>
      <c r="F42" s="324"/>
      <c r="G42" s="324"/>
      <c r="H42" s="324"/>
      <c r="I42" s="324"/>
      <c r="J42" s="324"/>
      <c r="K42" s="324"/>
    </row>
  </sheetData>
  <phoneticPr fontId="9" type="noConversion"/>
  <pageMargins left="0.7" right="0.7" top="0.78740157499999996" bottom="0.78740157499999996" header="0.3" footer="0.3"/>
  <pageSetup paperSize="9" orientation="portrait" horizontalDpi="4294967293"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23"/>
  <sheetViews>
    <sheetView zoomScale="115" zoomScaleNormal="115" workbookViewId="0">
      <selection activeCell="A20" sqref="A20"/>
    </sheetView>
  </sheetViews>
  <sheetFormatPr baseColWidth="10" defaultColWidth="11.453125" defaultRowHeight="12.5"/>
  <cols>
    <col min="1" max="1" width="9.36328125" bestFit="1" customWidth="1"/>
    <col min="2" max="2" width="24.453125" bestFit="1" customWidth="1"/>
    <col min="3" max="3" width="13.36328125" bestFit="1" customWidth="1"/>
    <col min="4" max="4" width="10.6328125" bestFit="1" customWidth="1"/>
    <col min="5" max="5" width="22.81640625" bestFit="1" customWidth="1"/>
    <col min="6" max="6" width="5.1796875" bestFit="1" customWidth="1"/>
    <col min="7" max="7" width="6.36328125" bestFit="1" customWidth="1"/>
    <col min="8" max="8" width="8.36328125" style="10" customWidth="1"/>
    <col min="9" max="9" width="68.6328125" style="47" customWidth="1"/>
  </cols>
  <sheetData>
    <row r="1" spans="1:10" ht="13">
      <c r="A1" s="11" t="s">
        <v>0</v>
      </c>
      <c r="B1" s="12"/>
      <c r="C1" s="13"/>
      <c r="D1" s="13"/>
      <c r="E1" s="13"/>
      <c r="F1" s="397" t="s">
        <v>115</v>
      </c>
      <c r="G1" s="398"/>
      <c r="H1" s="399"/>
      <c r="I1" s="397" t="s">
        <v>133</v>
      </c>
      <c r="J1" s="399"/>
    </row>
    <row r="2" spans="1:10" ht="13">
      <c r="A2" s="14" t="s">
        <v>1</v>
      </c>
      <c r="B2" s="15" t="s">
        <v>116</v>
      </c>
      <c r="C2" s="13" t="s">
        <v>2</v>
      </c>
      <c r="D2" s="13" t="s">
        <v>58</v>
      </c>
      <c r="E2" s="34" t="s">
        <v>117</v>
      </c>
      <c r="F2" s="46" t="s">
        <v>109</v>
      </c>
      <c r="G2" s="46" t="s">
        <v>154</v>
      </c>
      <c r="H2" s="214" t="s">
        <v>55</v>
      </c>
    </row>
    <row r="3" spans="1:10">
      <c r="A3" s="157" t="s">
        <v>3</v>
      </c>
      <c r="B3" s="43" t="s">
        <v>118</v>
      </c>
      <c r="C3" s="5">
        <v>70</v>
      </c>
      <c r="D3" s="37" t="s">
        <v>114</v>
      </c>
      <c r="E3">
        <v>1</v>
      </c>
      <c r="F3" s="61"/>
      <c r="G3" t="s">
        <v>132</v>
      </c>
      <c r="H3" s="213" t="s">
        <v>132</v>
      </c>
      <c r="I3" s="48" t="s">
        <v>187</v>
      </c>
    </row>
    <row r="4" spans="1:10">
      <c r="A4" s="159" t="s">
        <v>5</v>
      </c>
      <c r="B4" s="44" t="s">
        <v>119</v>
      </c>
      <c r="C4">
        <v>90</v>
      </c>
      <c r="D4" s="38" t="s">
        <v>114</v>
      </c>
      <c r="E4">
        <v>2</v>
      </c>
      <c r="F4" s="61"/>
      <c r="G4" t="s">
        <v>132</v>
      </c>
      <c r="H4" s="64"/>
      <c r="I4" s="48" t="s">
        <v>316</v>
      </c>
    </row>
    <row r="5" spans="1:10">
      <c r="A5" s="159" t="s">
        <v>6</v>
      </c>
      <c r="B5" s="44" t="s">
        <v>120</v>
      </c>
      <c r="C5">
        <v>80</v>
      </c>
      <c r="D5" s="38" t="s">
        <v>277</v>
      </c>
      <c r="E5">
        <v>3</v>
      </c>
      <c r="F5" s="61"/>
      <c r="G5" t="s">
        <v>132</v>
      </c>
      <c r="H5" s="64"/>
    </row>
    <row r="6" spans="1:10">
      <c r="A6" s="159" t="s">
        <v>7</v>
      </c>
      <c r="B6" s="44" t="s">
        <v>121</v>
      </c>
      <c r="C6">
        <v>90</v>
      </c>
      <c r="D6" s="38" t="s">
        <v>277</v>
      </c>
      <c r="E6">
        <v>4</v>
      </c>
      <c r="F6" s="61"/>
      <c r="G6" t="s">
        <v>132</v>
      </c>
      <c r="H6" s="64"/>
    </row>
    <row r="7" spans="1:10">
      <c r="A7" s="159" t="s">
        <v>8</v>
      </c>
      <c r="B7" s="44" t="s">
        <v>122</v>
      </c>
      <c r="C7">
        <v>30</v>
      </c>
      <c r="D7" s="38" t="s">
        <v>277</v>
      </c>
      <c r="E7">
        <v>5</v>
      </c>
      <c r="F7" s="61"/>
      <c r="G7" t="s">
        <v>132</v>
      </c>
      <c r="H7" s="64"/>
    </row>
    <row r="8" spans="1:10">
      <c r="A8" s="159" t="s">
        <v>9</v>
      </c>
      <c r="B8" s="44" t="s">
        <v>123</v>
      </c>
      <c r="C8">
        <v>70</v>
      </c>
      <c r="D8" s="38" t="s">
        <v>278</v>
      </c>
      <c r="E8">
        <v>6</v>
      </c>
      <c r="F8" s="61"/>
      <c r="G8" t="s">
        <v>132</v>
      </c>
      <c r="H8" s="64"/>
    </row>
    <row r="9" spans="1:10">
      <c r="A9" s="159" t="s">
        <v>10</v>
      </c>
      <c r="B9" s="44" t="s">
        <v>124</v>
      </c>
      <c r="C9">
        <v>80</v>
      </c>
      <c r="D9" s="38" t="s">
        <v>278</v>
      </c>
      <c r="E9">
        <v>7</v>
      </c>
      <c r="F9" s="61"/>
      <c r="G9" t="s">
        <v>132</v>
      </c>
      <c r="H9" s="64"/>
    </row>
    <row r="10" spans="1:10">
      <c r="A10" s="159" t="s">
        <v>11</v>
      </c>
      <c r="B10" s="44" t="s">
        <v>125</v>
      </c>
      <c r="C10">
        <v>50</v>
      </c>
      <c r="D10" s="38" t="s">
        <v>113</v>
      </c>
      <c r="E10">
        <v>8</v>
      </c>
      <c r="F10" s="61"/>
      <c r="G10" t="s">
        <v>132</v>
      </c>
      <c r="H10" s="64"/>
    </row>
    <row r="11" spans="1:10">
      <c r="A11" s="159" t="s">
        <v>12</v>
      </c>
      <c r="B11" s="44" t="s">
        <v>126</v>
      </c>
      <c r="C11">
        <v>30</v>
      </c>
      <c r="D11" s="38" t="s">
        <v>113</v>
      </c>
      <c r="E11">
        <v>9</v>
      </c>
      <c r="F11" s="61"/>
      <c r="G11" t="s">
        <v>132</v>
      </c>
      <c r="H11" s="64"/>
    </row>
    <row r="12" spans="1:10">
      <c r="A12" s="159" t="s">
        <v>16</v>
      </c>
      <c r="B12" s="216" t="s">
        <v>127</v>
      </c>
      <c r="C12" s="10">
        <v>0</v>
      </c>
      <c r="D12" s="38" t="s">
        <v>113</v>
      </c>
      <c r="E12">
        <v>10</v>
      </c>
      <c r="F12" s="61"/>
      <c r="G12" t="s">
        <v>132</v>
      </c>
      <c r="H12" s="64"/>
      <c r="I12" s="48"/>
    </row>
    <row r="13" spans="1:10">
      <c r="A13" s="159" t="s">
        <v>17</v>
      </c>
      <c r="B13" s="44" t="s">
        <v>128</v>
      </c>
      <c r="C13">
        <v>90</v>
      </c>
      <c r="D13" s="38" t="s">
        <v>113</v>
      </c>
      <c r="E13">
        <v>11</v>
      </c>
      <c r="F13" s="61"/>
      <c r="G13" t="s">
        <v>132</v>
      </c>
      <c r="H13" s="64"/>
      <c r="I13" s="48" t="s">
        <v>175</v>
      </c>
    </row>
    <row r="14" spans="1:10">
      <c r="A14" s="159" t="s">
        <v>18</v>
      </c>
      <c r="B14" s="44" t="s">
        <v>129</v>
      </c>
      <c r="C14">
        <v>90</v>
      </c>
      <c r="D14" s="38" t="s">
        <v>113</v>
      </c>
      <c r="E14">
        <v>12</v>
      </c>
      <c r="F14" s="61" t="s">
        <v>132</v>
      </c>
      <c r="H14" s="64"/>
    </row>
    <row r="15" spans="1:10">
      <c r="A15" s="159" t="s">
        <v>19</v>
      </c>
      <c r="B15" s="44" t="s">
        <v>130</v>
      </c>
      <c r="C15">
        <v>50</v>
      </c>
      <c r="D15" s="38" t="s">
        <v>113</v>
      </c>
      <c r="E15">
        <v>13</v>
      </c>
      <c r="F15" s="61" t="s">
        <v>132</v>
      </c>
      <c r="H15" s="64"/>
    </row>
    <row r="16" spans="1:10">
      <c r="A16" s="159" t="s">
        <v>20</v>
      </c>
      <c r="B16" s="44" t="s">
        <v>131</v>
      </c>
      <c r="C16">
        <v>60</v>
      </c>
      <c r="D16" s="38" t="s">
        <v>113</v>
      </c>
      <c r="E16">
        <v>14</v>
      </c>
      <c r="F16" s="61" t="s">
        <v>132</v>
      </c>
      <c r="H16" s="64"/>
    </row>
    <row r="17" spans="1:9">
      <c r="A17" s="4">
        <v>15</v>
      </c>
      <c r="B17" s="216" t="s">
        <v>361</v>
      </c>
      <c r="C17" s="10">
        <v>100</v>
      </c>
      <c r="D17" s="232" t="s">
        <v>356</v>
      </c>
      <c r="E17" s="10">
        <v>15</v>
      </c>
      <c r="F17" s="233"/>
      <c r="G17" s="10" t="s">
        <v>132</v>
      </c>
      <c r="H17" s="64"/>
      <c r="I17" s="47" t="s">
        <v>364</v>
      </c>
    </row>
    <row r="18" spans="1:9">
      <c r="A18" s="4" t="s">
        <v>359</v>
      </c>
      <c r="B18" s="216" t="s">
        <v>362</v>
      </c>
      <c r="C18" s="10">
        <v>100</v>
      </c>
      <c r="D18" s="232" t="s">
        <v>356</v>
      </c>
      <c r="E18" s="10">
        <v>16</v>
      </c>
      <c r="F18" s="233"/>
      <c r="G18" s="10" t="s">
        <v>132</v>
      </c>
      <c r="H18" s="64"/>
      <c r="I18" s="47" t="s">
        <v>366</v>
      </c>
    </row>
    <row r="19" spans="1:9">
      <c r="A19" s="4" t="s">
        <v>360</v>
      </c>
      <c r="B19" s="216" t="s">
        <v>363</v>
      </c>
      <c r="C19" s="10">
        <v>100</v>
      </c>
      <c r="D19" s="232" t="s">
        <v>356</v>
      </c>
      <c r="E19" s="10">
        <v>17</v>
      </c>
      <c r="F19" s="233"/>
      <c r="G19" s="10" t="s">
        <v>132</v>
      </c>
      <c r="H19" s="64"/>
      <c r="I19" s="47" t="s">
        <v>366</v>
      </c>
    </row>
    <row r="23" spans="1:9">
      <c r="E23" s="10"/>
    </row>
  </sheetData>
  <sortState xmlns:xlrd2="http://schemas.microsoft.com/office/spreadsheetml/2017/richdata2" ref="A3:F16">
    <sortCondition ref="A3:A16"/>
  </sortState>
  <mergeCells count="2">
    <mergeCell ref="F1:H1"/>
    <mergeCell ref="I1:J1"/>
  </mergeCells>
  <conditionalFormatting sqref="D3:D19">
    <cfRule type="expression" dxfId="305" priority="1" stopIfTrue="1">
      <formula>D$3="So"</formula>
    </cfRule>
    <cfRule type="expression" dxfId="304" priority="2">
      <formula>D$3="Sa"</formula>
    </cfRule>
  </conditionalFormatting>
  <pageMargins left="0.7" right="0.7" top="0.78740157499999996" bottom="0.78740157499999996" header="0.3" footer="0.3"/>
  <pageSetup paperSize="9" orientation="portrait" horizontalDpi="4294967293" verticalDpi="30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61B71-473B-48F2-A272-A3C354A6899F}">
  <sheetPr codeName="Tabelle7"/>
  <dimension ref="A1:BE42"/>
  <sheetViews>
    <sheetView zoomScale="115" zoomScaleNormal="115" workbookViewId="0">
      <pane xSplit="2" ySplit="7" topLeftCell="AB8" activePane="bottomRight" state="frozen"/>
      <selection pane="topRight" activeCell="C1" sqref="C1"/>
      <selection pane="bottomLeft" activeCell="A8" sqref="A8"/>
      <selection pane="bottomRight" activeCell="AF24" sqref="AF24"/>
    </sheetView>
  </sheetViews>
  <sheetFormatPr baseColWidth="10" defaultRowHeight="12.5"/>
  <cols>
    <col min="2" max="2" width="27.81640625" customWidth="1"/>
    <col min="3" max="3" width="18" bestFit="1" customWidth="1"/>
    <col min="4" max="45" width="6.1796875" customWidth="1"/>
    <col min="46" max="47" width="4" customWidth="1"/>
    <col min="48" max="48" width="11.81640625" customWidth="1"/>
    <col min="49" max="49" width="10" customWidth="1"/>
    <col min="50" max="50" width="31.36328125" customWidth="1"/>
    <col min="51" max="51" width="18.36328125" customWidth="1"/>
    <col min="52" max="52" width="15.453125" customWidth="1"/>
    <col min="53" max="53" width="13.6328125" customWidth="1"/>
    <col min="54" max="54" width="43.1796875" customWidth="1"/>
    <col min="55" max="55" width="10" customWidth="1"/>
    <col min="56" max="57" width="6" customWidth="1"/>
  </cols>
  <sheetData>
    <row r="1" spans="1:57" ht="13">
      <c r="A1" s="2" t="s">
        <v>42</v>
      </c>
      <c r="B1" s="7"/>
      <c r="C1" s="3"/>
      <c r="D1" s="21" t="s">
        <v>47</v>
      </c>
      <c r="E1" s="21"/>
      <c r="F1" s="407">
        <v>44986</v>
      </c>
      <c r="G1" s="408"/>
      <c r="H1" s="138" t="s">
        <v>227</v>
      </c>
      <c r="I1" s="138"/>
      <c r="J1" s="138"/>
      <c r="K1" s="138"/>
      <c r="L1" s="16" t="s">
        <v>228</v>
      </c>
      <c r="M1" s="16"/>
      <c r="N1" s="139">
        <v>7</v>
      </c>
      <c r="O1" s="138" t="s">
        <v>229</v>
      </c>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40" t="s">
        <v>230</v>
      </c>
      <c r="AW1" s="141">
        <v>31</v>
      </c>
      <c r="AX1" s="142" t="s">
        <v>231</v>
      </c>
      <c r="AY1" s="138"/>
      <c r="AZ1" s="138"/>
      <c r="BA1" s="138"/>
      <c r="BB1" s="143"/>
      <c r="BC1" s="138"/>
      <c r="BD1" s="138"/>
      <c r="BE1" s="138"/>
    </row>
    <row r="2" spans="1:57" ht="13">
      <c r="A2" s="6" t="s">
        <v>44</v>
      </c>
      <c r="B2" s="8"/>
      <c r="C2" s="144"/>
      <c r="D2" s="3" t="s">
        <v>46</v>
      </c>
      <c r="E2" s="16"/>
      <c r="F2" s="407">
        <v>45017</v>
      </c>
      <c r="G2" s="408"/>
      <c r="H2" s="138" t="s">
        <v>232</v>
      </c>
      <c r="I2" s="138"/>
      <c r="J2" s="138"/>
      <c r="K2" s="138"/>
      <c r="L2" s="16" t="s">
        <v>233</v>
      </c>
      <c r="M2" s="16"/>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45" t="s">
        <v>234</v>
      </c>
      <c r="AW2" s="146">
        <v>8</v>
      </c>
      <c r="AX2" s="147" t="s">
        <v>434</v>
      </c>
      <c r="AY2" s="138"/>
      <c r="AZ2" s="138"/>
      <c r="BA2" s="138"/>
      <c r="BB2" s="148" t="s">
        <v>235</v>
      </c>
    </row>
    <row r="3" spans="1:57" ht="13">
      <c r="A3" s="6"/>
      <c r="B3" s="144"/>
      <c r="C3" s="144"/>
      <c r="D3" s="149" t="str">
        <f>LEFT(TEXT(WEEKDAY(D4),"TTTT"),2)</f>
        <v>Mi</v>
      </c>
      <c r="E3" s="24" t="str">
        <f t="shared" ref="E3:AS3" si="0">LEFT(TEXT(WEEKDAY(E4),"TTTT"),2)</f>
        <v>Do</v>
      </c>
      <c r="F3" s="24" t="str">
        <f t="shared" si="0"/>
        <v>Fr</v>
      </c>
      <c r="G3" s="24" t="str">
        <f t="shared" si="0"/>
        <v>Sa</v>
      </c>
      <c r="H3" s="150" t="str">
        <f t="shared" si="0"/>
        <v>So</v>
      </c>
      <c r="I3" s="150" t="str">
        <f t="shared" si="0"/>
        <v>Mo</v>
      </c>
      <c r="J3" s="24" t="str">
        <f t="shared" si="0"/>
        <v>Di</v>
      </c>
      <c r="K3" s="24" t="str">
        <f t="shared" si="0"/>
        <v>Mi</v>
      </c>
      <c r="L3" s="24" t="str">
        <f t="shared" si="0"/>
        <v>Do</v>
      </c>
      <c r="M3" s="24" t="str">
        <f t="shared" si="0"/>
        <v>Fr</v>
      </c>
      <c r="N3" s="24" t="str">
        <f t="shared" si="0"/>
        <v>Sa</v>
      </c>
      <c r="O3" s="24" t="str">
        <f t="shared" si="0"/>
        <v>So</v>
      </c>
      <c r="P3" s="24" t="str">
        <f t="shared" si="0"/>
        <v>Mo</v>
      </c>
      <c r="Q3" s="24" t="str">
        <f t="shared" si="0"/>
        <v>Di</v>
      </c>
      <c r="R3" s="24" t="str">
        <f t="shared" si="0"/>
        <v>Mi</v>
      </c>
      <c r="S3" s="24" t="str">
        <f t="shared" si="0"/>
        <v>Do</v>
      </c>
      <c r="T3" s="24" t="str">
        <f t="shared" si="0"/>
        <v>Fr</v>
      </c>
      <c r="U3" s="24" t="str">
        <f t="shared" si="0"/>
        <v>Sa</v>
      </c>
      <c r="V3" s="24" t="str">
        <f t="shared" si="0"/>
        <v>So</v>
      </c>
      <c r="W3" s="24" t="str">
        <f t="shared" si="0"/>
        <v>Mo</v>
      </c>
      <c r="X3" s="24" t="str">
        <f t="shared" si="0"/>
        <v>Di</v>
      </c>
      <c r="Y3" s="24" t="str">
        <f t="shared" si="0"/>
        <v>Mi</v>
      </c>
      <c r="Z3" s="24" t="str">
        <f t="shared" si="0"/>
        <v>Do</v>
      </c>
      <c r="AA3" s="24" t="str">
        <f t="shared" si="0"/>
        <v>Fr</v>
      </c>
      <c r="AB3" s="24" t="str">
        <f t="shared" si="0"/>
        <v>Sa</v>
      </c>
      <c r="AC3" s="24" t="str">
        <f t="shared" si="0"/>
        <v>So</v>
      </c>
      <c r="AD3" s="24" t="str">
        <f t="shared" si="0"/>
        <v>Mo</v>
      </c>
      <c r="AE3" s="24" t="str">
        <f t="shared" si="0"/>
        <v>Di</v>
      </c>
      <c r="AF3" s="24" t="str">
        <f t="shared" si="0"/>
        <v>Mi</v>
      </c>
      <c r="AG3" s="24" t="str">
        <f t="shared" si="0"/>
        <v>Do</v>
      </c>
      <c r="AH3" s="24" t="str">
        <f t="shared" si="0"/>
        <v>Fr</v>
      </c>
      <c r="AI3" s="24" t="str">
        <f t="shared" si="0"/>
        <v>Sa</v>
      </c>
      <c r="AJ3" s="24" t="str">
        <f t="shared" si="0"/>
        <v>So</v>
      </c>
      <c r="AK3" s="24" t="str">
        <f t="shared" si="0"/>
        <v>Mo</v>
      </c>
      <c r="AL3" s="24" t="str">
        <f t="shared" si="0"/>
        <v>Di</v>
      </c>
      <c r="AM3" s="24" t="str">
        <f t="shared" si="0"/>
        <v>Mi</v>
      </c>
      <c r="AN3" s="24" t="str">
        <f t="shared" si="0"/>
        <v>Do</v>
      </c>
      <c r="AO3" s="24" t="str">
        <f t="shared" si="0"/>
        <v>Fr</v>
      </c>
      <c r="AP3" s="24" t="str">
        <f t="shared" si="0"/>
        <v>Sa</v>
      </c>
      <c r="AQ3" s="24" t="str">
        <f t="shared" si="0"/>
        <v>So</v>
      </c>
      <c r="AR3" s="24" t="str">
        <f t="shared" si="0"/>
        <v>Mo</v>
      </c>
      <c r="AS3" s="25" t="str">
        <f t="shared" si="0"/>
        <v>Di</v>
      </c>
      <c r="AT3" s="138"/>
      <c r="AU3" s="138"/>
      <c r="AV3" s="16"/>
      <c r="AW3" s="151" t="s">
        <v>236</v>
      </c>
      <c r="AX3" s="147" t="s">
        <v>237</v>
      </c>
      <c r="AY3" s="29" t="s">
        <v>238</v>
      </c>
      <c r="AZ3" s="29" t="s">
        <v>75</v>
      </c>
      <c r="BA3" s="138"/>
      <c r="BB3" s="171"/>
      <c r="BC3" s="152"/>
      <c r="BD3" s="152"/>
    </row>
    <row r="4" spans="1:57" ht="13">
      <c r="A4" s="6" t="s">
        <v>1</v>
      </c>
      <c r="B4" s="144" t="s">
        <v>116</v>
      </c>
      <c r="C4" s="144" t="s">
        <v>239</v>
      </c>
      <c r="D4" s="26">
        <f>$F$1-N1</f>
        <v>44979</v>
      </c>
      <c r="E4" s="27">
        <f>IF(D4+1&gt;=$F$2,"",D4+1)</f>
        <v>44980</v>
      </c>
      <c r="F4" s="27">
        <f t="shared" ref="F4:AS4" si="1">E4+1</f>
        <v>44981</v>
      </c>
      <c r="G4" s="27">
        <f t="shared" si="1"/>
        <v>44982</v>
      </c>
      <c r="H4" s="153">
        <f t="shared" si="1"/>
        <v>44983</v>
      </c>
      <c r="I4" s="153">
        <f t="shared" si="1"/>
        <v>44984</v>
      </c>
      <c r="J4" s="27">
        <f t="shared" si="1"/>
        <v>44985</v>
      </c>
      <c r="K4" s="301">
        <f t="shared" si="1"/>
        <v>44986</v>
      </c>
      <c r="L4" s="301">
        <f t="shared" si="1"/>
        <v>44987</v>
      </c>
      <c r="M4" s="301">
        <f t="shared" si="1"/>
        <v>44988</v>
      </c>
      <c r="N4" s="301">
        <f t="shared" si="1"/>
        <v>44989</v>
      </c>
      <c r="O4" s="301">
        <f t="shared" si="1"/>
        <v>44990</v>
      </c>
      <c r="P4" s="301">
        <f t="shared" si="1"/>
        <v>44991</v>
      </c>
      <c r="Q4" s="301">
        <f t="shared" si="1"/>
        <v>44992</v>
      </c>
      <c r="R4" s="301">
        <f t="shared" si="1"/>
        <v>44993</v>
      </c>
      <c r="S4" s="301">
        <f t="shared" si="1"/>
        <v>44994</v>
      </c>
      <c r="T4" s="301">
        <f t="shared" si="1"/>
        <v>44995</v>
      </c>
      <c r="U4" s="301">
        <f t="shared" si="1"/>
        <v>44996</v>
      </c>
      <c r="V4" s="301">
        <f t="shared" si="1"/>
        <v>44997</v>
      </c>
      <c r="W4" s="301">
        <f t="shared" si="1"/>
        <v>44998</v>
      </c>
      <c r="X4" s="301">
        <f t="shared" si="1"/>
        <v>44999</v>
      </c>
      <c r="Y4" s="301">
        <f t="shared" si="1"/>
        <v>45000</v>
      </c>
      <c r="Z4" s="301">
        <f t="shared" si="1"/>
        <v>45001</v>
      </c>
      <c r="AA4" s="301">
        <f t="shared" si="1"/>
        <v>45002</v>
      </c>
      <c r="AB4" s="301">
        <f t="shared" si="1"/>
        <v>45003</v>
      </c>
      <c r="AC4" s="301">
        <f t="shared" si="1"/>
        <v>45004</v>
      </c>
      <c r="AD4" s="301">
        <f t="shared" si="1"/>
        <v>45005</v>
      </c>
      <c r="AE4" s="301">
        <f t="shared" si="1"/>
        <v>45006</v>
      </c>
      <c r="AF4" s="301">
        <f t="shared" si="1"/>
        <v>45007</v>
      </c>
      <c r="AG4" s="301">
        <f t="shared" si="1"/>
        <v>45008</v>
      </c>
      <c r="AH4" s="27">
        <f t="shared" si="1"/>
        <v>45009</v>
      </c>
      <c r="AI4" s="27">
        <f t="shared" si="1"/>
        <v>45010</v>
      </c>
      <c r="AJ4" s="27">
        <f t="shared" si="1"/>
        <v>45011</v>
      </c>
      <c r="AK4" s="27">
        <f t="shared" si="1"/>
        <v>45012</v>
      </c>
      <c r="AL4" s="27">
        <f t="shared" si="1"/>
        <v>45013</v>
      </c>
      <c r="AM4" s="27">
        <f t="shared" si="1"/>
        <v>45014</v>
      </c>
      <c r="AN4" s="27">
        <f t="shared" si="1"/>
        <v>45015</v>
      </c>
      <c r="AO4" s="27">
        <f t="shared" si="1"/>
        <v>45016</v>
      </c>
      <c r="AP4" s="27">
        <f t="shared" si="1"/>
        <v>45017</v>
      </c>
      <c r="AQ4" s="27">
        <f t="shared" si="1"/>
        <v>45018</v>
      </c>
      <c r="AR4" s="27">
        <f t="shared" si="1"/>
        <v>45019</v>
      </c>
      <c r="AS4" s="28">
        <f t="shared" si="1"/>
        <v>45020</v>
      </c>
      <c r="AT4" s="138"/>
      <c r="AU4" s="138"/>
      <c r="AV4" s="154" t="s">
        <v>240</v>
      </c>
      <c r="AW4" s="154" t="s">
        <v>241</v>
      </c>
      <c r="AX4" s="30" t="s">
        <v>242</v>
      </c>
      <c r="AY4" s="30" t="s">
        <v>243</v>
      </c>
      <c r="AZ4" s="30" t="s">
        <v>76</v>
      </c>
      <c r="BA4" s="155" t="s">
        <v>244</v>
      </c>
      <c r="BB4" s="156"/>
      <c r="BC4" s="156"/>
      <c r="BD4" s="156"/>
    </row>
    <row r="5" spans="1:57">
      <c r="A5" s="157" t="s">
        <v>3</v>
      </c>
      <c r="B5" s="22" t="s">
        <v>118</v>
      </c>
      <c r="C5" s="37" t="s">
        <v>114</v>
      </c>
      <c r="D5" s="199"/>
      <c r="E5" s="199"/>
      <c r="F5" s="199"/>
      <c r="G5" s="199"/>
      <c r="H5" s="200"/>
      <c r="I5" s="200" t="s">
        <v>77</v>
      </c>
      <c r="J5" s="200" t="s">
        <v>77</v>
      </c>
      <c r="K5" s="199" t="s">
        <v>307</v>
      </c>
      <c r="L5" s="199" t="s">
        <v>81</v>
      </c>
      <c r="M5" s="204" t="s">
        <v>77</v>
      </c>
      <c r="N5" s="199" t="s">
        <v>307</v>
      </c>
      <c r="O5" s="199" t="s">
        <v>307</v>
      </c>
      <c r="P5" s="199"/>
      <c r="Q5" s="199" t="s">
        <v>77</v>
      </c>
      <c r="R5" s="199"/>
      <c r="S5" s="199"/>
      <c r="T5" s="199" t="s">
        <v>77</v>
      </c>
      <c r="U5" s="199" t="s">
        <v>307</v>
      </c>
      <c r="V5" s="199" t="s">
        <v>307</v>
      </c>
      <c r="W5" s="199"/>
      <c r="X5" s="206" t="s">
        <v>77</v>
      </c>
      <c r="Y5" s="199"/>
      <c r="Z5" s="199"/>
      <c r="AA5" s="199" t="s">
        <v>77</v>
      </c>
      <c r="AB5" s="199" t="s">
        <v>307</v>
      </c>
      <c r="AC5" s="199" t="s">
        <v>307</v>
      </c>
      <c r="AD5" s="199"/>
      <c r="AE5" s="199" t="s">
        <v>77</v>
      </c>
      <c r="AF5" s="199"/>
      <c r="AG5" s="199"/>
      <c r="AH5" s="199" t="s">
        <v>77</v>
      </c>
      <c r="AI5" s="199" t="s">
        <v>307</v>
      </c>
      <c r="AJ5" s="199" t="s">
        <v>307</v>
      </c>
      <c r="AK5" s="199"/>
      <c r="AL5" s="199" t="s">
        <v>77</v>
      </c>
      <c r="AM5" s="199"/>
      <c r="AN5" s="199"/>
      <c r="AO5" s="201" t="s">
        <v>77</v>
      </c>
      <c r="AP5" s="199"/>
      <c r="AQ5" s="199"/>
      <c r="AR5" s="199"/>
      <c r="AS5" s="202"/>
      <c r="AT5" s="138"/>
      <c r="AU5" s="138"/>
      <c r="AV5" s="205">
        <v>0</v>
      </c>
      <c r="AW5" s="205">
        <f>ROUND((AW$1-AW$2)*(_xlfn.XLOOKUP(A5,'ma-basisdaten'!$A$3:$A$19,'ma-basisdaten'!$C$3:$C$19)*8.4)/100,0)</f>
        <v>135</v>
      </c>
      <c r="AX5" s="205" t="s">
        <v>481</v>
      </c>
      <c r="AY5" s="315">
        <v>3</v>
      </c>
      <c r="AZ5" s="315">
        <v>0</v>
      </c>
      <c r="BA5" s="138"/>
      <c r="BB5" s="170">
        <v>0</v>
      </c>
      <c r="BC5" s="170">
        <v>0</v>
      </c>
      <c r="BD5" s="158"/>
    </row>
    <row r="6" spans="1:57">
      <c r="A6" s="159" t="s">
        <v>5</v>
      </c>
      <c r="B6" s="23" t="s">
        <v>119</v>
      </c>
      <c r="C6" s="38" t="s">
        <v>114</v>
      </c>
      <c r="D6" s="199" t="s">
        <v>78</v>
      </c>
      <c r="E6" s="199" t="s">
        <v>82</v>
      </c>
      <c r="F6" s="199" t="s">
        <v>78</v>
      </c>
      <c r="G6" s="199"/>
      <c r="H6" s="200"/>
      <c r="I6" s="200" t="s">
        <v>81</v>
      </c>
      <c r="J6" s="200" t="s">
        <v>82</v>
      </c>
      <c r="K6" s="199" t="s">
        <v>78</v>
      </c>
      <c r="L6" s="204"/>
      <c r="M6" s="199"/>
      <c r="N6" s="199"/>
      <c r="O6" s="199"/>
      <c r="P6" s="199"/>
      <c r="Q6" s="204"/>
      <c r="R6" s="199"/>
      <c r="S6" s="199"/>
      <c r="T6" s="199"/>
      <c r="U6" s="199" t="s">
        <v>307</v>
      </c>
      <c r="V6" s="199" t="s">
        <v>307</v>
      </c>
      <c r="W6" s="199"/>
      <c r="X6" s="199"/>
      <c r="Y6" s="199"/>
      <c r="Z6" s="199"/>
      <c r="AA6" s="199"/>
      <c r="AB6" s="199" t="s">
        <v>307</v>
      </c>
      <c r="AC6" s="199" t="s">
        <v>307</v>
      </c>
      <c r="AD6" s="199"/>
      <c r="AE6" s="199"/>
      <c r="AF6" s="199"/>
      <c r="AG6" s="199"/>
      <c r="AH6" s="199"/>
      <c r="AI6" s="199"/>
      <c r="AJ6" s="199"/>
      <c r="AK6" s="199"/>
      <c r="AL6" s="199"/>
      <c r="AM6" s="199" t="s">
        <v>313</v>
      </c>
      <c r="AN6" s="199"/>
      <c r="AO6" s="199"/>
      <c r="AP6" s="199"/>
      <c r="AQ6" s="199"/>
      <c r="AR6" s="199"/>
      <c r="AS6" s="202"/>
      <c r="AT6" s="138"/>
      <c r="AU6" s="138"/>
      <c r="AV6" s="207">
        <v>-20</v>
      </c>
      <c r="AW6" s="205">
        <f>ROUND((AW$1-AW$2)*(_xlfn.XLOOKUP(A6,'ma-basisdaten'!$A$3:$A$19,'ma-basisdaten'!$C$3:$C$19)*8.4)/100,0)</f>
        <v>174</v>
      </c>
      <c r="AX6" s="207"/>
      <c r="AY6" s="208">
        <v>2</v>
      </c>
      <c r="AZ6" s="208">
        <v>0</v>
      </c>
      <c r="BA6" s="138"/>
      <c r="BB6" s="170">
        <v>0</v>
      </c>
      <c r="BC6" s="170">
        <v>0</v>
      </c>
      <c r="BD6" s="158"/>
    </row>
    <row r="7" spans="1:57">
      <c r="A7" s="159" t="s">
        <v>6</v>
      </c>
      <c r="B7" s="23" t="s">
        <v>120</v>
      </c>
      <c r="C7" s="38" t="s">
        <v>277</v>
      </c>
      <c r="D7" s="198"/>
      <c r="E7" s="199"/>
      <c r="F7" s="203"/>
      <c r="G7" s="199" t="s">
        <v>78</v>
      </c>
      <c r="H7" s="200" t="s">
        <v>80</v>
      </c>
      <c r="I7" s="200" t="s">
        <v>79</v>
      </c>
      <c r="J7" s="200"/>
      <c r="K7" s="206" t="s">
        <v>418</v>
      </c>
      <c r="L7" s="206" t="s">
        <v>43</v>
      </c>
      <c r="M7" s="206" t="s">
        <v>43</v>
      </c>
      <c r="N7" s="206" t="s">
        <v>43</v>
      </c>
      <c r="O7" s="206" t="s">
        <v>43</v>
      </c>
      <c r="P7" s="206" t="s">
        <v>43</v>
      </c>
      <c r="Q7" s="206" t="s">
        <v>43</v>
      </c>
      <c r="R7" s="206" t="s">
        <v>43</v>
      </c>
      <c r="S7" s="206" t="s">
        <v>43</v>
      </c>
      <c r="T7" s="206" t="s">
        <v>43</v>
      </c>
      <c r="U7" s="206" t="s">
        <v>43</v>
      </c>
      <c r="V7" s="206" t="s">
        <v>245</v>
      </c>
      <c r="W7" s="204"/>
      <c r="X7" s="199" t="s">
        <v>307</v>
      </c>
      <c r="Y7" s="199"/>
      <c r="Z7" s="199"/>
      <c r="AA7" s="199"/>
      <c r="AB7" s="199"/>
      <c r="AC7" s="204"/>
      <c r="AD7" s="204"/>
      <c r="AE7" s="199" t="s">
        <v>307</v>
      </c>
      <c r="AF7" s="199"/>
      <c r="AG7" s="199" t="s">
        <v>80</v>
      </c>
      <c r="AH7" s="199"/>
      <c r="AI7" s="199"/>
      <c r="AJ7" s="204"/>
      <c r="AK7" s="204"/>
      <c r="AL7" s="199" t="s">
        <v>307</v>
      </c>
      <c r="AM7" s="199"/>
      <c r="AN7" s="199"/>
      <c r="AO7" s="199"/>
      <c r="AP7" s="199"/>
      <c r="AQ7" s="199"/>
      <c r="AR7" s="199"/>
      <c r="AS7" s="199"/>
      <c r="AT7" s="138"/>
      <c r="AU7" s="138"/>
      <c r="AV7" s="207">
        <v>-23</v>
      </c>
      <c r="AW7" s="205">
        <f>ROUND((AW$1-AW$2)*(_xlfn.XLOOKUP(A7,'ma-basisdaten'!$A$3:$A$19,'ma-basisdaten'!$C$3:$C$19)*8.4)/100,0)</f>
        <v>155</v>
      </c>
      <c r="AX7" s="207"/>
      <c r="AY7" s="208">
        <v>2</v>
      </c>
      <c r="AZ7" s="208">
        <v>2</v>
      </c>
      <c r="BA7" s="138"/>
      <c r="BB7" s="170">
        <v>0</v>
      </c>
      <c r="BC7" s="170">
        <v>0</v>
      </c>
      <c r="BD7" s="158"/>
    </row>
    <row r="8" spans="1:57">
      <c r="A8" s="159" t="s">
        <v>7</v>
      </c>
      <c r="B8" s="23" t="s">
        <v>121</v>
      </c>
      <c r="C8" s="38" t="s">
        <v>277</v>
      </c>
      <c r="D8" s="199" t="s">
        <v>82</v>
      </c>
      <c r="E8" s="199" t="s">
        <v>81</v>
      </c>
      <c r="F8" s="206" t="s">
        <v>81</v>
      </c>
      <c r="G8" s="199"/>
      <c r="H8" s="200"/>
      <c r="I8" s="200" t="s">
        <v>82</v>
      </c>
      <c r="J8" s="200" t="s">
        <v>313</v>
      </c>
      <c r="K8" s="199"/>
      <c r="L8" s="206" t="s">
        <v>78</v>
      </c>
      <c r="M8" s="204"/>
      <c r="N8" s="199"/>
      <c r="O8" s="199"/>
      <c r="P8" s="204"/>
      <c r="Q8" s="204"/>
      <c r="R8" s="204"/>
      <c r="U8" s="199"/>
      <c r="V8" s="199"/>
      <c r="W8" s="199"/>
      <c r="X8" s="199"/>
      <c r="Y8" s="199"/>
      <c r="Z8" s="199"/>
      <c r="AA8" s="199"/>
      <c r="AB8" s="199"/>
      <c r="AC8" s="199"/>
      <c r="AD8" s="199"/>
      <c r="AE8" s="199"/>
      <c r="AF8" s="199"/>
      <c r="AG8" s="199"/>
      <c r="AH8" s="199"/>
      <c r="AI8" s="199"/>
      <c r="AJ8" s="199"/>
      <c r="AK8" s="199"/>
      <c r="AL8" s="199"/>
      <c r="AM8" s="199"/>
      <c r="AN8" s="199"/>
      <c r="AO8" s="199"/>
      <c r="AP8" s="199"/>
      <c r="AQ8" s="199"/>
      <c r="AR8" s="199"/>
      <c r="AS8" s="199"/>
      <c r="AT8" s="138"/>
      <c r="AU8" s="138"/>
      <c r="AV8" s="207">
        <v>-19</v>
      </c>
      <c r="AW8" s="205">
        <f>ROUND((AW$1-AW$2)*(_xlfn.XLOOKUP(A8,'ma-basisdaten'!$A$3:$A$19,'ma-basisdaten'!$C$3:$C$19)*8.4)/100,0)</f>
        <v>174</v>
      </c>
      <c r="AX8" s="207"/>
      <c r="AY8" s="208">
        <v>3</v>
      </c>
      <c r="AZ8" s="208">
        <v>0</v>
      </c>
      <c r="BA8" s="138"/>
      <c r="BB8" s="170">
        <v>0</v>
      </c>
      <c r="BC8" s="170">
        <v>0</v>
      </c>
      <c r="BD8" s="158"/>
    </row>
    <row r="9" spans="1:57">
      <c r="A9" s="159" t="s">
        <v>8</v>
      </c>
      <c r="B9" s="23" t="s">
        <v>122</v>
      </c>
      <c r="C9" s="38" t="s">
        <v>277</v>
      </c>
      <c r="D9" s="199"/>
      <c r="E9" s="199" t="s">
        <v>81</v>
      </c>
      <c r="F9" s="199"/>
      <c r="G9" s="199"/>
      <c r="H9" s="200" t="s">
        <v>79</v>
      </c>
      <c r="I9" s="200"/>
      <c r="J9" s="200"/>
      <c r="K9" s="199"/>
      <c r="L9" s="199"/>
      <c r="M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t="s">
        <v>307</v>
      </c>
      <c r="AN9" s="199"/>
      <c r="AO9" s="199"/>
      <c r="AP9" s="199"/>
      <c r="AQ9" s="199"/>
      <c r="AR9" s="199"/>
      <c r="AS9" s="199"/>
      <c r="AT9" s="138"/>
      <c r="AU9" s="138"/>
      <c r="AV9" s="207">
        <v>-2</v>
      </c>
      <c r="AW9" s="205">
        <f>ROUND((AW$1-AW$2)*(_xlfn.XLOOKUP(A9,'ma-basisdaten'!$A$3:$A$19,'ma-basisdaten'!$C$3:$C$19)*8.4)/100,0)</f>
        <v>58</v>
      </c>
      <c r="AX9" s="207"/>
      <c r="AY9" s="208">
        <v>1</v>
      </c>
      <c r="AZ9" s="208">
        <v>1</v>
      </c>
      <c r="BA9" s="138"/>
      <c r="BB9" s="170">
        <v>0</v>
      </c>
      <c r="BC9" s="170">
        <v>0</v>
      </c>
      <c r="BD9" s="158"/>
    </row>
    <row r="10" spans="1:57">
      <c r="A10" s="159" t="s">
        <v>9</v>
      </c>
      <c r="B10" s="23" t="s">
        <v>123</v>
      </c>
      <c r="C10" s="38" t="s">
        <v>278</v>
      </c>
      <c r="D10" s="198" t="s">
        <v>81</v>
      </c>
      <c r="E10" s="199" t="s">
        <v>81</v>
      </c>
      <c r="F10" s="199" t="s">
        <v>163</v>
      </c>
      <c r="G10" s="199"/>
      <c r="H10" s="200"/>
      <c r="I10" s="200"/>
      <c r="J10" s="200" t="s">
        <v>78</v>
      </c>
      <c r="K10" s="199" t="s">
        <v>80</v>
      </c>
      <c r="L10" s="206" t="s">
        <v>81</v>
      </c>
      <c r="M10" s="199"/>
      <c r="N10" s="199"/>
      <c r="O10" s="199"/>
      <c r="P10" s="199" t="s">
        <v>307</v>
      </c>
      <c r="Q10" s="199" t="s">
        <v>78</v>
      </c>
      <c r="R10" s="199"/>
      <c r="S10" s="199" t="s">
        <v>81</v>
      </c>
      <c r="T10" s="206" t="s">
        <v>419</v>
      </c>
      <c r="U10" s="199" t="s">
        <v>43</v>
      </c>
      <c r="V10" s="199" t="s">
        <v>43</v>
      </c>
      <c r="W10" s="199" t="s">
        <v>43</v>
      </c>
      <c r="X10" s="199" t="s">
        <v>43</v>
      </c>
      <c r="Y10" s="199" t="s">
        <v>43</v>
      </c>
      <c r="Z10" s="199" t="s">
        <v>43</v>
      </c>
      <c r="AA10" s="199" t="s">
        <v>43</v>
      </c>
      <c r="AB10" s="199" t="s">
        <v>43</v>
      </c>
      <c r="AC10" s="199" t="s">
        <v>245</v>
      </c>
      <c r="AD10" s="199" t="s">
        <v>307</v>
      </c>
      <c r="AE10" s="199" t="s">
        <v>78</v>
      </c>
      <c r="AF10" s="199"/>
      <c r="AG10" s="199" t="s">
        <v>81</v>
      </c>
      <c r="AH10" s="199"/>
      <c r="AI10" s="199"/>
      <c r="AJ10" s="199"/>
      <c r="AK10" s="199" t="s">
        <v>307</v>
      </c>
      <c r="AL10" s="199" t="s">
        <v>78</v>
      </c>
      <c r="AM10" s="199"/>
      <c r="AN10" s="199" t="s">
        <v>81</v>
      </c>
      <c r="AO10" s="199"/>
      <c r="AP10" s="199"/>
      <c r="AQ10" s="199"/>
      <c r="AS10" s="199"/>
      <c r="AT10" s="138"/>
      <c r="AU10" s="138"/>
      <c r="AV10" s="207">
        <v>-12</v>
      </c>
      <c r="AW10" s="205">
        <f>ROUND((AW$1-AW$2)*(_xlfn.XLOOKUP(A10,'ma-basisdaten'!$A$3:$A$19,'ma-basisdaten'!$C$3:$C$19)*8.4)/100,0)</f>
        <v>135</v>
      </c>
      <c r="AX10" s="207"/>
      <c r="AY10" s="208">
        <v>2</v>
      </c>
      <c r="AZ10" s="208">
        <v>0</v>
      </c>
      <c r="BA10" s="138"/>
      <c r="BB10" s="170">
        <v>0</v>
      </c>
      <c r="BC10" s="170">
        <v>0</v>
      </c>
      <c r="BD10" s="158"/>
    </row>
    <row r="11" spans="1:57">
      <c r="A11" s="159" t="s">
        <v>10</v>
      </c>
      <c r="B11" s="23" t="s">
        <v>124</v>
      </c>
      <c r="C11" s="38" t="s">
        <v>278</v>
      </c>
      <c r="D11" s="199" t="s">
        <v>432</v>
      </c>
      <c r="E11" s="199"/>
      <c r="F11" s="199"/>
      <c r="G11" s="199" t="s">
        <v>80</v>
      </c>
      <c r="H11" s="211" t="s">
        <v>78</v>
      </c>
      <c r="I11" s="200" t="s">
        <v>81</v>
      </c>
      <c r="J11" s="200"/>
      <c r="K11" s="199"/>
      <c r="L11" s="199"/>
      <c r="M11" s="199"/>
      <c r="N11" s="298" t="s">
        <v>307</v>
      </c>
      <c r="O11" s="298" t="s">
        <v>307</v>
      </c>
      <c r="P11" s="199"/>
      <c r="Q11" s="199"/>
      <c r="R11" s="199"/>
      <c r="S11" s="199" t="s">
        <v>78</v>
      </c>
      <c r="T11" s="199"/>
      <c r="U11" s="199"/>
      <c r="V11" s="199"/>
      <c r="W11" s="199"/>
      <c r="X11" s="199"/>
      <c r="Y11" s="199"/>
      <c r="Z11" s="199"/>
      <c r="AA11" s="199"/>
      <c r="AB11" s="199"/>
      <c r="AC11" s="199"/>
      <c r="AD11" s="199"/>
      <c r="AE11" s="199"/>
      <c r="AF11" s="204"/>
      <c r="AG11" s="199"/>
      <c r="AH11" s="199"/>
      <c r="AI11" s="298"/>
      <c r="AJ11" s="298"/>
      <c r="AK11" s="199"/>
      <c r="AL11" s="199"/>
      <c r="AM11" s="199"/>
      <c r="AN11" s="199"/>
      <c r="AO11" s="199"/>
      <c r="AP11" s="199"/>
      <c r="AQ11" s="199"/>
      <c r="AR11" s="199"/>
      <c r="AS11" s="199"/>
      <c r="AT11" s="138"/>
      <c r="AU11" s="138"/>
      <c r="AV11" s="207">
        <v>-16</v>
      </c>
      <c r="AW11" s="205">
        <f>ROUND((AW$1-AW$2)*(_xlfn.XLOOKUP(A11,'ma-basisdaten'!$A$3:$A$19,'ma-basisdaten'!$C$3:$C$19)*8.4)/100,0)</f>
        <v>155</v>
      </c>
      <c r="AX11" s="207"/>
      <c r="AY11" s="208">
        <v>2</v>
      </c>
      <c r="AZ11" s="208">
        <v>0</v>
      </c>
      <c r="BA11" s="138"/>
      <c r="BB11" s="170">
        <v>0</v>
      </c>
      <c r="BC11" s="170">
        <v>0</v>
      </c>
      <c r="BD11" s="158"/>
    </row>
    <row r="12" spans="1:57">
      <c r="A12" s="159" t="s">
        <v>11</v>
      </c>
      <c r="B12" s="23" t="s">
        <v>125</v>
      </c>
      <c r="C12" s="38" t="s">
        <v>113</v>
      </c>
      <c r="D12" s="199" t="s">
        <v>79</v>
      </c>
      <c r="E12" s="199" t="s">
        <v>78</v>
      </c>
      <c r="F12" s="199" t="s">
        <v>79</v>
      </c>
      <c r="G12" s="199"/>
      <c r="H12" s="200"/>
      <c r="I12" s="218"/>
      <c r="J12" s="200"/>
      <c r="K12" s="199"/>
      <c r="L12" s="199"/>
      <c r="M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204"/>
      <c r="AO12" s="204"/>
      <c r="AP12" s="199"/>
      <c r="AQ12" s="199"/>
      <c r="AR12" s="199"/>
      <c r="AS12" s="199"/>
      <c r="AT12" s="138"/>
      <c r="AU12" s="138"/>
      <c r="AV12" s="207">
        <v>-7</v>
      </c>
      <c r="AW12" s="205">
        <f>ROUND((AW$1-AW$2)*(_xlfn.XLOOKUP(A12,'ma-basisdaten'!$A$3:$A$19,'ma-basisdaten'!$C$3:$C$19)*8.4)/100,0)</f>
        <v>97</v>
      </c>
      <c r="AX12" s="207"/>
      <c r="AY12" s="208">
        <v>3</v>
      </c>
      <c r="AZ12" s="208">
        <v>1</v>
      </c>
      <c r="BA12" s="138"/>
      <c r="BB12" s="170">
        <v>0</v>
      </c>
      <c r="BC12" s="170">
        <v>0</v>
      </c>
      <c r="BD12" s="158"/>
    </row>
    <row r="13" spans="1:57" s="49" customFormat="1">
      <c r="A13" s="209" t="s">
        <v>12</v>
      </c>
      <c r="B13" s="210" t="s">
        <v>126</v>
      </c>
      <c r="C13" s="207" t="s">
        <v>113</v>
      </c>
      <c r="D13" s="206"/>
      <c r="E13" s="206"/>
      <c r="F13" s="206"/>
      <c r="G13" s="206" t="s">
        <v>79</v>
      </c>
      <c r="H13" s="211" t="s">
        <v>78</v>
      </c>
      <c r="I13" s="211"/>
      <c r="J13" s="200"/>
      <c r="K13" s="199"/>
      <c r="L13" s="206"/>
      <c r="M13" s="206"/>
      <c r="N13" s="199"/>
      <c r="O13" s="199"/>
      <c r="P13" s="206"/>
      <c r="Q13" s="206" t="s">
        <v>79</v>
      </c>
      <c r="R13" s="206"/>
      <c r="S13" s="206"/>
      <c r="T13" s="206"/>
      <c r="U13" s="206"/>
      <c r="V13" s="206"/>
      <c r="W13" s="206"/>
      <c r="X13" s="206" t="s">
        <v>79</v>
      </c>
      <c r="Y13" s="206"/>
      <c r="Z13" s="206"/>
      <c r="AA13" s="206"/>
      <c r="AB13" s="206"/>
      <c r="AC13" s="206"/>
      <c r="AD13" s="206"/>
      <c r="AE13" s="206" t="s">
        <v>79</v>
      </c>
      <c r="AF13" s="206"/>
      <c r="AG13" s="206"/>
      <c r="AH13" s="206"/>
      <c r="AI13" s="206"/>
      <c r="AJ13" s="206"/>
      <c r="AK13" s="206"/>
      <c r="AL13" s="206" t="s">
        <v>79</v>
      </c>
      <c r="AM13" s="206"/>
      <c r="AN13" s="206"/>
      <c r="AO13" s="206"/>
      <c r="AP13" s="206"/>
      <c r="AQ13" s="206"/>
      <c r="AR13" s="206"/>
      <c r="AS13" s="206"/>
      <c r="AT13" s="212"/>
      <c r="AU13" s="212"/>
      <c r="AV13" s="207">
        <v>-1</v>
      </c>
      <c r="AW13" s="205">
        <f>ROUND((AW$1-AW$2)*(_xlfn.XLOOKUP(A13,'ma-basisdaten'!$A$3:$A$19,'ma-basisdaten'!$C$3:$C$19)*8.4)/100,0)</f>
        <v>58</v>
      </c>
      <c r="AX13" s="207"/>
      <c r="AY13" s="208">
        <v>3</v>
      </c>
      <c r="AZ13" s="208">
        <v>0</v>
      </c>
      <c r="BA13" s="212"/>
      <c r="BB13" s="208">
        <v>0</v>
      </c>
      <c r="BC13" s="208">
        <v>0</v>
      </c>
      <c r="BD13" s="208"/>
    </row>
    <row r="14" spans="1:57" s="294" customFormat="1">
      <c r="A14" s="291" t="s">
        <v>16</v>
      </c>
      <c r="B14" s="292" t="s">
        <v>127</v>
      </c>
      <c r="C14" s="293" t="s">
        <v>113</v>
      </c>
      <c r="D14" s="298" t="s">
        <v>307</v>
      </c>
      <c r="E14" s="298" t="s">
        <v>307</v>
      </c>
      <c r="F14" s="298" t="s">
        <v>307</v>
      </c>
      <c r="G14" s="298" t="s">
        <v>307</v>
      </c>
      <c r="H14" s="298" t="s">
        <v>307</v>
      </c>
      <c r="I14" s="298" t="s">
        <v>307</v>
      </c>
      <c r="J14" s="298" t="s">
        <v>307</v>
      </c>
      <c r="K14" s="298" t="s">
        <v>307</v>
      </c>
      <c r="L14" s="298" t="s">
        <v>307</v>
      </c>
      <c r="M14" s="298" t="s">
        <v>307</v>
      </c>
      <c r="N14" s="298" t="s">
        <v>307</v>
      </c>
      <c r="O14" s="298" t="s">
        <v>307</v>
      </c>
      <c r="P14" s="298" t="s">
        <v>307</v>
      </c>
      <c r="Q14" s="298" t="s">
        <v>307</v>
      </c>
      <c r="R14" s="298" t="s">
        <v>307</v>
      </c>
      <c r="S14" s="298" t="s">
        <v>307</v>
      </c>
      <c r="T14" s="298" t="s">
        <v>307</v>
      </c>
      <c r="U14" s="298" t="s">
        <v>307</v>
      </c>
      <c r="V14" s="298" t="s">
        <v>307</v>
      </c>
      <c r="W14" s="298" t="s">
        <v>307</v>
      </c>
      <c r="X14" s="298" t="s">
        <v>307</v>
      </c>
      <c r="Y14" s="298" t="s">
        <v>307</v>
      </c>
      <c r="Z14" s="298" t="s">
        <v>307</v>
      </c>
      <c r="AA14" s="298" t="s">
        <v>307</v>
      </c>
      <c r="AB14" s="298" t="s">
        <v>307</v>
      </c>
      <c r="AC14" s="298" t="s">
        <v>307</v>
      </c>
      <c r="AD14" s="298" t="s">
        <v>307</v>
      </c>
      <c r="AE14" s="298" t="s">
        <v>307</v>
      </c>
      <c r="AF14" s="298" t="s">
        <v>307</v>
      </c>
      <c r="AG14" s="298" t="s">
        <v>307</v>
      </c>
      <c r="AH14" s="298" t="s">
        <v>307</v>
      </c>
      <c r="AI14" s="298" t="s">
        <v>307</v>
      </c>
      <c r="AJ14" s="298" t="s">
        <v>307</v>
      </c>
      <c r="AK14" s="298" t="s">
        <v>307</v>
      </c>
      <c r="AL14" s="298" t="s">
        <v>307</v>
      </c>
      <c r="AM14" s="298" t="s">
        <v>307</v>
      </c>
      <c r="AN14" s="298" t="s">
        <v>307</v>
      </c>
      <c r="AO14" s="298" t="s">
        <v>307</v>
      </c>
      <c r="AP14" s="298" t="s">
        <v>307</v>
      </c>
      <c r="AQ14" s="298" t="s">
        <v>307</v>
      </c>
      <c r="AR14" s="298" t="s">
        <v>307</v>
      </c>
      <c r="AS14" s="298" t="s">
        <v>307</v>
      </c>
      <c r="AV14" s="207">
        <v>-35</v>
      </c>
      <c r="AW14" s="295">
        <f>ROUND((AW$1-AW$2)*(_xlfn.XLOOKUP(A14,'ma-basisdaten'!$A$3:$A$19,'ma-basisdaten'!$C$3:$C$19)*8.4)/100,0)</f>
        <v>0</v>
      </c>
      <c r="AX14" s="474"/>
      <c r="AY14" s="208">
        <v>4</v>
      </c>
      <c r="AZ14" s="208">
        <v>1</v>
      </c>
      <c r="BB14" s="296">
        <v>0</v>
      </c>
      <c r="BC14" s="296">
        <v>0</v>
      </c>
      <c r="BD14" s="297"/>
    </row>
    <row r="15" spans="1:57">
      <c r="A15" s="159" t="s">
        <v>17</v>
      </c>
      <c r="B15" s="23" t="s">
        <v>128</v>
      </c>
      <c r="C15" s="38" t="s">
        <v>113</v>
      </c>
      <c r="D15" s="290"/>
      <c r="E15" s="204"/>
      <c r="F15" s="204"/>
      <c r="G15" s="204"/>
      <c r="H15" s="218"/>
      <c r="I15" s="211" t="s">
        <v>78</v>
      </c>
      <c r="J15" s="211" t="s">
        <v>79</v>
      </c>
      <c r="K15" s="204" t="s">
        <v>162</v>
      </c>
      <c r="L15" s="204"/>
      <c r="N15" s="199"/>
      <c r="O15" s="199"/>
      <c r="Q15" s="199"/>
      <c r="R15" s="204" t="s">
        <v>162</v>
      </c>
      <c r="U15" s="199"/>
      <c r="V15" s="199"/>
      <c r="W15" s="199"/>
      <c r="X15" s="199"/>
      <c r="Y15" s="204" t="s">
        <v>162</v>
      </c>
      <c r="Z15" s="199"/>
      <c r="AA15" s="199"/>
      <c r="AB15" s="206"/>
      <c r="AC15" s="199"/>
      <c r="AD15" s="199"/>
      <c r="AE15" s="199"/>
      <c r="AF15" s="199"/>
      <c r="AG15" s="199"/>
      <c r="AH15" s="199"/>
      <c r="AI15" s="199"/>
      <c r="AJ15" s="199"/>
      <c r="AK15" s="199"/>
      <c r="AL15" s="199"/>
      <c r="AM15" s="199"/>
      <c r="AN15" s="199"/>
      <c r="AO15" s="199"/>
      <c r="AP15" s="199"/>
      <c r="AQ15" s="199"/>
      <c r="AR15" s="199"/>
      <c r="AS15" s="199"/>
      <c r="AT15" s="138"/>
      <c r="AU15" s="138"/>
      <c r="AV15" s="207">
        <v>-48</v>
      </c>
      <c r="AW15" s="205">
        <f>ROUND((AW$1-AW$2)*(_xlfn.XLOOKUP(A15,'ma-basisdaten'!$A$3:$A$19,'ma-basisdaten'!$C$3:$C$19)*8.4)/100,0)</f>
        <v>174</v>
      </c>
      <c r="AX15" s="207" t="s">
        <v>439</v>
      </c>
      <c r="AY15" s="208">
        <v>3</v>
      </c>
      <c r="AZ15" s="208">
        <v>0</v>
      </c>
      <c r="BA15" s="138"/>
      <c r="BB15" s="170">
        <v>0</v>
      </c>
      <c r="BC15" s="170">
        <v>0</v>
      </c>
      <c r="BD15" s="158"/>
    </row>
    <row r="16" spans="1:57">
      <c r="A16" s="159" t="s">
        <v>18</v>
      </c>
      <c r="B16" s="23" t="s">
        <v>129</v>
      </c>
      <c r="C16" s="38" t="s">
        <v>113</v>
      </c>
      <c r="D16" s="316" t="s">
        <v>87</v>
      </c>
      <c r="E16" s="206" t="s">
        <v>86</v>
      </c>
      <c r="F16" s="206" t="s">
        <v>86</v>
      </c>
      <c r="G16" s="206"/>
      <c r="H16" s="211"/>
      <c r="I16" s="211" t="s">
        <v>89</v>
      </c>
      <c r="J16" s="211" t="s">
        <v>85</v>
      </c>
      <c r="L16" s="199"/>
      <c r="M16" s="199"/>
      <c r="N16" s="199"/>
      <c r="O16" s="199"/>
      <c r="P16" s="204"/>
      <c r="Q16" s="204"/>
      <c r="S16" s="204"/>
      <c r="T16" s="204"/>
      <c r="U16" s="199"/>
      <c r="V16" s="199"/>
      <c r="W16" s="199"/>
      <c r="X16" s="199"/>
      <c r="Z16" s="199" t="s">
        <v>86</v>
      </c>
      <c r="AA16" s="199"/>
      <c r="AB16" s="199"/>
      <c r="AC16" s="199"/>
      <c r="AD16" s="199"/>
      <c r="AE16" s="199"/>
      <c r="AF16" s="199"/>
      <c r="AG16" s="199"/>
      <c r="AH16" s="199"/>
      <c r="AI16" s="199"/>
      <c r="AJ16" s="199"/>
      <c r="AK16" s="199"/>
      <c r="AL16" s="199"/>
      <c r="AM16" s="199"/>
      <c r="AN16" s="199"/>
      <c r="AO16" s="199"/>
      <c r="AP16" s="199"/>
      <c r="AQ16" s="199"/>
      <c r="AR16" s="199"/>
      <c r="AS16" s="199"/>
      <c r="AT16" s="138"/>
      <c r="AU16" s="138"/>
      <c r="AV16" s="207">
        <v>-36</v>
      </c>
      <c r="AW16" s="205">
        <f>ROUND((AW$1-AW$2)*(_xlfn.XLOOKUP(A16,'ma-basisdaten'!$A$3:$A$19,'ma-basisdaten'!$C$3:$C$19)*8.4)/100,0)</f>
        <v>174</v>
      </c>
      <c r="AX16" s="207"/>
      <c r="AY16" s="208">
        <v>3</v>
      </c>
      <c r="AZ16" s="208">
        <v>0</v>
      </c>
      <c r="BA16" s="138"/>
      <c r="BB16" s="170">
        <v>0</v>
      </c>
      <c r="BC16" s="170">
        <v>0</v>
      </c>
      <c r="BD16" s="158"/>
    </row>
    <row r="17" spans="1:57">
      <c r="A17" s="159" t="s">
        <v>19</v>
      </c>
      <c r="B17" s="23" t="s">
        <v>130</v>
      </c>
      <c r="C17" s="38" t="s">
        <v>113</v>
      </c>
      <c r="D17" s="316" t="s">
        <v>85</v>
      </c>
      <c r="E17" s="206" t="s">
        <v>88</v>
      </c>
      <c r="F17" s="206" t="s">
        <v>89</v>
      </c>
      <c r="G17" s="206"/>
      <c r="H17" s="211"/>
      <c r="I17" s="211"/>
      <c r="J17" s="211" t="s">
        <v>87</v>
      </c>
      <c r="K17" s="199"/>
      <c r="L17" s="204"/>
      <c r="M17" s="19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38"/>
      <c r="AU17" s="138"/>
      <c r="AV17" s="207">
        <v>-23</v>
      </c>
      <c r="AW17" s="205">
        <f>ROUND((AW$1-AW$2)*(_xlfn.XLOOKUP(A17,'ma-basisdaten'!$A$3:$A$19,'ma-basisdaten'!$C$3:$C$19)*8.4)/100,0)</f>
        <v>97</v>
      </c>
      <c r="AX17" s="207"/>
      <c r="AY17" s="208">
        <v>3</v>
      </c>
      <c r="AZ17" s="208">
        <v>0</v>
      </c>
      <c r="BA17" s="138"/>
      <c r="BB17" s="170">
        <v>0</v>
      </c>
      <c r="BC17" s="170">
        <v>0</v>
      </c>
      <c r="BD17" s="158"/>
    </row>
    <row r="18" spans="1:57">
      <c r="A18" s="159" t="s">
        <v>20</v>
      </c>
      <c r="B18" s="23" t="s">
        <v>131</v>
      </c>
      <c r="C18" s="38" t="s">
        <v>113</v>
      </c>
      <c r="D18" s="316"/>
      <c r="E18" s="206"/>
      <c r="F18" s="206"/>
      <c r="G18" s="206" t="s">
        <v>84</v>
      </c>
      <c r="H18" s="206" t="s">
        <v>84</v>
      </c>
      <c r="I18" s="211" t="s">
        <v>85</v>
      </c>
      <c r="J18" s="211"/>
      <c r="K18" s="199"/>
      <c r="L18" s="204"/>
      <c r="M18" s="199"/>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38"/>
      <c r="AU18" s="138"/>
      <c r="AV18" s="207">
        <v>-6</v>
      </c>
      <c r="AW18" s="205">
        <f>ROUND((AW$1-AW$2)*(_xlfn.XLOOKUP(A18,'ma-basisdaten'!$A$3:$A$19,'ma-basisdaten'!$C$3:$C$19)*8.4)/100,0)</f>
        <v>116</v>
      </c>
      <c r="AX18" s="207" t="s">
        <v>486</v>
      </c>
      <c r="AY18" s="208">
        <v>2</v>
      </c>
      <c r="AZ18" s="208">
        <v>1</v>
      </c>
      <c r="BA18" s="138"/>
      <c r="BB18" s="170">
        <v>0</v>
      </c>
      <c r="BC18" s="170">
        <v>0</v>
      </c>
      <c r="BD18" s="158"/>
    </row>
    <row r="19" spans="1:57">
      <c r="A19" s="18" t="s">
        <v>365</v>
      </c>
      <c r="B19" s="216" t="s">
        <v>361</v>
      </c>
      <c r="C19" s="38" t="s">
        <v>356</v>
      </c>
      <c r="D19" s="316" t="s">
        <v>410</v>
      </c>
      <c r="E19" s="206" t="s">
        <v>353</v>
      </c>
      <c r="F19" s="206" t="s">
        <v>352</v>
      </c>
      <c r="G19" s="206"/>
      <c r="H19" s="211"/>
      <c r="I19" s="211" t="s">
        <v>353</v>
      </c>
      <c r="J19" s="211" t="s">
        <v>352</v>
      </c>
      <c r="K19" s="199" t="s">
        <v>410</v>
      </c>
      <c r="L19" s="204"/>
      <c r="M19" s="206"/>
      <c r="N19" s="206"/>
      <c r="O19" s="199"/>
      <c r="P19" s="199"/>
      <c r="Q19" s="199"/>
      <c r="R19" s="199" t="s">
        <v>410</v>
      </c>
      <c r="S19" s="199" t="s">
        <v>410</v>
      </c>
      <c r="T19" s="199"/>
      <c r="U19" s="199"/>
      <c r="V19" s="199"/>
      <c r="W19" s="199"/>
      <c r="X19" s="199"/>
      <c r="Y19" s="199" t="s">
        <v>410</v>
      </c>
      <c r="Z19" s="199"/>
      <c r="AA19" s="199"/>
      <c r="AB19" s="199"/>
      <c r="AC19" s="199"/>
      <c r="AD19" s="199"/>
      <c r="AE19" s="204"/>
      <c r="AF19" s="199" t="s">
        <v>410</v>
      </c>
      <c r="AG19" s="199"/>
      <c r="AH19" s="199"/>
      <c r="AI19" s="199"/>
      <c r="AJ19" s="199"/>
      <c r="AK19" s="199"/>
      <c r="AL19" s="199"/>
      <c r="AM19" s="199" t="s">
        <v>410</v>
      </c>
      <c r="AN19" s="206" t="s">
        <v>425</v>
      </c>
      <c r="AO19" s="199" t="s">
        <v>410</v>
      </c>
      <c r="AP19" s="199"/>
      <c r="AQ19" s="199"/>
      <c r="AR19" s="199"/>
      <c r="AS19" s="199"/>
      <c r="AT19" s="138"/>
      <c r="AU19" s="138"/>
      <c r="AV19" s="207">
        <v>-15</v>
      </c>
      <c r="AW19" s="205">
        <v>184</v>
      </c>
      <c r="AX19" s="207" t="s">
        <v>487</v>
      </c>
      <c r="AY19" s="208">
        <v>3</v>
      </c>
      <c r="AZ19" s="208">
        <v>0</v>
      </c>
      <c r="BA19" s="138"/>
      <c r="BB19" s="170">
        <v>0</v>
      </c>
      <c r="BC19" s="170">
        <v>0</v>
      </c>
      <c r="BD19" s="158"/>
    </row>
    <row r="20" spans="1:57">
      <c r="A20" s="18" t="s">
        <v>359</v>
      </c>
      <c r="B20" s="216" t="s">
        <v>362</v>
      </c>
      <c r="C20" s="38" t="s">
        <v>356</v>
      </c>
      <c r="D20" s="316" t="s">
        <v>353</v>
      </c>
      <c r="E20" s="206" t="s">
        <v>410</v>
      </c>
      <c r="F20" s="206" t="s">
        <v>410</v>
      </c>
      <c r="G20" s="206" t="s">
        <v>352</v>
      </c>
      <c r="H20" s="211"/>
      <c r="I20" s="211" t="s">
        <v>410</v>
      </c>
      <c r="J20" s="211" t="s">
        <v>352</v>
      </c>
      <c r="K20" s="199" t="s">
        <v>353</v>
      </c>
      <c r="L20" s="199" t="s">
        <v>410</v>
      </c>
      <c r="M20" s="199" t="s">
        <v>410</v>
      </c>
      <c r="N20" s="199"/>
      <c r="O20" s="199" t="s">
        <v>307</v>
      </c>
      <c r="P20" s="199"/>
      <c r="Q20" s="204" t="s">
        <v>424</v>
      </c>
      <c r="R20" s="204" t="s">
        <v>424</v>
      </c>
      <c r="S20" s="199" t="s">
        <v>410</v>
      </c>
      <c r="T20" s="199" t="s">
        <v>410</v>
      </c>
      <c r="U20" s="199"/>
      <c r="V20" s="199" t="s">
        <v>307</v>
      </c>
      <c r="W20" s="206"/>
      <c r="X20" s="199"/>
      <c r="Y20" s="199"/>
      <c r="Z20" s="199" t="s">
        <v>410</v>
      </c>
      <c r="AA20" s="199" t="s">
        <v>410</v>
      </c>
      <c r="AB20" s="199"/>
      <c r="AC20" s="199" t="s">
        <v>307</v>
      </c>
      <c r="AD20" s="199"/>
      <c r="AE20" s="206" t="s">
        <v>467</v>
      </c>
      <c r="AF20" s="199"/>
      <c r="AG20" s="199" t="s">
        <v>410</v>
      </c>
      <c r="AH20" s="199" t="s">
        <v>410</v>
      </c>
      <c r="AI20" s="199"/>
      <c r="AJ20" s="199" t="s">
        <v>307</v>
      </c>
      <c r="AK20" s="199"/>
      <c r="AL20" s="199"/>
      <c r="AM20" s="206" t="s">
        <v>424</v>
      </c>
      <c r="AN20" s="199" t="s">
        <v>410</v>
      </c>
      <c r="AO20" s="199" t="s">
        <v>410</v>
      </c>
      <c r="AP20" s="199"/>
      <c r="AQ20" s="199" t="s">
        <v>307</v>
      </c>
      <c r="AR20" s="199"/>
      <c r="AS20" s="199"/>
      <c r="AT20" s="138"/>
      <c r="AU20" s="138"/>
      <c r="AV20" s="207">
        <v>-16</v>
      </c>
      <c r="AW20" s="205">
        <f>ROUND((AW$1-AW$2)*(_xlfn.XLOOKUP(A20,'ma-basisdaten'!$A$3:$A$19,'ma-basisdaten'!$C$3:$C$19)*8)/100,0)</f>
        <v>184</v>
      </c>
      <c r="AX20" s="38" t="s">
        <v>487</v>
      </c>
      <c r="AY20" s="208">
        <v>3</v>
      </c>
      <c r="AZ20" s="208">
        <v>1</v>
      </c>
      <c r="BA20" s="138"/>
      <c r="BB20" s="170">
        <v>0</v>
      </c>
      <c r="BC20" s="170">
        <v>0</v>
      </c>
      <c r="BD20" s="158"/>
    </row>
    <row r="21" spans="1:57">
      <c r="A21" s="18" t="s">
        <v>360</v>
      </c>
      <c r="B21" s="216" t="s">
        <v>363</v>
      </c>
      <c r="C21" s="38" t="s">
        <v>356</v>
      </c>
      <c r="D21" s="316" t="s">
        <v>352</v>
      </c>
      <c r="E21" s="206" t="s">
        <v>410</v>
      </c>
      <c r="F21" s="206" t="s">
        <v>410</v>
      </c>
      <c r="G21" s="206"/>
      <c r="H21" s="211"/>
      <c r="I21" s="211" t="s">
        <v>410</v>
      </c>
      <c r="J21" s="211" t="s">
        <v>353</v>
      </c>
      <c r="K21" s="199"/>
      <c r="L21" s="199" t="s">
        <v>410</v>
      </c>
      <c r="M21" s="199" t="s">
        <v>410</v>
      </c>
      <c r="N21" s="199"/>
      <c r="O21" s="199" t="s">
        <v>307</v>
      </c>
      <c r="P21" s="199"/>
      <c r="Q21" s="199"/>
      <c r="R21" s="206" t="s">
        <v>424</v>
      </c>
      <c r="S21" s="199" t="s">
        <v>410</v>
      </c>
      <c r="T21" s="199" t="s">
        <v>410</v>
      </c>
      <c r="U21" s="199"/>
      <c r="V21" s="199" t="s">
        <v>307</v>
      </c>
      <c r="W21" s="206"/>
      <c r="X21" s="199"/>
      <c r="Y21" s="199"/>
      <c r="Z21" s="199" t="s">
        <v>410</v>
      </c>
      <c r="AA21" s="199" t="s">
        <v>410</v>
      </c>
      <c r="AB21" s="199"/>
      <c r="AC21" s="199" t="s">
        <v>307</v>
      </c>
      <c r="AD21" s="199"/>
      <c r="AE21" s="206" t="s">
        <v>424</v>
      </c>
      <c r="AF21" s="199"/>
      <c r="AG21" s="199" t="s">
        <v>410</v>
      </c>
      <c r="AH21" s="199" t="s">
        <v>410</v>
      </c>
      <c r="AI21" s="199"/>
      <c r="AJ21" s="199" t="s">
        <v>307</v>
      </c>
      <c r="AK21" s="199"/>
      <c r="AL21" s="199"/>
      <c r="AM21" s="199"/>
      <c r="AN21" s="199" t="s">
        <v>410</v>
      </c>
      <c r="AO21" s="199" t="s">
        <v>410</v>
      </c>
      <c r="AP21" s="199"/>
      <c r="AQ21" s="199" t="s">
        <v>307</v>
      </c>
      <c r="AR21" s="199"/>
      <c r="AS21" s="199"/>
      <c r="AT21" s="138"/>
      <c r="AU21" s="138"/>
      <c r="AV21" s="207">
        <v>-13</v>
      </c>
      <c r="AW21" s="205">
        <f>ROUND((AW$1-AW$2)*(_xlfn.XLOOKUP(A21,'ma-basisdaten'!$A$3:$A$19,'ma-basisdaten'!$C$3:$C$19)*8)/100,0)</f>
        <v>184</v>
      </c>
      <c r="AX21" s="38" t="s">
        <v>487</v>
      </c>
      <c r="AY21" s="208">
        <v>3</v>
      </c>
      <c r="AZ21" s="208">
        <v>0</v>
      </c>
      <c r="BA21" s="138"/>
      <c r="BB21" s="170">
        <v>0</v>
      </c>
      <c r="BC21" s="170">
        <v>0</v>
      </c>
      <c r="BD21" s="158"/>
    </row>
    <row r="22" spans="1:57">
      <c r="A22" s="138"/>
      <c r="B22" s="138"/>
      <c r="C22" s="138"/>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138"/>
      <c r="AO22" s="138"/>
      <c r="AP22" s="138"/>
      <c r="AQ22" s="138"/>
      <c r="AR22" s="138"/>
      <c r="AS22" s="138"/>
      <c r="AT22" s="138"/>
      <c r="AU22" s="138"/>
      <c r="AV22" s="138"/>
      <c r="AW22" s="138"/>
      <c r="AX22" s="138"/>
      <c r="AY22" s="138"/>
      <c r="AZ22" s="138"/>
      <c r="BA22" s="138"/>
      <c r="BB22" s="143"/>
      <c r="BC22" s="138"/>
      <c r="BD22" s="138"/>
      <c r="BE22" s="138"/>
    </row>
    <row r="23" spans="1:57" ht="13">
      <c r="A23" s="138"/>
      <c r="B23" s="138"/>
      <c r="C23" s="138"/>
      <c r="D23" s="138"/>
      <c r="E23" s="138"/>
      <c r="F23" s="138"/>
      <c r="G23" s="160" t="s">
        <v>252</v>
      </c>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c r="AH23" s="138"/>
      <c r="AI23" s="138"/>
      <c r="AJ23" s="138"/>
      <c r="AK23" s="138"/>
      <c r="AL23" s="138"/>
      <c r="AM23" s="138"/>
      <c r="AN23" s="138"/>
      <c r="AO23" s="138"/>
      <c r="AP23" s="138"/>
      <c r="AQ23" s="138"/>
      <c r="AR23" s="138"/>
      <c r="AS23" s="138"/>
      <c r="AT23" s="138"/>
      <c r="AU23" s="138"/>
      <c r="AV23" s="138"/>
      <c r="AW23" s="138"/>
      <c r="AX23" s="138"/>
      <c r="AY23" s="138"/>
      <c r="AZ23" s="138"/>
      <c r="BA23" s="138"/>
      <c r="BB23" s="143"/>
      <c r="BC23" s="138"/>
      <c r="BD23" s="138"/>
      <c r="BE23" s="138"/>
    </row>
    <row r="24" spans="1:57" ht="13">
      <c r="A24" s="138"/>
      <c r="B24" s="138"/>
      <c r="C24" s="138"/>
      <c r="D24" s="160"/>
      <c r="E24" s="138"/>
      <c r="F24" s="138"/>
      <c r="G24" s="138" t="s">
        <v>253</v>
      </c>
      <c r="H24" s="138"/>
      <c r="I24" s="138"/>
      <c r="J24" s="138"/>
      <c r="K24" s="138"/>
      <c r="L24" s="138"/>
      <c r="M24" s="138"/>
      <c r="N24" s="138"/>
      <c r="O24" s="138"/>
      <c r="P24" s="138"/>
      <c r="Q24" s="138"/>
      <c r="R24" s="138"/>
      <c r="S24" s="138"/>
      <c r="T24" s="138"/>
      <c r="U24" s="138"/>
      <c r="V24" s="138"/>
      <c r="W24" s="138"/>
      <c r="X24" s="138"/>
      <c r="Y24" s="138"/>
      <c r="Z24" s="138"/>
      <c r="AA24" s="138"/>
      <c r="AB24" s="138"/>
      <c r="AC24" s="138"/>
      <c r="AD24" s="138"/>
      <c r="AE24" s="138"/>
      <c r="AF24" s="138"/>
      <c r="AG24" s="138"/>
      <c r="AH24" s="138"/>
      <c r="AI24" s="138"/>
      <c r="AJ24" s="138"/>
      <c r="AK24" s="138"/>
      <c r="AL24" s="138"/>
      <c r="AM24" s="138"/>
      <c r="AN24" s="138"/>
      <c r="AO24" s="138"/>
      <c r="AP24" s="138"/>
      <c r="AQ24" s="138"/>
      <c r="AR24" s="138"/>
      <c r="AS24" s="138"/>
      <c r="AT24" s="138"/>
      <c r="AU24" s="138"/>
      <c r="AV24" s="138"/>
      <c r="AW24" s="138"/>
      <c r="AX24" s="138"/>
      <c r="AY24" s="138"/>
      <c r="AZ24" s="138"/>
      <c r="BA24" s="138"/>
      <c r="BB24" s="143"/>
      <c r="BC24" s="138"/>
      <c r="BD24" s="138"/>
      <c r="BE24" s="138"/>
    </row>
    <row r="25" spans="1:57">
      <c r="A25" s="138"/>
      <c r="B25" s="161" t="s">
        <v>254</v>
      </c>
      <c r="C25" s="161"/>
      <c r="D25" s="138"/>
      <c r="E25" s="138"/>
      <c r="F25" s="162"/>
      <c r="G25" s="138" t="s">
        <v>255</v>
      </c>
      <c r="H25" s="138"/>
      <c r="I25" s="138"/>
      <c r="J25" s="138"/>
      <c r="K25" s="138"/>
      <c r="L25" s="138"/>
      <c r="M25" s="138"/>
      <c r="N25" s="138"/>
      <c r="O25" s="138" t="s">
        <v>256</v>
      </c>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t="s">
        <v>257</v>
      </c>
      <c r="AW25" s="138"/>
      <c r="AX25" s="138"/>
      <c r="AY25" s="138"/>
      <c r="AZ25" s="138"/>
      <c r="BA25" s="138"/>
      <c r="BB25" s="143"/>
      <c r="BC25" s="138"/>
      <c r="BD25" s="138"/>
      <c r="BE25" s="138"/>
    </row>
    <row r="26" spans="1:57">
      <c r="A26" s="138"/>
      <c r="B26" s="162" t="s">
        <v>258</v>
      </c>
      <c r="C26" s="138"/>
      <c r="D26" s="138"/>
      <c r="E26" s="138"/>
      <c r="F26" s="138"/>
      <c r="G26" s="138" t="s">
        <v>259</v>
      </c>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t="s">
        <v>260</v>
      </c>
      <c r="AW26" s="138"/>
      <c r="AX26" s="138"/>
      <c r="AY26" s="138"/>
      <c r="AZ26" s="138"/>
      <c r="BA26" s="138"/>
      <c r="BB26" s="138"/>
      <c r="BC26" s="138"/>
      <c r="BD26" s="138"/>
      <c r="BE26" s="138"/>
    </row>
    <row r="27" spans="1:57">
      <c r="A27" s="138"/>
      <c r="B27" s="138"/>
      <c r="C27" s="138"/>
      <c r="D27" s="138"/>
      <c r="E27" s="138"/>
      <c r="F27" s="138"/>
      <c r="G27" s="138" t="s">
        <v>245</v>
      </c>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138"/>
      <c r="AO27" s="138"/>
      <c r="AP27" s="138"/>
      <c r="AQ27" s="138"/>
      <c r="AR27" s="138"/>
      <c r="AS27" s="138"/>
      <c r="AT27" s="138"/>
      <c r="AU27" s="138"/>
      <c r="AV27" s="138"/>
      <c r="AW27" s="138"/>
      <c r="AX27" s="138"/>
      <c r="AY27" s="138"/>
      <c r="AZ27" s="138"/>
      <c r="BA27" s="138"/>
      <c r="BB27" s="138"/>
      <c r="BC27" s="138"/>
      <c r="BD27" s="138"/>
      <c r="BE27" s="138"/>
    </row>
    <row r="28" spans="1:57">
      <c r="A28" s="138"/>
      <c r="B28" s="138"/>
      <c r="C28" s="138"/>
      <c r="D28" s="138"/>
      <c r="E28" s="138"/>
      <c r="F28" s="138"/>
      <c r="G28" s="138" t="s">
        <v>261</v>
      </c>
      <c r="H28" s="138" t="s">
        <v>262</v>
      </c>
      <c r="I28" s="138"/>
      <c r="J28" s="138"/>
      <c r="K28" s="138"/>
      <c r="L28" s="138"/>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38"/>
      <c r="AK28" s="138"/>
      <c r="AL28" s="138"/>
      <c r="AM28" s="138"/>
      <c r="AN28" s="138"/>
      <c r="AO28" s="138"/>
      <c r="AP28" s="138"/>
      <c r="AQ28" s="138"/>
      <c r="AR28" s="138"/>
      <c r="AS28" s="138"/>
      <c r="AT28" s="138"/>
      <c r="AU28" s="138"/>
      <c r="AV28" s="138"/>
      <c r="AW28" s="138"/>
      <c r="AX28" s="138"/>
      <c r="AY28" s="138"/>
      <c r="AZ28" s="138"/>
      <c r="BA28" s="138"/>
      <c r="BB28" s="138"/>
      <c r="BC28" s="138"/>
      <c r="BD28" s="138"/>
      <c r="BE28" s="138"/>
    </row>
    <row r="29" spans="1:57">
      <c r="A29" s="138"/>
      <c r="B29" s="138"/>
      <c r="C29" s="138"/>
      <c r="D29" s="138"/>
      <c r="E29" s="138"/>
      <c r="F29" s="138"/>
      <c r="G29" s="138" t="s">
        <v>263</v>
      </c>
      <c r="H29" s="138"/>
      <c r="I29" s="138"/>
      <c r="J29" s="138"/>
      <c r="K29" s="138"/>
      <c r="L29" s="138"/>
      <c r="M29" s="138"/>
      <c r="N29" s="138"/>
      <c r="O29" s="138"/>
      <c r="P29" s="138"/>
      <c r="Q29" s="138"/>
      <c r="R29" s="138"/>
      <c r="S29" s="138"/>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c r="AR29" s="138"/>
      <c r="AS29" s="138"/>
      <c r="AT29" s="138"/>
      <c r="AU29" s="138"/>
      <c r="AV29" s="138"/>
      <c r="AW29" s="138"/>
      <c r="AX29" s="138"/>
      <c r="AY29" s="138"/>
      <c r="AZ29" s="138"/>
    </row>
    <row r="30" spans="1:57">
      <c r="A30" s="138"/>
      <c r="B30" s="138"/>
      <c r="C30" s="138"/>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c r="AR30" s="138"/>
      <c r="AS30" s="138"/>
      <c r="AT30" s="138"/>
      <c r="AU30" s="138"/>
      <c r="AV30" s="138"/>
      <c r="AW30" s="138"/>
      <c r="AX30" s="138"/>
      <c r="AY30" s="138"/>
      <c r="AZ30" s="138"/>
    </row>
    <row r="31" spans="1:57" ht="13">
      <c r="A31" s="138"/>
      <c r="B31" s="138"/>
      <c r="C31" s="138"/>
      <c r="D31" s="138"/>
      <c r="E31" s="138"/>
      <c r="F31" s="138"/>
      <c r="G31" s="160" t="s">
        <v>264</v>
      </c>
      <c r="H31" s="138"/>
      <c r="I31" s="138"/>
      <c r="J31" s="138"/>
      <c r="K31" s="138"/>
      <c r="L31" s="138"/>
      <c r="M31" s="138"/>
      <c r="N31" s="138"/>
      <c r="O31" s="138"/>
      <c r="P31" s="138"/>
      <c r="Q31" s="138"/>
      <c r="R31" s="138"/>
      <c r="S31" s="138"/>
      <c r="T31" s="138"/>
      <c r="U31" s="138"/>
      <c r="V31" s="138"/>
      <c r="W31" s="138"/>
      <c r="X31" s="138"/>
      <c r="Y31" s="138"/>
      <c r="Z31" s="138"/>
      <c r="AA31" s="138"/>
      <c r="AB31" s="138"/>
      <c r="AC31" s="138"/>
      <c r="AD31" s="138"/>
      <c r="AE31" s="138"/>
      <c r="AF31" s="138"/>
      <c r="AG31" s="138"/>
      <c r="AH31" s="138"/>
      <c r="AI31" s="138"/>
      <c r="AJ31" s="138"/>
      <c r="AK31" s="138"/>
      <c r="AL31" s="138"/>
      <c r="AM31" s="138"/>
      <c r="AN31" s="138"/>
      <c r="AO31" s="138"/>
      <c r="AP31" s="138"/>
      <c r="AQ31" s="138"/>
      <c r="AR31" s="138"/>
      <c r="AS31" s="138"/>
      <c r="AT31" s="138"/>
      <c r="AU31" s="138"/>
      <c r="AV31" s="138"/>
      <c r="AW31" s="138"/>
      <c r="AX31" s="138"/>
      <c r="AY31" s="138"/>
      <c r="AZ31" s="138"/>
    </row>
    <row r="32" spans="1:57">
      <c r="A32" s="138"/>
      <c r="B32" s="138"/>
      <c r="C32" s="138"/>
      <c r="D32" s="138"/>
      <c r="E32" s="138"/>
      <c r="F32" s="138"/>
      <c r="G32" s="138" t="s">
        <v>246</v>
      </c>
      <c r="H32" s="138"/>
      <c r="I32" s="138"/>
      <c r="J32" s="138"/>
      <c r="K32" s="138"/>
      <c r="L32" s="138"/>
      <c r="M32" s="138"/>
      <c r="N32" s="138"/>
      <c r="O32" s="138"/>
      <c r="P32" s="138"/>
      <c r="Q32" s="138"/>
      <c r="R32" s="138"/>
      <c r="S32" s="138"/>
      <c r="T32" s="138"/>
      <c r="U32" s="138"/>
      <c r="V32" s="138"/>
      <c r="W32" s="138"/>
      <c r="X32" s="138"/>
      <c r="Y32" s="138"/>
      <c r="Z32" s="138"/>
      <c r="AA32" s="138"/>
      <c r="AB32" s="138"/>
      <c r="AC32" s="138"/>
      <c r="AD32" s="138"/>
      <c r="AE32" s="138"/>
      <c r="AF32" s="138"/>
      <c r="AG32" s="138"/>
      <c r="AH32" s="138"/>
      <c r="AI32" s="138"/>
      <c r="AJ32" s="138"/>
      <c r="AK32" s="138"/>
      <c r="AL32" s="138"/>
      <c r="AM32" s="138"/>
      <c r="AN32" s="138"/>
      <c r="AO32" s="138"/>
      <c r="AP32" s="138"/>
      <c r="AQ32" s="138"/>
      <c r="AR32" s="138"/>
      <c r="AS32" s="138"/>
      <c r="AT32" s="138"/>
      <c r="AU32" s="138"/>
      <c r="AV32" s="138"/>
      <c r="AW32" s="138"/>
      <c r="AX32" s="138"/>
      <c r="AY32" s="138"/>
      <c r="AZ32" s="138"/>
    </row>
    <row r="33" spans="1:52">
      <c r="A33" s="138"/>
      <c r="B33" s="138"/>
      <c r="C33" s="138"/>
      <c r="D33" s="138"/>
      <c r="E33" s="138"/>
      <c r="F33" s="138"/>
      <c r="G33" s="138" t="s">
        <v>265</v>
      </c>
      <c r="H33" s="138"/>
      <c r="I33" s="138"/>
      <c r="J33" s="138"/>
      <c r="K33" s="138"/>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8"/>
      <c r="AJ33" s="138"/>
      <c r="AK33" s="138"/>
      <c r="AL33" s="138"/>
      <c r="AM33" s="138"/>
      <c r="AN33" s="138"/>
      <c r="AO33" s="138"/>
      <c r="AP33" s="138"/>
      <c r="AQ33" s="138"/>
      <c r="AR33" s="138"/>
      <c r="AS33" s="138"/>
      <c r="AT33" s="138"/>
      <c r="AU33" s="138"/>
      <c r="AV33" s="138"/>
      <c r="AW33" s="138"/>
      <c r="AX33" s="138"/>
      <c r="AY33" s="138"/>
      <c r="AZ33" s="138"/>
    </row>
    <row r="34" spans="1:52">
      <c r="A34" s="138"/>
      <c r="B34" s="138"/>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8"/>
      <c r="AL34" s="138"/>
      <c r="AM34" s="138"/>
      <c r="AN34" s="138"/>
      <c r="AO34" s="138"/>
      <c r="AP34" s="138"/>
      <c r="AQ34" s="138"/>
      <c r="AR34" s="138"/>
      <c r="AS34" s="138"/>
      <c r="AT34" s="138"/>
      <c r="AU34" s="138"/>
      <c r="AV34" s="138"/>
      <c r="AW34" s="138"/>
      <c r="AX34" s="138"/>
      <c r="AY34" s="138"/>
      <c r="AZ34" s="138"/>
    </row>
    <row r="35" spans="1:52" ht="13">
      <c r="A35" s="138"/>
      <c r="B35" s="138"/>
      <c r="C35" s="138"/>
      <c r="D35" s="138"/>
      <c r="E35" s="138"/>
      <c r="F35" s="138"/>
      <c r="G35" s="160" t="s">
        <v>266</v>
      </c>
      <c r="H35" s="138"/>
      <c r="I35" s="138"/>
      <c r="J35" s="138"/>
      <c r="K35" s="138"/>
      <c r="L35" s="138"/>
      <c r="M35" s="138"/>
      <c r="N35" s="138"/>
      <c r="O35" s="138"/>
      <c r="P35" s="138"/>
      <c r="Q35" s="138"/>
      <c r="R35" s="138"/>
      <c r="S35" s="138"/>
      <c r="T35" s="138"/>
      <c r="U35" s="138"/>
      <c r="V35" s="138"/>
      <c r="W35" s="138"/>
      <c r="X35" s="138"/>
      <c r="Y35" s="138"/>
      <c r="Z35" s="138"/>
      <c r="AA35" s="138"/>
      <c r="AB35" s="138"/>
      <c r="AC35" s="138"/>
      <c r="AD35" s="138"/>
      <c r="AE35" s="138"/>
      <c r="AF35" s="138"/>
      <c r="AG35" s="138"/>
      <c r="AH35" s="138"/>
      <c r="AI35" s="138"/>
      <c r="AJ35" s="138"/>
      <c r="AK35" s="138"/>
      <c r="AL35" s="138"/>
      <c r="AM35" s="138"/>
      <c r="AN35" s="138"/>
      <c r="AO35" s="138"/>
      <c r="AP35" s="138"/>
      <c r="AQ35" s="138"/>
      <c r="AR35" s="138"/>
      <c r="AS35" s="138"/>
      <c r="AT35" s="138"/>
      <c r="AU35" s="138"/>
      <c r="AV35" s="138"/>
      <c r="AW35" s="138"/>
      <c r="AX35" s="138"/>
      <c r="AY35" s="138"/>
      <c r="AZ35" s="138"/>
    </row>
    <row r="36" spans="1:52">
      <c r="A36" s="138"/>
      <c r="B36" s="138"/>
      <c r="C36" s="138"/>
      <c r="D36" s="138"/>
      <c r="E36" s="138"/>
      <c r="F36" s="138"/>
      <c r="G36" s="138" t="s">
        <v>247</v>
      </c>
      <c r="H36" s="138"/>
      <c r="I36" s="138" t="s">
        <v>267</v>
      </c>
      <c r="J36" s="138"/>
      <c r="K36" s="138"/>
      <c r="L36" s="138"/>
      <c r="M36" s="138"/>
      <c r="N36" s="138"/>
      <c r="O36" s="138"/>
      <c r="P36" s="138"/>
      <c r="Q36" s="138"/>
      <c r="R36" s="138"/>
      <c r="S36" s="138"/>
      <c r="T36" s="138"/>
      <c r="U36" s="138"/>
      <c r="V36" s="138"/>
      <c r="W36" s="138"/>
      <c r="X36" s="138"/>
      <c r="Y36" s="138"/>
      <c r="Z36" s="138"/>
      <c r="AA36" s="138"/>
      <c r="AB36" s="138"/>
      <c r="AC36" s="138"/>
      <c r="AD36" s="138"/>
      <c r="AE36" s="138"/>
      <c r="AF36" s="138"/>
      <c r="AG36" s="138"/>
      <c r="AH36" s="138"/>
      <c r="AI36" s="138"/>
      <c r="AJ36" s="138"/>
      <c r="AK36" s="138"/>
      <c r="AL36" s="138"/>
      <c r="AM36" s="138"/>
      <c r="AN36" s="138"/>
      <c r="AO36" s="138"/>
      <c r="AP36" s="138"/>
      <c r="AQ36" s="138"/>
      <c r="AR36" s="138"/>
      <c r="AS36" s="138"/>
      <c r="AT36" s="138"/>
      <c r="AU36" s="138"/>
      <c r="AV36" s="138"/>
      <c r="AW36" s="138"/>
      <c r="AX36" s="138"/>
      <c r="AY36" s="138"/>
      <c r="AZ36" s="138"/>
    </row>
    <row r="37" spans="1:52">
      <c r="A37" s="138"/>
      <c r="B37" s="138"/>
      <c r="C37" s="138"/>
      <c r="D37" s="138"/>
      <c r="E37" s="138"/>
      <c r="F37" s="138"/>
      <c r="G37" s="138" t="s">
        <v>248</v>
      </c>
      <c r="H37" s="138"/>
      <c r="I37" s="138" t="s">
        <v>268</v>
      </c>
      <c r="J37" s="138"/>
      <c r="K37" s="138"/>
      <c r="L37" s="138"/>
      <c r="M37" s="138"/>
      <c r="N37" s="138"/>
      <c r="O37" s="138"/>
      <c r="P37" s="138"/>
      <c r="Q37" s="138"/>
      <c r="R37" s="138"/>
      <c r="S37" s="138"/>
      <c r="T37" s="138"/>
      <c r="U37" s="138"/>
      <c r="V37" s="138"/>
      <c r="W37" s="138"/>
      <c r="X37" s="138"/>
      <c r="Y37" s="138"/>
      <c r="Z37" s="138"/>
      <c r="AA37" s="138"/>
      <c r="AB37" s="138"/>
      <c r="AC37" s="138"/>
      <c r="AD37" s="138"/>
      <c r="AE37" s="138"/>
      <c r="AF37" s="138"/>
      <c r="AG37" s="138"/>
      <c r="AH37" s="138"/>
      <c r="AI37" s="138"/>
      <c r="AJ37" s="138"/>
      <c r="AK37" s="138"/>
      <c r="AL37" s="138"/>
      <c r="AM37" s="138"/>
      <c r="AN37" s="138"/>
      <c r="AO37" s="138"/>
      <c r="AP37" s="138"/>
      <c r="AQ37" s="138"/>
      <c r="AR37" s="138"/>
      <c r="AS37" s="138"/>
      <c r="AT37" s="138"/>
      <c r="AU37" s="138"/>
      <c r="AV37" s="138"/>
      <c r="AW37" s="138"/>
      <c r="AX37" s="138"/>
      <c r="AY37" s="138"/>
      <c r="AZ37" s="138"/>
    </row>
    <row r="38" spans="1:52">
      <c r="A38" s="138"/>
      <c r="B38" s="138"/>
      <c r="C38" s="138"/>
      <c r="D38" s="138"/>
      <c r="E38" s="138"/>
      <c r="F38" s="138"/>
      <c r="G38" s="138" t="s">
        <v>251</v>
      </c>
      <c r="H38" s="138"/>
      <c r="I38" s="138" t="s">
        <v>269</v>
      </c>
      <c r="J38" s="138"/>
      <c r="K38" s="138"/>
      <c r="L38" s="138"/>
      <c r="M38" s="138"/>
      <c r="N38" s="138"/>
      <c r="O38" s="138"/>
      <c r="P38" s="138"/>
      <c r="Q38" s="138"/>
      <c r="R38" s="138"/>
      <c r="S38" s="138"/>
      <c r="T38" s="138"/>
      <c r="U38" s="138"/>
      <c r="V38" s="138"/>
      <c r="W38" s="138"/>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row>
    <row r="39" spans="1:52">
      <c r="A39" s="138"/>
      <c r="B39" s="138"/>
      <c r="C39" s="138"/>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8"/>
      <c r="AU39" s="138"/>
      <c r="AV39" s="138"/>
      <c r="AW39" s="138"/>
      <c r="AX39" s="138"/>
      <c r="AY39" s="138"/>
      <c r="AZ39" s="138"/>
    </row>
    <row r="40" spans="1:52" ht="13">
      <c r="A40" s="138"/>
      <c r="B40" s="138"/>
      <c r="C40" s="138"/>
      <c r="D40" s="138"/>
      <c r="E40" s="138"/>
      <c r="F40" s="138"/>
      <c r="G40" s="160" t="s">
        <v>270</v>
      </c>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c r="AV40" s="138"/>
      <c r="AW40" s="138"/>
      <c r="AX40" s="138"/>
      <c r="AY40" s="138"/>
      <c r="AZ40" s="138"/>
    </row>
    <row r="41" spans="1:52">
      <c r="A41" s="138"/>
      <c r="B41" s="138"/>
      <c r="C41" s="138"/>
      <c r="D41" s="138"/>
      <c r="E41" s="138"/>
      <c r="F41" s="138"/>
      <c r="G41" s="138" t="s">
        <v>250</v>
      </c>
      <c r="H41" s="138"/>
      <c r="I41" s="138" t="s">
        <v>271</v>
      </c>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c r="AV41" s="138"/>
      <c r="AW41" s="138"/>
      <c r="AX41" s="138"/>
      <c r="AY41" s="138"/>
      <c r="AZ41" s="138"/>
    </row>
    <row r="42" spans="1:52">
      <c r="A42" s="138"/>
      <c r="B42" s="138"/>
      <c r="C42" s="138"/>
      <c r="D42" s="138"/>
      <c r="E42" s="138"/>
      <c r="F42" s="138"/>
      <c r="G42" s="138" t="s">
        <v>249</v>
      </c>
      <c r="H42" s="138"/>
      <c r="I42" s="138" t="s">
        <v>272</v>
      </c>
      <c r="J42" s="138"/>
      <c r="K42" s="138"/>
      <c r="L42" s="138"/>
      <c r="M42" s="138"/>
      <c r="N42" s="138"/>
      <c r="O42" s="138"/>
      <c r="P42" s="138"/>
      <c r="Q42" s="138"/>
      <c r="R42" s="138"/>
      <c r="S42" s="138"/>
      <c r="T42" s="138"/>
      <c r="U42" s="138"/>
      <c r="V42" s="138"/>
      <c r="W42" s="138"/>
      <c r="X42" s="138"/>
      <c r="Y42" s="138"/>
      <c r="Z42" s="138"/>
      <c r="AA42" s="138"/>
      <c r="AB42" s="138"/>
      <c r="AC42" s="138"/>
      <c r="AD42" s="138"/>
      <c r="AE42" s="138"/>
      <c r="AF42" s="138"/>
      <c r="AG42" s="138"/>
      <c r="AH42" s="138"/>
      <c r="AI42" s="138"/>
      <c r="AJ42" s="138"/>
      <c r="AK42" s="138"/>
      <c r="AL42" s="138"/>
      <c r="AM42" s="138"/>
      <c r="AN42" s="138"/>
      <c r="AO42" s="138"/>
      <c r="AP42" s="138"/>
      <c r="AQ42" s="138"/>
      <c r="AR42" s="138"/>
      <c r="AS42" s="138"/>
      <c r="AT42" s="138"/>
      <c r="AU42" s="138"/>
      <c r="AV42" s="138"/>
      <c r="AW42" s="138"/>
      <c r="AX42" s="138"/>
      <c r="AY42" s="138"/>
      <c r="AZ42" s="138"/>
    </row>
  </sheetData>
  <mergeCells count="2">
    <mergeCell ref="F1:G1"/>
    <mergeCell ref="F2:G2"/>
  </mergeCells>
  <phoneticPr fontId="9" type="noConversion"/>
  <conditionalFormatting sqref="D3:AO4 AF6:AH6 Y7:Z7 AF7:AG7 AM7:AS7 R9:AL9 S5:T5 W5 AK5 AO13:AS13 F13:I13 AS10 N8:O8 D6:I12 AP12:AS12 M10:O10 T19 W19:X19 AQ19:AS19 N21 G20:J21 AL21:AM21 L15 Q11:AE11 D17:F21 L16:M16 L11:M12 L9 L6:M6 P12:AM12 M17 N12:O13 P17:AS17 AK19:AL19 AD19:AD20 M18:AS18 J5:J13 Z5 AM5:AO5 AD5:AH5 U8:W8 AK6:AO6 AB7 AC10 AC15:AH15 AK15:AS15 D5:F5 H5:J5 AG11:AH11 Q19 X20:Y21 AI20:AI21 AG19:AH19 AA19 P20:P21 Z8:AS8 AE10:AG10 R10:S10 AO10:AQ10 D15:I16 J15:J19 N15:O17 AF20:AF21 P6:T6 AN9:AS9 U10 AR20:AS21 AL20 AP20:AP21 U15:X16 Z16:AS16 Z15:AA15 G17:I18 AK11:AS11">
    <cfRule type="expression" dxfId="303" priority="537" stopIfTrue="1">
      <formula>D$3="So"</formula>
    </cfRule>
    <cfRule type="expression" dxfId="302" priority="538" stopIfTrue="1">
      <formula>D$3="Sa"</formula>
    </cfRule>
  </conditionalFormatting>
  <conditionalFormatting sqref="C5:C21">
    <cfRule type="expression" dxfId="301" priority="535" stopIfTrue="1">
      <formula>C$3="So"</formula>
    </cfRule>
    <cfRule type="expression" dxfId="300" priority="536">
      <formula>C$3="Sa"</formula>
    </cfRule>
  </conditionalFormatting>
  <conditionalFormatting sqref="AP3:AS4 AP6:AS6 AS5">
    <cfRule type="expression" dxfId="299" priority="533" stopIfTrue="1">
      <formula>AP$3="So"</formula>
    </cfRule>
    <cfRule type="expression" dxfId="298" priority="534" stopIfTrue="1">
      <formula>AP$3="Sa"</formula>
    </cfRule>
  </conditionalFormatting>
  <conditionalFormatting sqref="Y6">
    <cfRule type="expression" dxfId="297" priority="529" stopIfTrue="1">
      <formula>Y$3="So"</formula>
    </cfRule>
    <cfRule type="expression" dxfId="296" priority="530" stopIfTrue="1">
      <formula>Y$3="Sa"</formula>
    </cfRule>
  </conditionalFormatting>
  <conditionalFormatting sqref="Z6">
    <cfRule type="expression" dxfId="295" priority="527" stopIfTrue="1">
      <formula>Z$3="So"</formula>
    </cfRule>
    <cfRule type="expression" dxfId="294" priority="528" stopIfTrue="1">
      <formula>Z$3="Sa"</formula>
    </cfRule>
  </conditionalFormatting>
  <conditionalFormatting sqref="AA6 AD6:AE6">
    <cfRule type="expression" dxfId="293" priority="525" stopIfTrue="1">
      <formula>AA$3="So"</formula>
    </cfRule>
    <cfRule type="expression" dxfId="292" priority="526" stopIfTrue="1">
      <formula>AA$3="Sa"</formula>
    </cfRule>
  </conditionalFormatting>
  <conditionalFormatting sqref="O9">
    <cfRule type="expression" dxfId="291" priority="507" stopIfTrue="1">
      <formula>O$3="So"</formula>
    </cfRule>
    <cfRule type="expression" dxfId="290" priority="508" stopIfTrue="1">
      <formula>O$3="Sa"</formula>
    </cfRule>
  </conditionalFormatting>
  <conditionalFormatting sqref="N9">
    <cfRule type="expression" dxfId="289" priority="505" stopIfTrue="1">
      <formula>N$3="So"</formula>
    </cfRule>
    <cfRule type="expression" dxfId="288" priority="506" stopIfTrue="1">
      <formula>N$3="Sa"</formula>
    </cfRule>
  </conditionalFormatting>
  <conditionalFormatting sqref="Q9">
    <cfRule type="expression" dxfId="287" priority="503" stopIfTrue="1">
      <formula>Q$3="So"</formula>
    </cfRule>
    <cfRule type="expression" dxfId="286" priority="504" stopIfTrue="1">
      <formula>Q$3="Sa"</formula>
    </cfRule>
  </conditionalFormatting>
  <conditionalFormatting sqref="P9">
    <cfRule type="expression" dxfId="285" priority="501" stopIfTrue="1">
      <formula>P$3="So"</formula>
    </cfRule>
    <cfRule type="expression" dxfId="284" priority="502" stopIfTrue="1">
      <formula>P$3="Sa"</formula>
    </cfRule>
  </conditionalFormatting>
  <conditionalFormatting sqref="AO10:AQ10">
    <cfRule type="expression" dxfId="283" priority="499" stopIfTrue="1">
      <formula>AH$3="So"</formula>
    </cfRule>
    <cfRule type="expression" dxfId="282" priority="500" stopIfTrue="1">
      <formula>AH$3="Sa"</formula>
    </cfRule>
  </conditionalFormatting>
  <conditionalFormatting sqref="AR5">
    <cfRule type="expression" dxfId="273" priority="487" stopIfTrue="1">
      <formula>AR$3="So"</formula>
    </cfRule>
    <cfRule type="expression" dxfId="272" priority="488" stopIfTrue="1">
      <formula>AR$3="Sa"</formula>
    </cfRule>
  </conditionalFormatting>
  <conditionalFormatting sqref="W6">
    <cfRule type="expression" dxfId="271" priority="485" stopIfTrue="1">
      <formula>W$3="So"</formula>
    </cfRule>
    <cfRule type="expression" dxfId="270" priority="486" stopIfTrue="1">
      <formula>W$3="Sa"</formula>
    </cfRule>
  </conditionalFormatting>
  <conditionalFormatting sqref="L13">
    <cfRule type="expression" dxfId="269" priority="481" stopIfTrue="1">
      <formula>L$3="So"</formula>
    </cfRule>
    <cfRule type="expression" dxfId="268" priority="482" stopIfTrue="1">
      <formula>L$3="Sa"</formula>
    </cfRule>
  </conditionalFormatting>
  <conditionalFormatting sqref="M13">
    <cfRule type="expression" dxfId="267" priority="479" stopIfTrue="1">
      <formula>M$3="So"</formula>
    </cfRule>
    <cfRule type="expression" dxfId="266" priority="480" stopIfTrue="1">
      <formula>M$3="Sa"</formula>
    </cfRule>
  </conditionalFormatting>
  <conditionalFormatting sqref="P13:AN13">
    <cfRule type="expression" dxfId="265" priority="477" stopIfTrue="1">
      <formula>P$3="So"</formula>
    </cfRule>
    <cfRule type="expression" dxfId="264" priority="478" stopIfTrue="1">
      <formula>P$3="Sa"</formula>
    </cfRule>
  </conditionalFormatting>
  <conditionalFormatting sqref="E13">
    <cfRule type="expression" dxfId="263" priority="475" stopIfTrue="1">
      <formula>E$3="So"</formula>
    </cfRule>
    <cfRule type="expression" dxfId="262" priority="476" stopIfTrue="1">
      <formula>E$3="Sa"</formula>
    </cfRule>
  </conditionalFormatting>
  <conditionalFormatting sqref="X8:Y8">
    <cfRule type="expression" dxfId="261" priority="473" stopIfTrue="1">
      <formula>X$3="So"</formula>
    </cfRule>
    <cfRule type="expression" dxfId="260" priority="474" stopIfTrue="1">
      <formula>X$3="Sa"</formula>
    </cfRule>
  </conditionalFormatting>
  <conditionalFormatting sqref="AH10:AJ10">
    <cfRule type="expression" dxfId="259" priority="471" stopIfTrue="1">
      <formula>AH$3="So"</formula>
    </cfRule>
    <cfRule type="expression" dxfId="258" priority="472" stopIfTrue="1">
      <formula>AH$3="Sa"</formula>
    </cfRule>
  </conditionalFormatting>
  <conditionalFormatting sqref="AH10:AJ10">
    <cfRule type="expression" dxfId="257" priority="469" stopIfTrue="1">
      <formula>AA$3="So"</formula>
    </cfRule>
    <cfRule type="expression" dxfId="256" priority="470" stopIfTrue="1">
      <formula>AA$3="Sa"</formula>
    </cfRule>
  </conditionalFormatting>
  <conditionalFormatting sqref="L5 K6 K8:K13 K17:K18">
    <cfRule type="expression" dxfId="255" priority="467" stopIfTrue="1">
      <formula>K$3="So"</formula>
    </cfRule>
    <cfRule type="expression" dxfId="254" priority="468" stopIfTrue="1">
      <formula>K$3="Sa"</formula>
    </cfRule>
  </conditionalFormatting>
  <conditionalFormatting sqref="M5">
    <cfRule type="expression" dxfId="253" priority="465" stopIfTrue="1">
      <formula>M$3="So"</formula>
    </cfRule>
    <cfRule type="expression" dxfId="252" priority="466" stopIfTrue="1">
      <formula>M$3="Sa"</formula>
    </cfRule>
  </conditionalFormatting>
  <conditionalFormatting sqref="P5">
    <cfRule type="expression" dxfId="247" priority="459" stopIfTrue="1">
      <formula>P$3="So"</formula>
    </cfRule>
    <cfRule type="expression" dxfId="246" priority="460" stopIfTrue="1">
      <formula>P$3="Sa"</formula>
    </cfRule>
  </conditionalFormatting>
  <conditionalFormatting sqref="Q5">
    <cfRule type="expression" dxfId="245" priority="457" stopIfTrue="1">
      <formula>Q$3="So"</formula>
    </cfRule>
    <cfRule type="expression" dxfId="244" priority="458" stopIfTrue="1">
      <formula>Q$3="Sa"</formula>
    </cfRule>
  </conditionalFormatting>
  <conditionalFormatting sqref="L8">
    <cfRule type="expression" dxfId="243" priority="451" stopIfTrue="1">
      <formula>L$3="So"</formula>
    </cfRule>
    <cfRule type="expression" dxfId="242" priority="452" stopIfTrue="1">
      <formula>L$3="Sa"</formula>
    </cfRule>
  </conditionalFormatting>
  <conditionalFormatting sqref="M8">
    <cfRule type="expression" dxfId="241" priority="449" stopIfTrue="1">
      <formula>M$3="So"</formula>
    </cfRule>
    <cfRule type="expression" dxfId="240" priority="450" stopIfTrue="1">
      <formula>M$3="Sa"</formula>
    </cfRule>
  </conditionalFormatting>
  <conditionalFormatting sqref="P16">
    <cfRule type="expression" dxfId="239" priority="447" stopIfTrue="1">
      <formula>P$3="So"</formula>
    </cfRule>
    <cfRule type="expression" dxfId="238" priority="448" stopIfTrue="1">
      <formula>P$3="Sa"</formula>
    </cfRule>
  </conditionalFormatting>
  <conditionalFormatting sqref="Q16">
    <cfRule type="expression" dxfId="237" priority="443" stopIfTrue="1">
      <formula>Q$3="So"</formula>
    </cfRule>
    <cfRule type="expression" dxfId="236" priority="444" stopIfTrue="1">
      <formula>Q$3="Sa"</formula>
    </cfRule>
  </conditionalFormatting>
  <conditionalFormatting sqref="Q8">
    <cfRule type="expression" dxfId="235" priority="441" stopIfTrue="1">
      <formula>Q$3="So"</formula>
    </cfRule>
    <cfRule type="expression" dxfId="234" priority="442" stopIfTrue="1">
      <formula>Q$3="Sa"</formula>
    </cfRule>
  </conditionalFormatting>
  <conditionalFormatting sqref="R8">
    <cfRule type="expression" dxfId="233" priority="439" stopIfTrue="1">
      <formula>R$3="So"</formula>
    </cfRule>
    <cfRule type="expression" dxfId="232" priority="440" stopIfTrue="1">
      <formula>R$3="Sa"</formula>
    </cfRule>
  </conditionalFormatting>
  <conditionalFormatting sqref="P8">
    <cfRule type="expression" dxfId="231" priority="433" stopIfTrue="1">
      <formula>P$3="So"</formula>
    </cfRule>
    <cfRule type="expression" dxfId="230" priority="434" stopIfTrue="1">
      <formula>P$3="Sa"</formula>
    </cfRule>
  </conditionalFormatting>
  <conditionalFormatting sqref="S16">
    <cfRule type="expression" dxfId="229" priority="431" stopIfTrue="1">
      <formula>S$3="So"</formula>
    </cfRule>
    <cfRule type="expression" dxfId="228" priority="432" stopIfTrue="1">
      <formula>S$3="Sa"</formula>
    </cfRule>
  </conditionalFormatting>
  <conditionalFormatting sqref="T16">
    <cfRule type="expression" dxfId="227" priority="429" stopIfTrue="1">
      <formula>T$3="So"</formula>
    </cfRule>
    <cfRule type="expression" dxfId="226" priority="430" stopIfTrue="1">
      <formula>T$3="Sa"</formula>
    </cfRule>
  </conditionalFormatting>
  <conditionalFormatting sqref="W7">
    <cfRule type="expression" dxfId="225" priority="427" stopIfTrue="1">
      <formula>W$3="So"</formula>
    </cfRule>
    <cfRule type="expression" dxfId="224" priority="428" stopIfTrue="1">
      <formula>W$3="Sa"</formula>
    </cfRule>
  </conditionalFormatting>
  <conditionalFormatting sqref="V7">
    <cfRule type="expression" dxfId="223" priority="425" stopIfTrue="1">
      <formula>V$3="So"</formula>
    </cfRule>
    <cfRule type="expression" dxfId="222" priority="426" stopIfTrue="1">
      <formula>V$3="Sa"</formula>
    </cfRule>
  </conditionalFormatting>
  <conditionalFormatting sqref="AD7">
    <cfRule type="expression" dxfId="221" priority="423" stopIfTrue="1">
      <formula>AD$3="So"</formula>
    </cfRule>
    <cfRule type="expression" dxfId="220" priority="424" stopIfTrue="1">
      <formula>AD$3="Sa"</formula>
    </cfRule>
  </conditionalFormatting>
  <conditionalFormatting sqref="AC7">
    <cfRule type="expression" dxfId="219" priority="421" stopIfTrue="1">
      <formula>AC$3="So"</formula>
    </cfRule>
    <cfRule type="expression" dxfId="218" priority="422" stopIfTrue="1">
      <formula>AC$3="Sa"</formula>
    </cfRule>
  </conditionalFormatting>
  <conditionalFormatting sqref="AK7">
    <cfRule type="expression" dxfId="217" priority="419" stopIfTrue="1">
      <formula>AK$3="So"</formula>
    </cfRule>
    <cfRule type="expression" dxfId="216" priority="420" stopIfTrue="1">
      <formula>AK$3="Sa"</formula>
    </cfRule>
  </conditionalFormatting>
  <conditionalFormatting sqref="AJ7">
    <cfRule type="expression" dxfId="215" priority="417" stopIfTrue="1">
      <formula>AJ$3="So"</formula>
    </cfRule>
    <cfRule type="expression" dxfId="214" priority="418" stopIfTrue="1">
      <formula>AJ$3="Sa"</formula>
    </cfRule>
  </conditionalFormatting>
  <conditionalFormatting sqref="AO12">
    <cfRule type="expression" dxfId="213" priority="415" stopIfTrue="1">
      <formula>AO$3="So"</formula>
    </cfRule>
    <cfRule type="expression" dxfId="212" priority="416" stopIfTrue="1">
      <formula>AO$3="Sa"</formula>
    </cfRule>
  </conditionalFormatting>
  <conditionalFormatting sqref="AN12">
    <cfRule type="expression" dxfId="211" priority="413" stopIfTrue="1">
      <formula>AN$3="So"</formula>
    </cfRule>
    <cfRule type="expression" dxfId="210" priority="414" stopIfTrue="1">
      <formula>AN$3="Sa"</formula>
    </cfRule>
  </conditionalFormatting>
  <conditionalFormatting sqref="L17">
    <cfRule type="expression" dxfId="209" priority="405" stopIfTrue="1">
      <formula>L$3="So"</formula>
    </cfRule>
    <cfRule type="expression" dxfId="208" priority="406" stopIfTrue="1">
      <formula>L$3="Sa"</formula>
    </cfRule>
  </conditionalFormatting>
  <conditionalFormatting sqref="L18">
    <cfRule type="expression" dxfId="207" priority="403" stopIfTrue="1">
      <formula>L$3="So"</formula>
    </cfRule>
    <cfRule type="expression" dxfId="206" priority="404" stopIfTrue="1">
      <formula>L$3="Sa"</formula>
    </cfRule>
  </conditionalFormatting>
  <conditionalFormatting sqref="G19">
    <cfRule type="expression" dxfId="205" priority="371" stopIfTrue="1">
      <formula>G$3="So"</formula>
    </cfRule>
    <cfRule type="expression" dxfId="204" priority="372" stopIfTrue="1">
      <formula>G$3="Sa"</formula>
    </cfRule>
  </conditionalFormatting>
  <conditionalFormatting sqref="H19:I19">
    <cfRule type="expression" dxfId="203" priority="367" stopIfTrue="1">
      <formula>H$3="So"</formula>
    </cfRule>
    <cfRule type="expression" dxfId="202" priority="368" stopIfTrue="1">
      <formula>H$3="Sa"</formula>
    </cfRule>
  </conditionalFormatting>
  <conditionalFormatting sqref="M19">
    <cfRule type="expression" dxfId="201" priority="363" stopIfTrue="1">
      <formula>M$3="So"</formula>
    </cfRule>
    <cfRule type="expression" dxfId="200" priority="364" stopIfTrue="1">
      <formula>M$3="Sa"</formula>
    </cfRule>
  </conditionalFormatting>
  <conditionalFormatting sqref="N19">
    <cfRule type="expression" dxfId="199" priority="361" stopIfTrue="1">
      <formula>N$3="So"</formula>
    </cfRule>
    <cfRule type="expression" dxfId="198" priority="362" stopIfTrue="1">
      <formula>N$3="Sa"</formula>
    </cfRule>
  </conditionalFormatting>
  <conditionalFormatting sqref="P19">
    <cfRule type="expression" dxfId="197" priority="359" stopIfTrue="1">
      <formula>P$3="So"</formula>
    </cfRule>
    <cfRule type="expression" dxfId="196" priority="360" stopIfTrue="1">
      <formula>P$3="Sa"</formula>
    </cfRule>
  </conditionalFormatting>
  <conditionalFormatting sqref="AI19">
    <cfRule type="expression" dxfId="195" priority="351" stopIfTrue="1">
      <formula>AI$3="So"</formula>
    </cfRule>
    <cfRule type="expression" dxfId="194" priority="352" stopIfTrue="1">
      <formula>AI$3="Sa"</formula>
    </cfRule>
  </conditionalFormatting>
  <conditionalFormatting sqref="AP19">
    <cfRule type="expression" dxfId="193" priority="349" stopIfTrue="1">
      <formula>AP$3="So"</formula>
    </cfRule>
    <cfRule type="expression" dxfId="192" priority="350" stopIfTrue="1">
      <formula>AP$3="Sa"</formula>
    </cfRule>
  </conditionalFormatting>
  <conditionalFormatting sqref="AD21">
    <cfRule type="expression" dxfId="191" priority="315" stopIfTrue="1">
      <formula>AD$3="So"</formula>
    </cfRule>
    <cfRule type="expression" dxfId="190" priority="316" stopIfTrue="1">
      <formula>AD$3="Sa"</formula>
    </cfRule>
  </conditionalFormatting>
  <conditionalFormatting sqref="Q15">
    <cfRule type="expression" dxfId="189" priority="301" stopIfTrue="1">
      <formula>Q$3="So"</formula>
    </cfRule>
    <cfRule type="expression" dxfId="188" priority="302" stopIfTrue="1">
      <formula>Q$3="Sa"</formula>
    </cfRule>
  </conditionalFormatting>
  <conditionalFormatting sqref="P11">
    <cfRule type="expression" dxfId="187" priority="299" stopIfTrue="1">
      <formula>P$3="So"</formula>
    </cfRule>
    <cfRule type="expression" dxfId="186" priority="300" stopIfTrue="1">
      <formula>P$3="Sa"</formula>
    </cfRule>
  </conditionalFormatting>
  <conditionalFormatting sqref="N20">
    <cfRule type="expression" dxfId="185" priority="297" stopIfTrue="1">
      <formula>N$3="So"</formula>
    </cfRule>
    <cfRule type="expression" dxfId="184" priority="298" stopIfTrue="1">
      <formula>N$3="Sa"</formula>
    </cfRule>
  </conditionalFormatting>
  <conditionalFormatting sqref="R5">
    <cfRule type="expression" dxfId="183" priority="289" stopIfTrue="1">
      <formula>R$3="So"</formula>
    </cfRule>
    <cfRule type="expression" dxfId="182" priority="290" stopIfTrue="1">
      <formula>R$3="Sa"</formula>
    </cfRule>
  </conditionalFormatting>
  <conditionalFormatting sqref="AA5">
    <cfRule type="expression" dxfId="181" priority="283" stopIfTrue="1">
      <formula>AA$3="So"</formula>
    </cfRule>
    <cfRule type="expression" dxfId="180" priority="284" stopIfTrue="1">
      <formula>AA$3="Sa"</formula>
    </cfRule>
  </conditionalFormatting>
  <conditionalFormatting sqref="Y5">
    <cfRule type="expression" dxfId="179" priority="281" stopIfTrue="1">
      <formula>Y$3="So"</formula>
    </cfRule>
    <cfRule type="expression" dxfId="178" priority="282" stopIfTrue="1">
      <formula>Y$3="Sa"</formula>
    </cfRule>
  </conditionalFormatting>
  <conditionalFormatting sqref="X5">
    <cfRule type="expression" dxfId="177" priority="279" stopIfTrue="1">
      <formula>X$3="So"</formula>
    </cfRule>
    <cfRule type="expression" dxfId="176" priority="280" stopIfTrue="1">
      <formula>X$3="Sa"</formula>
    </cfRule>
  </conditionalFormatting>
  <conditionalFormatting sqref="AL5">
    <cfRule type="expression" dxfId="173" priority="275" stopIfTrue="1">
      <formula>AL$3="So"</formula>
    </cfRule>
    <cfRule type="expression" dxfId="172" priority="276" stopIfTrue="1">
      <formula>AL$3="Sa"</formula>
    </cfRule>
  </conditionalFormatting>
  <conditionalFormatting sqref="AI6:AJ6">
    <cfRule type="expression" dxfId="171" priority="269" stopIfTrue="1">
      <formula>AI$3="So"</formula>
    </cfRule>
    <cfRule type="expression" dxfId="170" priority="270" stopIfTrue="1">
      <formula>AI$3="Sa"</formula>
    </cfRule>
  </conditionalFormatting>
  <conditionalFormatting sqref="AA7">
    <cfRule type="expression" dxfId="169" priority="259" stopIfTrue="1">
      <formula>AA$3="So"</formula>
    </cfRule>
    <cfRule type="expression" dxfId="168" priority="260" stopIfTrue="1">
      <formula>AA$3="Sa"</formula>
    </cfRule>
  </conditionalFormatting>
  <conditionalFormatting sqref="AH7">
    <cfRule type="expression" dxfId="167" priority="257" stopIfTrue="1">
      <formula>AH$3="So"</formula>
    </cfRule>
    <cfRule type="expression" dxfId="166" priority="258" stopIfTrue="1">
      <formula>AH$3="Sa"</formula>
    </cfRule>
  </conditionalFormatting>
  <conditionalFormatting sqref="AI7">
    <cfRule type="expression" dxfId="165" priority="255" stopIfTrue="1">
      <formula>AI$3="So"</formula>
    </cfRule>
    <cfRule type="expression" dxfId="164" priority="256" stopIfTrue="1">
      <formula>AI$3="Sa"</formula>
    </cfRule>
  </conditionalFormatting>
  <conditionalFormatting sqref="M9">
    <cfRule type="expression" dxfId="163" priority="253" stopIfTrue="1">
      <formula>M$3="So"</formula>
    </cfRule>
    <cfRule type="expression" dxfId="162" priority="254" stopIfTrue="1">
      <formula>M$3="Sa"</formula>
    </cfRule>
  </conditionalFormatting>
  <conditionalFormatting sqref="AB15">
    <cfRule type="expression" dxfId="161" priority="239" stopIfTrue="1">
      <formula>AB$3="So"</formula>
    </cfRule>
    <cfRule type="expression" dxfId="160" priority="240" stopIfTrue="1">
      <formula>AB$3="Sa"</formula>
    </cfRule>
  </conditionalFormatting>
  <conditionalFormatting sqref="AI15">
    <cfRule type="expression" dxfId="159" priority="237" stopIfTrue="1">
      <formula>AI$3="So"</formula>
    </cfRule>
    <cfRule type="expression" dxfId="158" priority="238" stopIfTrue="1">
      <formula>AI$3="Sa"</formula>
    </cfRule>
  </conditionalFormatting>
  <conditionalFormatting sqref="AJ15">
    <cfRule type="expression" dxfId="157" priority="235" stopIfTrue="1">
      <formula>AJ$3="So"</formula>
    </cfRule>
    <cfRule type="expression" dxfId="156" priority="236" stopIfTrue="1">
      <formula>AJ$3="Sa"</formula>
    </cfRule>
  </conditionalFormatting>
  <conditionalFormatting sqref="G5">
    <cfRule type="expression" dxfId="155" priority="233" stopIfTrue="1">
      <formula>G$3="So"</formula>
    </cfRule>
    <cfRule type="expression" dxfId="154" priority="234" stopIfTrue="1">
      <formula>G$3="Sa"</formula>
    </cfRule>
  </conditionalFormatting>
  <conditionalFormatting sqref="D13">
    <cfRule type="expression" dxfId="153" priority="231" stopIfTrue="1">
      <formula>D$3="So"</formula>
    </cfRule>
    <cfRule type="expression" dxfId="152" priority="232" stopIfTrue="1">
      <formula>D$3="Sa"</formula>
    </cfRule>
  </conditionalFormatting>
  <conditionalFormatting sqref="AF11">
    <cfRule type="expression" dxfId="151" priority="229" stopIfTrue="1">
      <formula>AF$3="So"</formula>
    </cfRule>
    <cfRule type="expression" dxfId="150" priority="230" stopIfTrue="1">
      <formula>AF$3="Sa"</formula>
    </cfRule>
  </conditionalFormatting>
  <conditionalFormatting sqref="K20">
    <cfRule type="expression" dxfId="149" priority="225" stopIfTrue="1">
      <formula>K$3="So"</formula>
    </cfRule>
    <cfRule type="expression" dxfId="148" priority="226" stopIfTrue="1">
      <formula>K$3="Sa"</formula>
    </cfRule>
  </conditionalFormatting>
  <conditionalFormatting sqref="K21">
    <cfRule type="expression" dxfId="147" priority="223" stopIfTrue="1">
      <formula>K$3="So"</formula>
    </cfRule>
    <cfRule type="expression" dxfId="146" priority="224" stopIfTrue="1">
      <formula>K$3="Sa"</formula>
    </cfRule>
  </conditionalFormatting>
  <conditionalFormatting sqref="O19">
    <cfRule type="expression" dxfId="145" priority="191" stopIfTrue="1">
      <formula>O$3="So"</formula>
    </cfRule>
    <cfRule type="expression" dxfId="144" priority="192" stopIfTrue="1">
      <formula>O$3="Sa"</formula>
    </cfRule>
  </conditionalFormatting>
  <conditionalFormatting sqref="U19:V19 U20:U21">
    <cfRule type="expression" dxfId="143" priority="185" stopIfTrue="1">
      <formula>U$3="So"</formula>
    </cfRule>
    <cfRule type="expression" dxfId="142" priority="186" stopIfTrue="1">
      <formula>U$3="Sa"</formula>
    </cfRule>
  </conditionalFormatting>
  <conditionalFormatting sqref="AB19:AC19 AB20:AB21">
    <cfRule type="expression" dxfId="141" priority="183" stopIfTrue="1">
      <formula>AB$3="So"</formula>
    </cfRule>
    <cfRule type="expression" dxfId="140" priority="184" stopIfTrue="1">
      <formula>AB$3="Sa"</formula>
    </cfRule>
  </conditionalFormatting>
  <conditionalFormatting sqref="AJ19">
    <cfRule type="expression" dxfId="139" priority="181" stopIfTrue="1">
      <formula>AJ$3="So"</formula>
    </cfRule>
    <cfRule type="expression" dxfId="138" priority="182" stopIfTrue="1">
      <formula>AJ$3="Sa"</formula>
    </cfRule>
  </conditionalFormatting>
  <conditionalFormatting sqref="W20">
    <cfRule type="expression" dxfId="137" priority="173" stopIfTrue="1">
      <formula>W$3="So"</formula>
    </cfRule>
    <cfRule type="expression" dxfId="136" priority="174" stopIfTrue="1">
      <formula>W$3="Sa"</formula>
    </cfRule>
  </conditionalFormatting>
  <conditionalFormatting sqref="W21">
    <cfRule type="expression" dxfId="135" priority="171" stopIfTrue="1">
      <formula>W$3="So"</formula>
    </cfRule>
    <cfRule type="expression" dxfId="134" priority="172" stopIfTrue="1">
      <formula>W$3="Sa"</formula>
    </cfRule>
  </conditionalFormatting>
  <conditionalFormatting sqref="Q21">
    <cfRule type="expression" dxfId="133" priority="163" stopIfTrue="1">
      <formula>Q$3="So"</formula>
    </cfRule>
    <cfRule type="expression" dxfId="132" priority="164" stopIfTrue="1">
      <formula>Q$3="Sa"</formula>
    </cfRule>
  </conditionalFormatting>
  <conditionalFormatting sqref="Z19">
    <cfRule type="expression" dxfId="131" priority="159" stopIfTrue="1">
      <formula>Z$3="So"</formula>
    </cfRule>
    <cfRule type="expression" dxfId="130" priority="160" stopIfTrue="1">
      <formula>Z$3="Sa"</formula>
    </cfRule>
  </conditionalFormatting>
  <conditionalFormatting sqref="AK20">
    <cfRule type="expression" dxfId="129" priority="151" stopIfTrue="1">
      <formula>AK$3="So"</formula>
    </cfRule>
    <cfRule type="expression" dxfId="128" priority="152" stopIfTrue="1">
      <formula>AK$3="Sa"</formula>
    </cfRule>
  </conditionalFormatting>
  <conditionalFormatting sqref="AK21">
    <cfRule type="expression" dxfId="127" priority="149" stopIfTrue="1">
      <formula>AK$3="So"</formula>
    </cfRule>
    <cfRule type="expression" dxfId="126" priority="150" stopIfTrue="1">
      <formula>AK$3="Sa"</formula>
    </cfRule>
  </conditionalFormatting>
  <conditionalFormatting sqref="X6">
    <cfRule type="expression" dxfId="125" priority="145" stopIfTrue="1">
      <formula>X$3="So"</formula>
    </cfRule>
    <cfRule type="expression" dxfId="124" priority="146" stopIfTrue="1">
      <formula>X$3="Sa"</formula>
    </cfRule>
  </conditionalFormatting>
  <conditionalFormatting sqref="Q10">
    <cfRule type="expression" dxfId="123" priority="143" stopIfTrue="1">
      <formula>Q$3="So"</formula>
    </cfRule>
    <cfRule type="expression" dxfId="122" priority="144" stopIfTrue="1">
      <formula>Q$3="Sa"</formula>
    </cfRule>
  </conditionalFormatting>
  <conditionalFormatting sqref="L10">
    <cfRule type="expression" dxfId="121" priority="139" stopIfTrue="1">
      <formula>L$3="So"</formula>
    </cfRule>
    <cfRule type="expression" dxfId="120" priority="140" stopIfTrue="1">
      <formula>L$3="Sa"</formula>
    </cfRule>
  </conditionalFormatting>
  <conditionalFormatting sqref="AE19">
    <cfRule type="expression" dxfId="119" priority="127" stopIfTrue="1">
      <formula>AE$3="So"</formula>
    </cfRule>
    <cfRule type="expression" dxfId="118" priority="128" stopIfTrue="1">
      <formula>AE$3="Sa"</formula>
    </cfRule>
  </conditionalFormatting>
  <conditionalFormatting sqref="L19">
    <cfRule type="expression" dxfId="117" priority="125" stopIfTrue="1">
      <formula>L$3="So"</formula>
    </cfRule>
    <cfRule type="expression" dxfId="116" priority="126" stopIfTrue="1">
      <formula>L$3="Sa"</formula>
    </cfRule>
  </conditionalFormatting>
  <conditionalFormatting sqref="K5">
    <cfRule type="expression" dxfId="115" priority="123" stopIfTrue="1">
      <formula>K$3="So"</formula>
    </cfRule>
    <cfRule type="expression" dxfId="114" priority="124" stopIfTrue="1">
      <formula>K$3="Sa"</formula>
    </cfRule>
  </conditionalFormatting>
  <conditionalFormatting sqref="N6:O6">
    <cfRule type="expression" dxfId="113" priority="121" stopIfTrue="1">
      <formula>N$3="So"</formula>
    </cfRule>
    <cfRule type="expression" dxfId="112" priority="122" stopIfTrue="1">
      <formula>N$3="Sa"</formula>
    </cfRule>
  </conditionalFormatting>
  <conditionalFormatting sqref="U6:V6">
    <cfRule type="expression" dxfId="111" priority="119" stopIfTrue="1">
      <formula>U$3="So"</formula>
    </cfRule>
    <cfRule type="expression" dxfId="110" priority="120" stopIfTrue="1">
      <formula>U$3="Sa"</formula>
    </cfRule>
  </conditionalFormatting>
  <conditionalFormatting sqref="AB6:AC6">
    <cfRule type="expression" dxfId="109" priority="117" stopIfTrue="1">
      <formula>AB$3="So"</formula>
    </cfRule>
    <cfRule type="expression" dxfId="108" priority="118" stopIfTrue="1">
      <formula>AB$3="Sa"</formula>
    </cfRule>
  </conditionalFormatting>
  <conditionalFormatting sqref="K7">
    <cfRule type="expression" dxfId="107" priority="115" stopIfTrue="1">
      <formula>K$3="So"</formula>
    </cfRule>
    <cfRule type="expression" dxfId="106" priority="116" stopIfTrue="1">
      <formula>K$3="Sa"</formula>
    </cfRule>
  </conditionalFormatting>
  <conditionalFormatting sqref="L7">
    <cfRule type="expression" dxfId="105" priority="113" stopIfTrue="1">
      <formula>L$3="So"</formula>
    </cfRule>
    <cfRule type="expression" dxfId="104" priority="114" stopIfTrue="1">
      <formula>L$3="Sa"</formula>
    </cfRule>
  </conditionalFormatting>
  <conditionalFormatting sqref="M7:U7">
    <cfRule type="expression" dxfId="103" priority="111" stopIfTrue="1">
      <formula>M$3="So"</formula>
    </cfRule>
    <cfRule type="expression" dxfId="102" priority="112" stopIfTrue="1">
      <formula>M$3="Sa"</formula>
    </cfRule>
  </conditionalFormatting>
  <conditionalFormatting sqref="X7">
    <cfRule type="expression" dxfId="101" priority="109" stopIfTrue="1">
      <formula>X$3="So"</formula>
    </cfRule>
    <cfRule type="expression" dxfId="100" priority="110" stopIfTrue="1">
      <formula>X$3="Sa"</formula>
    </cfRule>
  </conditionalFormatting>
  <conditionalFormatting sqref="AE7">
    <cfRule type="expression" dxfId="99" priority="107" stopIfTrue="1">
      <formula>AE$3="So"</formula>
    </cfRule>
    <cfRule type="expression" dxfId="98" priority="108" stopIfTrue="1">
      <formula>AE$3="Sa"</formula>
    </cfRule>
  </conditionalFormatting>
  <conditionalFormatting sqref="AL7">
    <cfRule type="expression" dxfId="97" priority="105" stopIfTrue="1">
      <formula>AL$3="So"</formula>
    </cfRule>
    <cfRule type="expression" dxfId="96" priority="106" stopIfTrue="1">
      <formula>AL$3="Sa"</formula>
    </cfRule>
  </conditionalFormatting>
  <conditionalFormatting sqref="AM9">
    <cfRule type="expression" dxfId="95" priority="103" stopIfTrue="1">
      <formula>AM$3="So"</formula>
    </cfRule>
    <cfRule type="expression" dxfId="94" priority="104" stopIfTrue="1">
      <formula>AM$3="Sa"</formula>
    </cfRule>
  </conditionalFormatting>
  <conditionalFormatting sqref="P10">
    <cfRule type="expression" dxfId="93" priority="101" stopIfTrue="1">
      <formula>P$3="So"</formula>
    </cfRule>
    <cfRule type="expression" dxfId="92" priority="102" stopIfTrue="1">
      <formula>P$3="Sa"</formula>
    </cfRule>
  </conditionalFormatting>
  <conditionalFormatting sqref="T10">
    <cfRule type="expression" dxfId="91" priority="99" stopIfTrue="1">
      <formula>T$3="So"</formula>
    </cfRule>
    <cfRule type="expression" dxfId="90" priority="100" stopIfTrue="1">
      <formula>T$3="Sa"</formula>
    </cfRule>
  </conditionalFormatting>
  <conditionalFormatting sqref="V10:AB10">
    <cfRule type="expression" dxfId="89" priority="97" stopIfTrue="1">
      <formula>V$3="So"</formula>
    </cfRule>
    <cfRule type="expression" dxfId="88" priority="98" stopIfTrue="1">
      <formula>V$3="Sa"</formula>
    </cfRule>
  </conditionalFormatting>
  <conditionalFormatting sqref="AD10">
    <cfRule type="expression" dxfId="87" priority="95" stopIfTrue="1">
      <formula>AD$3="So"</formula>
    </cfRule>
    <cfRule type="expression" dxfId="86" priority="96" stopIfTrue="1">
      <formula>AD$3="Sa"</formula>
    </cfRule>
  </conditionalFormatting>
  <conditionalFormatting sqref="AL10:AN10">
    <cfRule type="expression" dxfId="85" priority="93" stopIfTrue="1">
      <formula>AL$3="So"</formula>
    </cfRule>
    <cfRule type="expression" dxfId="84" priority="94" stopIfTrue="1">
      <formula>AL$3="Sa"</formula>
    </cfRule>
  </conditionalFormatting>
  <conditionalFormatting sqref="AK10">
    <cfRule type="expression" dxfId="83" priority="91" stopIfTrue="1">
      <formula>AK$3="So"</formula>
    </cfRule>
    <cfRule type="expression" dxfId="82" priority="92" stopIfTrue="1">
      <formula>AK$3="Sa"</formula>
    </cfRule>
  </conditionalFormatting>
  <conditionalFormatting sqref="K19">
    <cfRule type="expression" dxfId="81" priority="89" stopIfTrue="1">
      <formula>K$3="So"</formula>
    </cfRule>
    <cfRule type="expression" dxfId="80" priority="90" stopIfTrue="1">
      <formula>K$3="Sa"</formula>
    </cfRule>
  </conditionalFormatting>
  <conditionalFormatting sqref="L20">
    <cfRule type="expression" dxfId="79" priority="87" stopIfTrue="1">
      <formula>L$3="So"</formula>
    </cfRule>
    <cfRule type="expression" dxfId="78" priority="88" stopIfTrue="1">
      <formula>L$3="Sa"</formula>
    </cfRule>
  </conditionalFormatting>
  <conditionalFormatting sqref="M20">
    <cfRule type="expression" dxfId="77" priority="85" stopIfTrue="1">
      <formula>M$3="So"</formula>
    </cfRule>
    <cfRule type="expression" dxfId="76" priority="86" stopIfTrue="1">
      <formula>M$3="Sa"</formula>
    </cfRule>
  </conditionalFormatting>
  <conditionalFormatting sqref="L21:M21">
    <cfRule type="expression" dxfId="75" priority="83" stopIfTrue="1">
      <formula>L$3="So"</formula>
    </cfRule>
    <cfRule type="expression" dxfId="74" priority="84" stopIfTrue="1">
      <formula>L$3="Sa"</formula>
    </cfRule>
  </conditionalFormatting>
  <conditionalFormatting sqref="O20:O21">
    <cfRule type="expression" dxfId="73" priority="81" stopIfTrue="1">
      <formula>O$3="So"</formula>
    </cfRule>
    <cfRule type="expression" dxfId="72" priority="82" stopIfTrue="1">
      <formula>O$3="Sa"</formula>
    </cfRule>
  </conditionalFormatting>
  <conditionalFormatting sqref="V20">
    <cfRule type="expression" dxfId="71" priority="79" stopIfTrue="1">
      <formula>V$3="So"</formula>
    </cfRule>
    <cfRule type="expression" dxfId="70" priority="80" stopIfTrue="1">
      <formula>V$3="Sa"</formula>
    </cfRule>
  </conditionalFormatting>
  <conditionalFormatting sqref="V21">
    <cfRule type="expression" dxfId="69" priority="77" stopIfTrue="1">
      <formula>V$3="So"</formula>
    </cfRule>
    <cfRule type="expression" dxfId="68" priority="78" stopIfTrue="1">
      <formula>V$3="Sa"</formula>
    </cfRule>
  </conditionalFormatting>
  <conditionalFormatting sqref="AC20">
    <cfRule type="expression" dxfId="67" priority="75" stopIfTrue="1">
      <formula>AC$3="So"</formula>
    </cfRule>
    <cfRule type="expression" dxfId="66" priority="76" stopIfTrue="1">
      <formula>AC$3="Sa"</formula>
    </cfRule>
  </conditionalFormatting>
  <conditionalFormatting sqref="AC21">
    <cfRule type="expression" dxfId="65" priority="73" stopIfTrue="1">
      <formula>AC$3="So"</formula>
    </cfRule>
    <cfRule type="expression" dxfId="64" priority="74" stopIfTrue="1">
      <formula>AC$3="Sa"</formula>
    </cfRule>
  </conditionalFormatting>
  <conditionalFormatting sqref="AJ20">
    <cfRule type="expression" dxfId="63" priority="71" stopIfTrue="1">
      <formula>AJ$3="So"</formula>
    </cfRule>
    <cfRule type="expression" dxfId="62" priority="72" stopIfTrue="1">
      <formula>AJ$3="Sa"</formula>
    </cfRule>
  </conditionalFormatting>
  <conditionalFormatting sqref="AJ21">
    <cfRule type="expression" dxfId="61" priority="69" stopIfTrue="1">
      <formula>AJ$3="So"</formula>
    </cfRule>
    <cfRule type="expression" dxfId="60" priority="70" stopIfTrue="1">
      <formula>AJ$3="Sa"</formula>
    </cfRule>
  </conditionalFormatting>
  <conditionalFormatting sqref="AQ20">
    <cfRule type="expression" dxfId="59" priority="67" stopIfTrue="1">
      <formula>AQ$3="So"</formula>
    </cfRule>
    <cfRule type="expression" dxfId="58" priority="68" stopIfTrue="1">
      <formula>AQ$3="Sa"</formula>
    </cfRule>
  </conditionalFormatting>
  <conditionalFormatting sqref="AQ21">
    <cfRule type="expression" dxfId="57" priority="65" stopIfTrue="1">
      <formula>AQ$3="So"</formula>
    </cfRule>
    <cfRule type="expression" dxfId="56" priority="66" stopIfTrue="1">
      <formula>AQ$3="Sa"</formula>
    </cfRule>
  </conditionalFormatting>
  <conditionalFormatting sqref="R19">
    <cfRule type="expression" dxfId="55" priority="63" stopIfTrue="1">
      <formula>R$3="So"</formula>
    </cfRule>
    <cfRule type="expression" dxfId="54" priority="64" stopIfTrue="1">
      <formula>R$3="Sa"</formula>
    </cfRule>
  </conditionalFormatting>
  <conditionalFormatting sqref="S19">
    <cfRule type="expression" dxfId="53" priority="61" stopIfTrue="1">
      <formula>S$3="So"</formula>
    </cfRule>
    <cfRule type="expression" dxfId="52" priority="62" stopIfTrue="1">
      <formula>S$3="Sa"</formula>
    </cfRule>
  </conditionalFormatting>
  <conditionalFormatting sqref="S20:T21">
    <cfRule type="expression" dxfId="51" priority="59" stopIfTrue="1">
      <formula>S$3="So"</formula>
    </cfRule>
    <cfRule type="expression" dxfId="50" priority="60" stopIfTrue="1">
      <formula>S$3="Sa"</formula>
    </cfRule>
  </conditionalFormatting>
  <conditionalFormatting sqref="R21">
    <cfRule type="expression" dxfId="49" priority="55" stopIfTrue="1">
      <formula>R$3="So"</formula>
    </cfRule>
    <cfRule type="expression" dxfId="48" priority="56" stopIfTrue="1">
      <formula>R$3="Sa"</formula>
    </cfRule>
  </conditionalFormatting>
  <conditionalFormatting sqref="Q20">
    <cfRule type="expression" dxfId="47" priority="53" stopIfTrue="1">
      <formula>Q$3="So"</formula>
    </cfRule>
    <cfRule type="expression" dxfId="46" priority="54" stopIfTrue="1">
      <formula>Q$3="Sa"</formula>
    </cfRule>
  </conditionalFormatting>
  <conditionalFormatting sqref="Y19">
    <cfRule type="expression" dxfId="45" priority="51" stopIfTrue="1">
      <formula>Y$3="So"</formula>
    </cfRule>
    <cfRule type="expression" dxfId="44" priority="52" stopIfTrue="1">
      <formula>Y$3="Sa"</formula>
    </cfRule>
  </conditionalFormatting>
  <conditionalFormatting sqref="AF19">
    <cfRule type="expression" dxfId="43" priority="49" stopIfTrue="1">
      <formula>AF$3="So"</formula>
    </cfRule>
    <cfRule type="expression" dxfId="42" priority="50" stopIfTrue="1">
      <formula>AF$3="Sa"</formula>
    </cfRule>
  </conditionalFormatting>
  <conditionalFormatting sqref="AM19">
    <cfRule type="expression" dxfId="41" priority="47" stopIfTrue="1">
      <formula>AM$3="So"</formula>
    </cfRule>
    <cfRule type="expression" dxfId="40" priority="48" stopIfTrue="1">
      <formula>AM$3="Sa"</formula>
    </cfRule>
  </conditionalFormatting>
  <conditionalFormatting sqref="Z20:AA21">
    <cfRule type="expression" dxfId="39" priority="45" stopIfTrue="1">
      <formula>Z$3="So"</formula>
    </cfRule>
    <cfRule type="expression" dxfId="38" priority="46" stopIfTrue="1">
      <formula>Z$3="Sa"</formula>
    </cfRule>
  </conditionalFormatting>
  <conditionalFormatting sqref="AG20:AH21">
    <cfRule type="expression" dxfId="37" priority="43" stopIfTrue="1">
      <formula>AG$3="So"</formula>
    </cfRule>
    <cfRule type="expression" dxfId="36" priority="44" stopIfTrue="1">
      <formula>AG$3="Sa"</formula>
    </cfRule>
  </conditionalFormatting>
  <conditionalFormatting sqref="AE20">
    <cfRule type="expression" dxfId="35" priority="41" stopIfTrue="1">
      <formula>AE$3="So"</formula>
    </cfRule>
    <cfRule type="expression" dxfId="34" priority="42" stopIfTrue="1">
      <formula>AE$3="Sa"</formula>
    </cfRule>
  </conditionalFormatting>
  <conditionalFormatting sqref="AN19">
    <cfRule type="expression" dxfId="33" priority="37" stopIfTrue="1">
      <formula>AN$3="So"</formula>
    </cfRule>
    <cfRule type="expression" dxfId="32" priority="38" stopIfTrue="1">
      <formula>AN$3="Sa"</formula>
    </cfRule>
  </conditionalFormatting>
  <conditionalFormatting sqref="AM20">
    <cfRule type="expression" dxfId="31" priority="35" stopIfTrue="1">
      <formula>AM$3="So"</formula>
    </cfRule>
    <cfRule type="expression" dxfId="30" priority="36" stopIfTrue="1">
      <formula>AM$3="Sa"</formula>
    </cfRule>
  </conditionalFormatting>
  <conditionalFormatting sqref="AN20:AO21">
    <cfRule type="expression" dxfId="29" priority="33" stopIfTrue="1">
      <formula>AN$3="So"</formula>
    </cfRule>
    <cfRule type="expression" dxfId="28" priority="34" stopIfTrue="1">
      <formula>AN$3="Sa"</formula>
    </cfRule>
  </conditionalFormatting>
  <conditionalFormatting sqref="AO19">
    <cfRule type="expression" dxfId="27" priority="31" stopIfTrue="1">
      <formula>AO$3="So"</formula>
    </cfRule>
    <cfRule type="expression" dxfId="26" priority="32" stopIfTrue="1">
      <formula>AO$3="Sa"</formula>
    </cfRule>
  </conditionalFormatting>
  <conditionalFormatting sqref="D14:AS14">
    <cfRule type="expression" dxfId="25" priority="29" stopIfTrue="1">
      <formula>D$3="So"</formula>
    </cfRule>
    <cfRule type="expression" dxfId="24" priority="30" stopIfTrue="1">
      <formula>D$3="Sa"</formula>
    </cfRule>
  </conditionalFormatting>
  <conditionalFormatting sqref="K15">
    <cfRule type="expression" dxfId="23" priority="27" stopIfTrue="1">
      <formula>K$3="So"</formula>
    </cfRule>
    <cfRule type="expression" dxfId="22" priority="28" stopIfTrue="1">
      <formula>K$3="Sa"</formula>
    </cfRule>
  </conditionalFormatting>
  <conditionalFormatting sqref="R15">
    <cfRule type="expression" dxfId="21" priority="21" stopIfTrue="1">
      <formula>R$3="So"</formula>
    </cfRule>
    <cfRule type="expression" dxfId="20" priority="22" stopIfTrue="1">
      <formula>R$3="Sa"</formula>
    </cfRule>
  </conditionalFormatting>
  <conditionalFormatting sqref="Y15">
    <cfRule type="expression" dxfId="19" priority="19" stopIfTrue="1">
      <formula>Y$3="So"</formula>
    </cfRule>
    <cfRule type="expression" dxfId="18" priority="20" stopIfTrue="1">
      <formula>Y$3="Sa"</formula>
    </cfRule>
  </conditionalFormatting>
  <conditionalFormatting sqref="R20">
    <cfRule type="expression" dxfId="17" priority="17" stopIfTrue="1">
      <formula>R$3="So"</formula>
    </cfRule>
    <cfRule type="expression" dxfId="16" priority="18" stopIfTrue="1">
      <formula>R$3="Sa"</formula>
    </cfRule>
  </conditionalFormatting>
  <conditionalFormatting sqref="AE21">
    <cfRule type="expression" dxfId="15" priority="15" stopIfTrue="1">
      <formula>AE$3="So"</formula>
    </cfRule>
    <cfRule type="expression" dxfId="14" priority="16" stopIfTrue="1">
      <formula>AE$3="Sa"</formula>
    </cfRule>
  </conditionalFormatting>
  <conditionalFormatting sqref="AB5:AC5">
    <cfRule type="expression" dxfId="13" priority="13" stopIfTrue="1">
      <formula>AB$3="So"</formula>
    </cfRule>
    <cfRule type="expression" dxfId="12" priority="14" stopIfTrue="1">
      <formula>AB$3="Sa"</formula>
    </cfRule>
  </conditionalFormatting>
  <conditionalFormatting sqref="AI5:AJ5">
    <cfRule type="expression" dxfId="11" priority="11" stopIfTrue="1">
      <formula>AI$3="So"</formula>
    </cfRule>
    <cfRule type="expression" dxfId="10" priority="12" stopIfTrue="1">
      <formula>AI$3="Sa"</formula>
    </cfRule>
  </conditionalFormatting>
  <conditionalFormatting sqref="AP5:AQ5">
    <cfRule type="expression" dxfId="9" priority="9" stopIfTrue="1">
      <formula>AP$3="So"</formula>
    </cfRule>
    <cfRule type="expression" dxfId="8" priority="10" stopIfTrue="1">
      <formula>AP$3="Sa"</formula>
    </cfRule>
  </conditionalFormatting>
  <conditionalFormatting sqref="U5:V5">
    <cfRule type="expression" dxfId="7" priority="7" stopIfTrue="1">
      <formula>U$3="So"</formula>
    </cfRule>
    <cfRule type="expression" dxfId="6" priority="8" stopIfTrue="1">
      <formula>U$3="Sa"</formula>
    </cfRule>
  </conditionalFormatting>
  <conditionalFormatting sqref="N5:O5">
    <cfRule type="expression" dxfId="5" priority="5" stopIfTrue="1">
      <formula>N$3="So"</formula>
    </cfRule>
    <cfRule type="expression" dxfId="4" priority="6" stopIfTrue="1">
      <formula>N$3="Sa"</formula>
    </cfRule>
  </conditionalFormatting>
  <conditionalFormatting sqref="AI11:AJ11">
    <cfRule type="expression" dxfId="3" priority="3" stopIfTrue="1">
      <formula>AI$3="So"</formula>
    </cfRule>
    <cfRule type="expression" dxfId="2" priority="4" stopIfTrue="1">
      <formula>AI$3="Sa"</formula>
    </cfRule>
  </conditionalFormatting>
  <conditionalFormatting sqref="N11:O11">
    <cfRule type="expression" dxfId="1" priority="1" stopIfTrue="1">
      <formula>N$3="So"</formula>
    </cfRule>
    <cfRule type="expression" dxfId="0" priority="2" stopIfTrue="1">
      <formula>N$3="Sa"</formula>
    </cfRule>
  </conditionalFormatting>
  <pageMargins left="0.7" right="0.7" top="0.78740157499999996" bottom="0.78740157499999996" header="0.3" footer="0.3"/>
  <pageSetup paperSize="9" orientation="portrait" horizontalDpi="4294967293"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7D751-32BA-4D68-A336-0841558500F4}">
  <sheetPr codeName="Tabelle6">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47" customFormat="1" ht="39">
      <c r="A1" s="65" t="s">
        <v>68</v>
      </c>
      <c r="B1" s="66"/>
      <c r="C1" s="66"/>
      <c r="D1" s="66"/>
      <c r="E1" s="66"/>
      <c r="F1" s="66"/>
      <c r="G1" s="67"/>
      <c r="H1" s="68" t="s">
        <v>134</v>
      </c>
      <c r="J1" s="69"/>
      <c r="O1" s="70"/>
    </row>
    <row r="2" spans="1:15" s="47" customFormat="1" ht="52">
      <c r="A2" s="65" t="s">
        <v>1</v>
      </c>
      <c r="B2" s="66" t="s">
        <v>49</v>
      </c>
      <c r="C2" s="66" t="s">
        <v>48</v>
      </c>
      <c r="D2" s="66" t="s">
        <v>52</v>
      </c>
      <c r="E2" s="66" t="s">
        <v>50</v>
      </c>
      <c r="F2" s="66" t="s">
        <v>51</v>
      </c>
      <c r="G2" s="67" t="s">
        <v>53</v>
      </c>
      <c r="H2" s="68" t="s">
        <v>135</v>
      </c>
      <c r="I2" s="71" t="s">
        <v>13</v>
      </c>
      <c r="J2" s="72" t="s">
        <v>164</v>
      </c>
      <c r="O2" s="70"/>
    </row>
    <row r="3" spans="1:15" s="48" customFormat="1" ht="25.5">
      <c r="A3" s="93" t="s">
        <v>158</v>
      </c>
      <c r="B3" s="94" t="s">
        <v>158</v>
      </c>
      <c r="C3" s="94" t="s">
        <v>166</v>
      </c>
      <c r="D3" s="95">
        <v>0.33333333333333331</v>
      </c>
      <c r="E3" s="94"/>
      <c r="F3" s="94"/>
      <c r="G3" s="96"/>
      <c r="I3" s="406" t="s">
        <v>174</v>
      </c>
      <c r="J3" s="97"/>
      <c r="O3" s="87"/>
    </row>
    <row r="4" spans="1:15" s="48" customFormat="1" ht="25.5">
      <c r="A4" s="98" t="s">
        <v>157</v>
      </c>
      <c r="B4" s="48" t="s">
        <v>157</v>
      </c>
      <c r="C4" s="48" t="s">
        <v>165</v>
      </c>
      <c r="D4" s="99">
        <v>0.29166666666666669</v>
      </c>
      <c r="G4" s="100"/>
      <c r="I4" s="406"/>
      <c r="J4" s="97"/>
      <c r="O4" s="87"/>
    </row>
    <row r="5" spans="1:15" s="48" customFormat="1" ht="25.5">
      <c r="A5" s="98" t="s">
        <v>159</v>
      </c>
      <c r="B5" s="48" t="s">
        <v>159</v>
      </c>
      <c r="C5" s="48" t="s">
        <v>167</v>
      </c>
      <c r="D5" s="99">
        <v>0.29166666666666669</v>
      </c>
      <c r="G5" s="100"/>
      <c r="I5" s="406"/>
      <c r="J5" s="97"/>
      <c r="O5" s="87"/>
    </row>
    <row r="6" spans="1:15" s="48" customFormat="1" ht="25.5">
      <c r="A6" s="98" t="s">
        <v>160</v>
      </c>
      <c r="B6" s="48" t="s">
        <v>160</v>
      </c>
      <c r="C6" s="48" t="s">
        <v>169</v>
      </c>
      <c r="D6" s="99">
        <v>0.3125</v>
      </c>
      <c r="G6" s="100"/>
      <c r="I6" s="406"/>
      <c r="J6" s="97"/>
      <c r="O6" s="87"/>
    </row>
    <row r="7" spans="1:15" s="48" customFormat="1" ht="25.5">
      <c r="A7" s="101" t="s">
        <v>161</v>
      </c>
      <c r="B7" s="102" t="s">
        <v>161</v>
      </c>
      <c r="C7" s="102" t="s">
        <v>172</v>
      </c>
      <c r="D7" s="80" t="s">
        <v>111</v>
      </c>
      <c r="E7" s="80"/>
      <c r="F7" s="102"/>
      <c r="G7" s="103"/>
      <c r="I7" s="406"/>
      <c r="J7" s="97"/>
      <c r="O7" s="87"/>
    </row>
    <row r="11" spans="1:15" ht="13">
      <c r="A11" s="63" t="s">
        <v>190</v>
      </c>
    </row>
    <row r="13" spans="1:15">
      <c r="A13" s="165" t="s">
        <v>290</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C18A0-4249-4823-BDBF-A53A1F9653FF}">
  <sheetPr codeName="Tabelle10"/>
  <dimension ref="A1:C10"/>
  <sheetViews>
    <sheetView workbookViewId="0">
      <selection activeCell="C2" sqref="C2:C7"/>
    </sheetView>
  </sheetViews>
  <sheetFormatPr baseColWidth="10" defaultRowHeight="12.5"/>
  <cols>
    <col min="1" max="1" width="29" customWidth="1"/>
  </cols>
  <sheetData>
    <row r="1" spans="1:3" ht="15.5">
      <c r="A1" s="56" t="s">
        <v>145</v>
      </c>
      <c r="C1" s="56" t="s">
        <v>146</v>
      </c>
    </row>
    <row r="2" spans="1:3">
      <c r="A2" t="s">
        <v>43</v>
      </c>
      <c r="C2" t="s">
        <v>43</v>
      </c>
    </row>
    <row r="3" spans="1:3" ht="15.5">
      <c r="A3" s="57" t="s">
        <v>147</v>
      </c>
      <c r="C3" s="57" t="s">
        <v>141</v>
      </c>
    </row>
    <row r="4" spans="1:3" ht="15.5">
      <c r="A4" s="57" t="s">
        <v>148</v>
      </c>
      <c r="C4" s="57" t="s">
        <v>149</v>
      </c>
    </row>
    <row r="5" spans="1:3" ht="15.5">
      <c r="A5" s="57" t="s">
        <v>150</v>
      </c>
      <c r="C5" s="57" t="s">
        <v>237</v>
      </c>
    </row>
    <row r="6" spans="1:3" ht="15.5">
      <c r="A6" s="57" t="s">
        <v>140</v>
      </c>
      <c r="C6" s="57" t="s">
        <v>309</v>
      </c>
    </row>
    <row r="7" spans="1:3" ht="15.5">
      <c r="A7" s="57" t="s">
        <v>142</v>
      </c>
      <c r="C7" s="57" t="s">
        <v>350</v>
      </c>
    </row>
    <row r="8" spans="1:3" ht="15.5">
      <c r="A8" s="57" t="s">
        <v>143</v>
      </c>
    </row>
    <row r="9" spans="1:3" ht="15.5">
      <c r="A9" s="57" t="s">
        <v>139</v>
      </c>
    </row>
    <row r="10" spans="1:3" ht="15.5">
      <c r="A10" s="57"/>
    </row>
  </sheetData>
  <pageMargins left="0.7" right="0.7" top="0.78740157499999996" bottom="0.78740157499999996"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E7263-B9E1-44E0-80D9-BD646D49537F}">
  <sheetPr codeName="Tabelle11"/>
  <dimension ref="A1:F26"/>
  <sheetViews>
    <sheetView workbookViewId="0">
      <selection activeCell="E8" sqref="E8"/>
    </sheetView>
  </sheetViews>
  <sheetFormatPr baseColWidth="10" defaultRowHeight="12.5"/>
  <sheetData>
    <row r="1" spans="1:4" ht="13">
      <c r="A1" s="34" t="s">
        <v>1</v>
      </c>
      <c r="B1" s="35" t="s">
        <v>48</v>
      </c>
      <c r="C1" s="35" t="s">
        <v>331</v>
      </c>
    </row>
    <row r="2" spans="1:4">
      <c r="A2" s="219" t="s">
        <v>77</v>
      </c>
      <c r="B2" s="219" t="s">
        <v>90</v>
      </c>
      <c r="C2" s="219" t="s">
        <v>332</v>
      </c>
      <c r="D2" s="222"/>
    </row>
    <row r="3" spans="1:4">
      <c r="A3" s="219" t="s">
        <v>155</v>
      </c>
      <c r="B3" s="219" t="s">
        <v>156</v>
      </c>
      <c r="C3" s="219" t="s">
        <v>332</v>
      </c>
      <c r="D3" s="222"/>
    </row>
    <row r="4" spans="1:4">
      <c r="A4" s="219" t="s">
        <v>188</v>
      </c>
      <c r="B4" s="219" t="s">
        <v>189</v>
      </c>
      <c r="C4" s="219" t="s">
        <v>332</v>
      </c>
      <c r="D4" s="222"/>
    </row>
    <row r="5" spans="1:4">
      <c r="A5" s="221" t="s">
        <v>78</v>
      </c>
      <c r="B5" s="221" t="s">
        <v>91</v>
      </c>
      <c r="C5" s="221" t="s">
        <v>345</v>
      </c>
      <c r="D5" s="227"/>
    </row>
    <row r="6" spans="1:4">
      <c r="A6" s="219" t="s">
        <v>79</v>
      </c>
      <c r="B6" s="219" t="s">
        <v>92</v>
      </c>
      <c r="C6" s="219" t="s">
        <v>335</v>
      </c>
      <c r="D6" s="223"/>
    </row>
    <row r="7" spans="1:4">
      <c r="A7" s="219" t="s">
        <v>337</v>
      </c>
      <c r="B7" s="219" t="s">
        <v>338</v>
      </c>
      <c r="C7" s="219" t="s">
        <v>335</v>
      </c>
      <c r="D7" s="223"/>
    </row>
    <row r="8" spans="1:4">
      <c r="A8" s="219" t="s">
        <v>162</v>
      </c>
      <c r="B8" s="219" t="s">
        <v>168</v>
      </c>
      <c r="C8" s="219" t="s">
        <v>335</v>
      </c>
      <c r="D8" s="223"/>
    </row>
    <row r="9" spans="1:4">
      <c r="A9" s="219" t="s">
        <v>80</v>
      </c>
      <c r="B9" s="219" t="s">
        <v>93</v>
      </c>
      <c r="C9" s="219" t="s">
        <v>335</v>
      </c>
      <c r="D9" s="223"/>
    </row>
    <row r="10" spans="1:4">
      <c r="A10" s="219" t="s">
        <v>339</v>
      </c>
      <c r="B10" s="219" t="s">
        <v>340</v>
      </c>
      <c r="C10" s="219" t="s">
        <v>335</v>
      </c>
      <c r="D10" s="223"/>
    </row>
    <row r="11" spans="1:4">
      <c r="A11" s="219" t="s">
        <v>163</v>
      </c>
      <c r="B11" s="219" t="s">
        <v>170</v>
      </c>
      <c r="C11" s="219" t="s">
        <v>335</v>
      </c>
      <c r="D11" s="223"/>
    </row>
    <row r="12" spans="1:4">
      <c r="A12" s="221" t="s">
        <v>81</v>
      </c>
      <c r="B12" s="221" t="s">
        <v>94</v>
      </c>
      <c r="C12" s="221" t="s">
        <v>333</v>
      </c>
      <c r="D12" s="226"/>
    </row>
    <row r="13" spans="1:4">
      <c r="A13" s="228" t="s">
        <v>82</v>
      </c>
      <c r="B13" s="228" t="s">
        <v>95</v>
      </c>
      <c r="C13" s="228" t="s">
        <v>334</v>
      </c>
      <c r="D13" s="229"/>
    </row>
    <row r="14" spans="1:4">
      <c r="A14" s="220" t="s">
        <v>83</v>
      </c>
      <c r="B14" s="220" t="s">
        <v>96</v>
      </c>
      <c r="C14" s="220" t="s">
        <v>334</v>
      </c>
      <c r="D14" s="230"/>
    </row>
    <row r="15" spans="1:4">
      <c r="A15" s="219" t="s">
        <v>84</v>
      </c>
      <c r="B15" s="219" t="s">
        <v>97</v>
      </c>
      <c r="C15" s="219" t="s">
        <v>336</v>
      </c>
      <c r="D15" s="224"/>
    </row>
    <row r="16" spans="1:4">
      <c r="A16" s="219" t="s">
        <v>85</v>
      </c>
      <c r="B16" s="219" t="s">
        <v>98</v>
      </c>
      <c r="C16" s="219" t="s">
        <v>336</v>
      </c>
      <c r="D16" s="224"/>
    </row>
    <row r="17" spans="1:6">
      <c r="A17" s="219" t="s">
        <v>86</v>
      </c>
      <c r="B17" s="219" t="s">
        <v>99</v>
      </c>
      <c r="C17" s="219" t="s">
        <v>336</v>
      </c>
      <c r="D17" s="224"/>
    </row>
    <row r="18" spans="1:6">
      <c r="A18" s="219" t="s">
        <v>87</v>
      </c>
      <c r="B18" s="219" t="s">
        <v>100</v>
      </c>
      <c r="C18" s="219" t="s">
        <v>336</v>
      </c>
      <c r="D18" s="224"/>
    </row>
    <row r="19" spans="1:6">
      <c r="A19" s="219" t="s">
        <v>88</v>
      </c>
      <c r="B19" s="219" t="s">
        <v>101</v>
      </c>
      <c r="C19" s="219" t="s">
        <v>336</v>
      </c>
      <c r="D19" s="224"/>
    </row>
    <row r="20" spans="1:6">
      <c r="A20" s="219" t="s">
        <v>89</v>
      </c>
      <c r="B20" s="219" t="s">
        <v>102</v>
      </c>
      <c r="C20" s="219" t="s">
        <v>336</v>
      </c>
      <c r="D20" s="224"/>
    </row>
    <row r="21" spans="1:6">
      <c r="A21" s="219"/>
      <c r="B21" s="219"/>
      <c r="C21" s="219"/>
      <c r="D21" s="219"/>
      <c r="E21" s="219"/>
      <c r="F21" s="219"/>
    </row>
    <row r="22" spans="1:6">
      <c r="A22" s="219"/>
      <c r="B22" s="219"/>
      <c r="C22" s="219"/>
      <c r="D22" s="219"/>
      <c r="E22" s="219"/>
      <c r="F22" s="219"/>
    </row>
    <row r="23" spans="1:6">
      <c r="A23" s="219"/>
      <c r="B23" s="219"/>
      <c r="C23" s="219"/>
      <c r="D23" s="219"/>
      <c r="E23" s="219"/>
      <c r="F23" s="219"/>
    </row>
    <row r="24" spans="1:6">
      <c r="A24" s="219"/>
      <c r="B24" s="219"/>
      <c r="C24" s="219"/>
      <c r="D24" s="219"/>
      <c r="E24" s="219"/>
      <c r="F24" s="219"/>
    </row>
    <row r="25" spans="1:6">
      <c r="A25" s="219"/>
      <c r="B25" s="219"/>
      <c r="C25" s="219"/>
      <c r="D25" s="219"/>
      <c r="E25" s="219"/>
      <c r="F25" s="219"/>
    </row>
    <row r="26" spans="1:6">
      <c r="A26" s="219"/>
      <c r="B26" s="219"/>
      <c r="C26" s="219"/>
      <c r="D26" s="219"/>
      <c r="E26" s="219"/>
      <c r="F26" s="219"/>
    </row>
  </sheetData>
  <phoneticPr fontId="9"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2.xml><?xml version="1.0" encoding="utf-8"?>
<ds:datastoreItem xmlns:ds="http://schemas.openxmlformats.org/officeDocument/2006/customXml" ds:itemID="{00BA1D4E-6C31-4240-B53E-97964159ED4E}">
  <ds:schemaRefs>
    <ds:schemaRef ds:uri="http://purl.org/dc/dcmitype/"/>
    <ds:schemaRef ds:uri="http://purl.org/dc/terms/"/>
    <ds:schemaRef ds:uri="http://schemas.microsoft.com/office/2006/metadata/properties"/>
    <ds:schemaRef ds:uri="http://purl.org/dc/elements/1.1/"/>
    <ds:schemaRef ds:uri="http://www.w3.org/XML/1998/namespace"/>
    <ds:schemaRef ds:uri="http://schemas.microsoft.com/office/2006/documentManagement/types"/>
    <ds:schemaRef ds:uri="http://schemas.microsoft.com/office/infopath/2007/PartnerControls"/>
    <ds:schemaRef ds:uri="136c0432-4d9c-4173-8361-2c7368292cc8"/>
    <ds:schemaRef ds:uri="http://schemas.openxmlformats.org/package/2006/metadata/core-properties"/>
    <ds:schemaRef ds:uri="224dcf42-62f9-43cf-884f-ffd622c8a884"/>
  </ds:schemaRefs>
</ds:datastoreItem>
</file>

<file path=customXml/itemProps3.xml><?xml version="1.0" encoding="utf-8"?>
<ds:datastoreItem xmlns:ds="http://schemas.openxmlformats.org/officeDocument/2006/customXml" ds:itemID="{89A96077-797A-477C-B1C8-5DF7CF6F1D4F}"/>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13</vt:i4>
      </vt:variant>
    </vt:vector>
  </HeadingPairs>
  <TitlesOfParts>
    <vt:vector size="13" baseType="lpstr">
      <vt:lpstr>kategorien</vt:lpstr>
      <vt:lpstr>diensttypen</vt:lpstr>
      <vt:lpstr>diensttypgruppen</vt:lpstr>
      <vt:lpstr>Dienstzeiten</vt:lpstr>
      <vt:lpstr>ma-profil</vt:lpstr>
      <vt:lpstr>Personalbedarf_Alma</vt:lpstr>
      <vt:lpstr>Personalbedarf_Pflege</vt:lpstr>
      <vt:lpstr>bedarfe</vt:lpstr>
      <vt:lpstr>ma-basisdaten</vt:lpstr>
      <vt:lpstr>live-daten</vt:lpstr>
      <vt:lpstr>gemischte Dienste</vt:lpstr>
      <vt:lpstr>qualitativeGewichte</vt:lpstr>
      <vt:lpstr>farben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Samuel Kolb</cp:lastModifiedBy>
  <cp:revision/>
  <dcterms:created xsi:type="dcterms:W3CDTF">2021-03-08T13:18:21Z</dcterms:created>
  <dcterms:modified xsi:type="dcterms:W3CDTF">2023-01-27T17:27:41Z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