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comments9.xml" ContentType="application/vnd.openxmlformats-officedocument.spreadsheetml.comments+xml"/>
  <Override PartName="/xl/threadedComments/threadedComment9.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DieseArbeitsmappe"/>
  <mc:AlternateContent xmlns:mc="http://schemas.openxmlformats.org/markup-compatibility/2006">
    <mc:Choice Requires="x15">
      <x15ac:absPath xmlns:x15ac="http://schemas.microsoft.com/office/spreadsheetml/2010/11/ac" url="https://ostch-my.sharepoint.com/personal/vanessa_toscan_ost_ch/Documents/Studium/Master/4. Semester/MATH/Python Auswertungen/pythonProject/Juli 2023/"/>
    </mc:Choice>
  </mc:AlternateContent>
  <xr:revisionPtr revIDLastSave="25" documentId="13_ncr:1_{219D3638-ABD8-4EAA-86FD-573280041CA5}" xr6:coauthVersionLast="47" xr6:coauthVersionMax="47" xr10:uidLastSave="{F3B630D6-2189-4992-B369-D71F6352780D}"/>
  <bookViews>
    <workbookView xWindow="-28920" yWindow="840" windowWidth="29040" windowHeight="15840" firstSheet="2" activeTab="4" xr2:uid="{00000000-000D-0000-FFFF-FFFF00000000}"/>
  </bookViews>
  <sheets>
    <sheet name="kategorien" sheetId="14" r:id="rId1"/>
    <sheet name="ma-basisdaten" sheetId="6" r:id="rId2"/>
    <sheet name="diensttypen" sheetId="10" r:id="rId3"/>
    <sheet name="diensttypgruppen" sheetId="11" r:id="rId4"/>
    <sheet name="ma-profil" sheetId="7" r:id="rId5"/>
    <sheet name="Dienstzeiten" sheetId="17" r:id="rId6"/>
    <sheet name="live-daten" sheetId="9" r:id="rId7"/>
    <sheet name="bedarfe" sheetId="8" r:id="rId8"/>
    <sheet name="generell" sheetId="15" r:id="rId9"/>
    <sheet name="qualitativeGewichte" sheetId="12" r:id="rId10"/>
    <sheet name="Personalbedarf" sheetId="18" r:id="rId11"/>
    <sheet name="gemischte Dienste" sheetId="19" r:id="rId12"/>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W22" i="9" l="1"/>
  <c r="AW21" i="9"/>
  <c r="AW19" i="9" l="1"/>
  <c r="AW14" i="9"/>
  <c r="M54" i="18" l="1"/>
  <c r="N54" i="18"/>
  <c r="O54" i="18"/>
  <c r="P54" i="18"/>
  <c r="Q54" i="18"/>
  <c r="R54" i="18"/>
  <c r="S54" i="18"/>
  <c r="T54" i="18"/>
  <c r="U54" i="18"/>
  <c r="V54" i="18"/>
  <c r="W54" i="18"/>
  <c r="X54" i="18"/>
  <c r="Y54" i="18"/>
  <c r="Z54" i="18"/>
  <c r="AA54" i="18"/>
  <c r="AB54" i="18"/>
  <c r="AC54" i="18"/>
  <c r="AD54" i="18"/>
  <c r="AE54" i="18"/>
  <c r="AF54" i="18"/>
  <c r="AG54" i="18"/>
  <c r="AH54" i="18"/>
  <c r="AI54" i="18"/>
  <c r="AJ54" i="18"/>
  <c r="AK54" i="18"/>
  <c r="AL54" i="18"/>
  <c r="AM54" i="18"/>
  <c r="AN54" i="18"/>
  <c r="AO54" i="18"/>
  <c r="AP54" i="18"/>
  <c r="AQ54" i="18"/>
  <c r="AR54" i="18"/>
  <c r="AS54" i="18"/>
  <c r="AT54" i="18"/>
  <c r="AU54" i="18"/>
  <c r="AV54" i="18"/>
  <c r="AW54" i="18"/>
  <c r="AX54" i="18"/>
  <c r="AY54" i="18"/>
  <c r="AZ54" i="18"/>
  <c r="BA54" i="18"/>
  <c r="BB54" i="18"/>
  <c r="BC54" i="18"/>
  <c r="BD54" i="18"/>
  <c r="BE54" i="18"/>
  <c r="BF54" i="18"/>
  <c r="BG54" i="18"/>
  <c r="BH54" i="18"/>
  <c r="BI54" i="18"/>
  <c r="BJ54" i="18"/>
  <c r="BK54" i="18"/>
  <c r="BL54" i="18"/>
  <c r="BM54" i="18"/>
  <c r="L54" i="18"/>
  <c r="AW20" i="9"/>
  <c r="AW5" i="9"/>
  <c r="AW17" i="9" l="1"/>
  <c r="AW12" i="9"/>
  <c r="AW16" i="9"/>
  <c r="AW15" i="9"/>
  <c r="AW18" i="9"/>
  <c r="AW10" i="9"/>
  <c r="AW9" i="9"/>
  <c r="AW11" i="9"/>
  <c r="AW13" i="9"/>
  <c r="AW7" i="9"/>
  <c r="AW8" i="9"/>
  <c r="AW6" i="9"/>
  <c r="D4" i="9"/>
  <c r="D3" i="9" l="1"/>
  <c r="E4" i="9" l="1"/>
  <c r="F4" i="9" l="1"/>
  <c r="E3" i="9"/>
  <c r="F3" i="9" l="1"/>
  <c r="G4" i="9"/>
  <c r="G3" i="9" l="1"/>
  <c r="H4" i="9"/>
  <c r="H3" i="9" l="1"/>
  <c r="I4" i="9"/>
  <c r="I3" i="9" l="1"/>
  <c r="J4" i="9"/>
  <c r="J3" i="9" l="1"/>
  <c r="K4" i="9"/>
  <c r="K3" i="9" l="1"/>
  <c r="L4" i="9"/>
  <c r="L3" i="9" l="1"/>
  <c r="M4" i="9"/>
  <c r="N4" i="9" l="1"/>
  <c r="M3" i="9"/>
  <c r="N3" i="9" l="1"/>
  <c r="O4" i="9"/>
  <c r="O3" i="9" l="1"/>
  <c r="P4" i="9"/>
  <c r="P3" i="9" l="1"/>
  <c r="Q4" i="9"/>
  <c r="Q3" i="9" s="1"/>
  <c r="R4" i="9" l="1"/>
  <c r="R3" i="9" l="1"/>
  <c r="S4" i="9"/>
  <c r="T4" i="9" l="1"/>
  <c r="S3" i="9"/>
  <c r="U4" i="9" l="1"/>
  <c r="T3" i="9"/>
  <c r="V4" i="9" l="1"/>
  <c r="U3" i="9"/>
  <c r="W4" i="9" l="1"/>
  <c r="V3" i="9"/>
  <c r="W3" i="9" l="1"/>
  <c r="X4" i="9"/>
  <c r="X3" i="9" l="1"/>
  <c r="Y4" i="9"/>
  <c r="Y3" i="9" l="1"/>
  <c r="Z4" i="9"/>
  <c r="Z3" i="9" l="1"/>
  <c r="AA4" i="9"/>
  <c r="AA3" i="9" l="1"/>
  <c r="AB4" i="9"/>
  <c r="AB3" i="9" l="1"/>
  <c r="AC4" i="9"/>
  <c r="AD4" i="9" l="1"/>
  <c r="AC3" i="9"/>
  <c r="AD3" i="9" l="1"/>
  <c r="AE4" i="9"/>
  <c r="AE3" i="9" l="1"/>
  <c r="AF4" i="9"/>
  <c r="AF3" i="9" l="1"/>
  <c r="AG4" i="9"/>
  <c r="AG3" i="9" l="1"/>
  <c r="AH4" i="9"/>
  <c r="AI4" i="9" l="1"/>
  <c r="AH3" i="9"/>
  <c r="AJ4" i="9" l="1"/>
  <c r="AI3" i="9"/>
  <c r="AJ3" i="9" l="1"/>
  <c r="AK4" i="9"/>
  <c r="AL4" i="9" l="1"/>
  <c r="AK3" i="9"/>
  <c r="AM4" i="9" l="1"/>
  <c r="AL3" i="9"/>
  <c r="AM3" i="9" l="1"/>
  <c r="AN4" i="9"/>
  <c r="AO4" i="9" s="1"/>
  <c r="AP4" i="9" l="1"/>
  <c r="AO3" i="9"/>
  <c r="AN3" i="9"/>
  <c r="AQ4" i="9" l="1"/>
  <c r="AP3" i="9"/>
  <c r="AR4" i="9" l="1"/>
  <c r="AQ3" i="9"/>
  <c r="AS4" i="9" l="1"/>
  <c r="AS3" i="9" s="1"/>
  <c r="AR3"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tc={34E8AA98-C930-406B-871C-5ADB56AF3557}</author>
    <author>tc={0A25C8D5-ECFC-4FB1-85A9-2D300F9EA1F5}</author>
  </authors>
  <commentList>
    <comment ref="C12" authorId="0" shapeId="0" xr:uid="{34E8AA98-C930-406B-871C-5ADB56AF355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40</t>
      </text>
    </comment>
    <comment ref="C13" authorId="1" shapeId="0" xr:uid="{0A25C8D5-ECFC-4FB1-85A9-2D300F9EA1F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90, aber gem. Monika aktuell 100 einplanen</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tc={49FFF105-FA98-4557-9874-EC64961F2346}</author>
    <author>tc={4C3A5EA4-339C-441E-A62A-FB5CF17A97DE}</author>
    <author>tc={676D13EF-E117-4BD2-9E6E-4BC8BA6C8B1C}</author>
    <author>tc={08282C50-1F64-4E7D-9D6B-8FA69D095E45}</author>
    <author>tc={411B5C42-839E-411F-8A35-F472ABFDE651}</author>
    <author>tc={BC8FDE02-8213-4654-9E1A-ECDF6BF79C8B}</author>
  </authors>
  <commentList>
    <comment ref="D16" authorId="0" shapeId="0" xr:uid="{49FFF105-FA98-4557-9874-EC64961F234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05:45, wird aber auf Plan zu klein angezeigt</t>
      </text>
    </comment>
    <comment ref="C20" authorId="1" shapeId="0" xr:uid="{4C3A5EA4-339C-441E-A62A-FB5CF17A97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16:15, wird aber im Plan zu klein angezeigt</t>
      </text>
    </comment>
    <comment ref="D20" authorId="2" shapeId="0" xr:uid="{676D13EF-E117-4BD2-9E6E-4BC8BA6C8B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eigentlich 02:30, wird aber im Plan zu klein angezeigt</t>
      </text>
    </comment>
    <comment ref="D28" authorId="3" shapeId="0" xr:uid="{08282C50-1F64-4E7D-9D6B-8FA69D095E4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4" authorId="4" shapeId="0" xr:uid="{411B5C42-839E-411F-8A35-F472ABFDE6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 ref="D35" authorId="5" shapeId="0" xr:uid="{BC8FDE02-8213-4654-9E1A-ECDF6BF79C8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wie lange dauert Doku Nachmittag?</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tc={D1EADF04-72C5-4AC2-AEDE-4BEA5CC501B5}</author>
    <author>tc={B17EA548-B3AB-47C5-86FC-BB88BDCBD0F4}</author>
    <author>tc={7E09B71C-A68F-48A8-ADA4-283E18E3C5D0}</author>
  </authors>
  <commentList>
    <comment ref="A7" authorId="0" shapeId="0" xr:uid="{D1EADF04-72C5-4AC2-AEDE-4BEA5CC501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zählen nicht zum Bedarf am VM</t>
      </text>
    </comment>
    <comment ref="A11" authorId="1" shapeId="0" xr:uid="{B17EA548-B3AB-47C5-86FC-BB88BDCBD0F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Vor Früh": Für "Früh vor Frei" - Regel relevant</t>
      </text>
    </comment>
    <comment ref="A16" authorId="2" shapeId="0" xr:uid="{7E09B71C-A68F-48A8-ADA4-283E18E3C5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Für Planungswunsch: Jeden 1. Montag F1 oder G1. Mit Reinhard besprechen
Antwort:
    Wird im Planungswunsch 2.0 berücksichtigt. In Version 1.0 noch nicht</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tc={25E53D01-BBAC-4DD8-89A3-D7CB8E699386}</author>
    <author>tc={0B6CCD2D-EBA5-4086-B6F7-F4CA70561074}</author>
    <author>tc={EE32E801-A485-4F1B-AB04-8F76E8E4349C}</author>
    <author>tc={08DEC01A-0E68-4572-B9A8-DB0742DA0672}</author>
    <author>tc={4783FC6E-D9CB-46B8-808D-CA9EA8DA034B}</author>
    <author>tc={A11447F0-CE45-40AD-BE33-A4A2EFE1CF39}</author>
    <author>tc={DDEAEEF3-2AAD-46B0-9B2F-88772A049AAE}</author>
    <author>tc={FA526BE6-6D61-4F0D-9762-6D88FE637609}</author>
    <author>tc={19728A74-03C8-476B-B435-07DAC7501430}</author>
    <author>tc={FCF251BD-D27F-4F81-BC09-8D3276BE1794}</author>
    <author>tc={FC7D798C-98E9-4971-B670-E78BF4F85EBC}</author>
    <author>tc={CBEFF0E7-4B91-4D6D-AFB9-EF156CB5AA7F}</author>
    <author>tc={E6EC6261-0B97-4006-81DE-9C359AE81AA1}</author>
    <author>tc={13AA3D54-012E-4CD0-9EDA-F8A7BFCE1209}</author>
    <author>tc={975EEF6F-94D2-4249-8E84-698C47BDC4E4}</author>
    <author>tc={66ED8BC8-CB1D-4DBD-A433-E946FAAB6607}</author>
    <author>tc={699D9CB2-58FA-41EB-B6F5-19759161CF61}</author>
    <author>tc={9EEC97AD-6F7D-4EDB-9854-53F2A67C8705}</author>
    <author>tc={052B9747-5F06-4377-BDAF-5E8063E73E71}</author>
    <author>tc={116B9C13-B2A0-4B74-B79F-22AECE7F7FDC}</author>
    <author>tc={C0395729-4E0F-46EA-9F10-8B05280D50B9}</author>
    <author>tc={A9ECF1E1-D4DF-4D40-A09D-D5847E715C9E}</author>
    <author>tc={D6FBA118-E0AF-4B2F-8E16-8BAE89DF2049}</author>
    <author>tc={51842F7D-2203-4932-BFEE-38C6BAB478E1}</author>
    <author>tc={92A500B3-739D-4B3D-8BB7-1D460388C100}</author>
    <author>tc={881FDCEE-692F-4F7B-B30E-38C3AF77903E}</author>
    <author>tc={23DD3B85-DDC3-43B2-BD44-0B229851BCFE}</author>
    <author>tc={923BF334-89DC-444A-950F-15C182BDD004}</author>
    <author>tc={9E050493-9DAF-402E-B66C-60BD7F19A0DA}</author>
    <author>tc={4409BBC2-D332-4820-8268-BEB217CC77BF}</author>
    <author>tc={75ECE491-8D22-43C9-AFE5-22771BDC1F96}</author>
    <author>tc={1147671D-92F1-457F-9CDB-8AAD0712BD74}</author>
    <author>tc={51A436E9-C312-4653-A234-B316DB8B1602}</author>
    <author>tc={FA99DE55-B716-4523-9120-69DF1B91A569}</author>
    <author>tc={2AECD62A-02FD-4238-AA5F-6F3E9C53770A}</author>
    <author>tc={7826FE1D-2B88-411A-BBC3-4F9A0E0375A3}</author>
    <author>tc={2B638F03-3FE2-4164-A509-E99D5CB5E8B5}</author>
    <author>tc={7ECBB0B6-8065-46E3-BC2A-F6ED45A069B3}</author>
    <author>tc={CBED3272-381B-4339-9A04-54EB7DA84DDE}</author>
    <author>tc={B56E303B-A0FA-430A-9EF1-6148B685604B}</author>
    <author>tc={E8B985B5-63FC-459B-BD54-758866BAAA98}</author>
    <author>tc={E0EF3543-8F51-42A5-BD0D-C1D47DC1B5CC}</author>
    <author>tc={6FFD9BDB-BBBF-4CB8-ACF2-1C5CD97E063D}</author>
    <author>tc={D23BCD2E-5139-4702-9773-38BF83D9CB91}</author>
    <author>tc={C7087E31-EEC4-41E5-B43B-AB6C44BEAB41}</author>
    <author>tc={B04B3110-FE0A-4A31-9400-D98C739192CB}</author>
    <author>tc={37CBDC00-6D13-4D83-869A-D2CCE27F5206}</author>
    <author>tc={CFE58327-3966-45A2-9D85-6D03F2AEB0BA}</author>
    <author>tc={BABACD12-E242-4D20-B8F3-D8B2F6AB7434}</author>
    <author>tc={AF12AA66-7816-4479-8B5B-81724AB998C2}</author>
    <author>tc={9315C8E9-2CF7-404B-B551-90E8BC4D6079}</author>
    <author>tc={9758509A-EB58-4FF5-832B-B8E3535B6D8E}</author>
    <author>tc={D2976F3B-B737-4AA4-9924-639392D186B2}</author>
    <author>tc={EEC5766D-213F-4F53-97B8-C1E14803CB58}</author>
    <author>tc={75FEE6D1-972E-463D-9E96-645A6D81EE77}</author>
    <author>tc={AC534E3D-6A46-4C4D-AC47-0FB85E96BF5F}</author>
    <author>tc={652C0B13-36B6-407F-BE03-E74138F7B6AB}</author>
    <author>tc={B12594FB-F092-4FBA-A299-DC9246D2665D}</author>
    <author>tc={E788BA75-9918-4069-9E09-FA3C975F97BD}</author>
    <author>tc={AA676958-90DB-4558-B0B7-37CF51E6DE92}</author>
    <author>tc={7A7E9D34-61CB-4676-B649-C3093F4EC204}</author>
    <author>tc={D3BC07B6-EDBA-4969-99D8-7810287A94DD}</author>
    <author>tc={9ED01BF7-0C58-4942-9061-12C200CEA3D7}</author>
  </authors>
  <commentList>
    <comment ref="F2" authorId="0" shapeId="0" xr:uid="{25E53D01-BBAC-4DD8-89A3-D7CB8E699386}">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@Reinhard:
Ist das eine Abmachung (fix "kein Frühdienst am Donnerstag") oder eine Präferenz (wenn möglich "kein Frühdienst am Donnerstag")?
Antwort:
    Verbot = verbot, d.h. Planer gibt das ein. Ok für euch? </t>
      </text>
    </comment>
    <comment ref="U2" authorId="1" shapeId="0" xr:uid="{0B6CCD2D-EBA5-4086-B6F7-F4CA705610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Müsste hier der Bereich nicht optLow und optHigh sein? 
Antwort:
    Meines Erachtens nein. Idee: Planer definiert max. (1. Wert). MA definiert „opt“ = optHigh. Min + optLow würde ich immer als 0 interpretieren, d.h. am liebsten keine WE.
Macht das Sinn?
Antwort:
    Ja, das macht Sinn, danke!</t>
      </text>
    </comment>
    <comment ref="K4" authorId="2" shapeId="0" xr:uid="{EE32E801-A485-4F1B-AB04-8F76E8E4349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24-48</t>
      </text>
    </comment>
    <comment ref="T4" authorId="3" shapeId="0" xr:uid="{08DEC01A-0E68-4572-B9A8-DB0742DA06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wenn neutral = 3 - 2, wenn wichtig = 2 - 1, unwichtig wird nicht auf WE geachtet.
Leer = neutral
Antwort:
    nur in Ausnahmefällen werden 3 WE verteilt, deshalb max auf 2 gesetzt.</t>
      </text>
    </comment>
    <comment ref="B5" authorId="4" shapeId="0" xr:uid="{4783FC6E-D9CB-46B8-808D-CA9EA8DA03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C5" authorId="5" shapeId="0" xr:uid="{A11447F0-CE45-40AD-BE33-A4A2EFE1CF3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Mi, Do - 13:00 - 24:00</t>
      </text>
    </comment>
    <comment ref="I5" authorId="6" shapeId="0" xr:uid="{DDEAEEF3-2AAD-46B0-9B2F-88772A049AA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Falls nötig, hier pro Monat einstellen, z.B. Januar 23:
B2 : 14 - 9, B2M : 4 - 0
"Büro-Regel Monika" bereits gelöst mittels:
- Bedarfe
- Un-/Beliebte Dienste
- live-daten (Abmachungen)</t>
      </text>
    </comment>
    <comment ref="K5" authorId="7" shapeId="0" xr:uid="{FA526BE6-6D61-4F0D-9762-6D88FE63760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5" authorId="8" shapeId="0" xr:uid="{19728A74-03C8-476B-B435-07DAC750143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Nach Rücksprache: kein WE einplanen. Sie plant sich dann selbst ein, wo es sie braucht oder wenn jemand krank wird, springt sie ein.</t>
      </text>
    </comment>
    <comment ref="B6" authorId="9" shapeId="0" xr:uid="{FCF251BD-D27F-4F81-BC09-8D3276BE17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J6" authorId="10" shapeId="0" xr:uid="{FC7D798C-98E9-4971-B670-E78BF4F85E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3 - 5</t>
      </text>
    </comment>
    <comment ref="K6" authorId="11" shapeId="0" xr:uid="{CBEFF0E7-4B91-4D6D-AFB9-EF156CB5AA7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T6" authorId="12" shapeId="0" xr:uid="{E6EC6261-0B97-4006-81DE-9C359AE81A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7" authorId="13" shapeId="0" xr:uid="{13AA3D54-012E-4CD0-9EDA-F8A7BFCE120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60</t>
      </text>
    </comment>
    <comment ref="J7" authorId="14" shapeId="0" xr:uid="{975EEF6F-94D2-4249-8E84-698C47BDC4E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soll max. 4er Blöcke machen, sie ist schon 64 Jahre alt, ist zu streng.</t>
      </text>
    </comment>
    <comment ref="T7" authorId="15" shapeId="0" xr:uid="{66ED8BC8-CB1D-4DBD-A433-E946FAAB660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2-3 WE zu arbeiten</t>
      </text>
    </comment>
    <comment ref="B8" authorId="16" shapeId="0" xr:uid="{699D9CB2-58FA-41EB-B6F5-19759161CF6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G8" authorId="17" shapeId="0" xr:uid="{9EEC97AD-6F7D-4EDB-9854-53F2A67C870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 S2 von uns hinzugefügt, um G noch unbeliebter zu machen?</t>
      </text>
    </comment>
    <comment ref="J8" authorId="18" shapeId="0" xr:uid="{052B9747-5F06-4377-BDAF-5E8063E73E7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K8" authorId="19" shapeId="0" xr:uid="{116B9C13-B2A0-4B74-B79F-22AECE7F7FD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8" authorId="20" shapeId="0" xr:uid="{C0395729-4E0F-46EA-9F10-8B05280D50B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G : 3 - 2</t>
      </text>
    </comment>
    <comment ref="T8" authorId="21" shapeId="0" xr:uid="{A9ECF1E1-D4DF-4D40-A09D-D5847E715C9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9" authorId="22" shapeId="0" xr:uid="{D6FBA118-E0AF-4B2F-8E16-8BAE89DF204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30</t>
      </text>
    </comment>
    <comment ref="H9" authorId="23" shapeId="0" xr:uid="{51842F7D-2203-4932-BFEE-38C6BAB478E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
Antwort:
    aktuell verbieten wir diese Wochentage -&gt; falls später wieder nötig: PFvor16 - Mo Di Mi Fr</t>
      </text>
    </comment>
    <comment ref="J9" authorId="24" shapeId="0" xr:uid="{92A500B3-739D-4B3D-8BB7-1D460388C10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4 - 4 - 1</t>
      </text>
    </comment>
    <comment ref="K9" authorId="25" shapeId="0" xr:uid="{881FDCEE-692F-4F7B-B30E-38C3AF7790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9" authorId="26" shapeId="0" xr:uid="{23DD3B85-DDC3-43B2-BD44-0B229851BCF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B10" authorId="27" shapeId="0" xr:uid="{923BF334-89DC-444A-950F-15C182BDD00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C10" authorId="28" shapeId="0" xr:uid="{9E050493-9DAF-402E-B66C-60BD7F19A0D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-16:00 - 24:00, Do - 13:00 - 24:00</t>
      </text>
    </comment>
    <comment ref="J10" authorId="29" shapeId="0" xr:uid="{4409BBC2-D332-4820-8268-BEB217CC77B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6 - 4 - 1</t>
      </text>
    </comment>
    <comment ref="K10" authorId="30" shapeId="0" xr:uid="{75ECE491-8D22-43C9-AFE5-22771BDC1F9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0" authorId="31" shapeId="0" xr:uid="{1147671D-92F1-457F-9CDB-8AAD0712BD7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2/4 oder 3/5 zu arbeiten</t>
      </text>
    </comment>
    <comment ref="B11" authorId="32" shapeId="0" xr:uid="{51A436E9-C312-4653-A234-B316DB8B160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K11" authorId="33" shapeId="0" xr:uid="{FA99DE55-B716-4523-9120-69DF1B91A56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1" authorId="34" shapeId="0" xr:uid="{2AECD62A-02FD-4238-AA5F-6F3E9C5377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S : 5 - 1</t>
      </text>
    </comment>
    <comment ref="T11" authorId="35" shapeId="0" xr:uid="{7826FE1D-2B88-411A-BBC3-4F9A0E0375A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2" authorId="36" shapeId="0" xr:uid="{2B638F03-3FE2-4164-A509-E99D5CB5E8B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T12" authorId="37" shapeId="0" xr:uid="{7ECBB0B6-8065-46E3-BC2A-F6ED45A069B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3" authorId="38" shapeId="0" xr:uid="{CBED3272-381B-4339-9A04-54EB7DA84D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 1.2. 30 % 
Arbeitet nur Dienstag und Wochenende</t>
      </text>
    </comment>
    <comment ref="J13" authorId="39" shapeId="0" xr:uid="{B56E303B-A0FA-430A-9EF1-6148B68560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5 - 4 - 1</t>
      </text>
    </comment>
    <comment ref="K13" authorId="40" shapeId="0" xr:uid="{E8B985B5-63FC-459B-BD54-758866BAAA9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leer</t>
      </text>
    </comment>
    <comment ref="T13" authorId="41" shapeId="0" xr:uid="{E0EF3543-8F51-42A5-BD0D-C1D47DC1B5C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Abgemacht, max. 1 WE zu arbeiten</t>
      </text>
    </comment>
    <comment ref="B14" authorId="42" shapeId="0" xr:uid="{6FFD9BDB-BBBF-4CB8-ACF2-1C5CD97E063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0% seit Februar (Mutterschaft)</t>
      </text>
    </comment>
    <comment ref="C14" authorId="43" shapeId="0" xr:uid="{D23BCD2E-5139-4702-9773-38BF83D9CB9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Mo, Di, Mi, Do - 13:00 - 24:00, Fr - 13:00 - 24:00, Sa - 13:00 - 24:00, So - 13:00 - 24:00</t>
      </text>
    </comment>
    <comment ref="J14" authorId="44" shapeId="0" xr:uid="{C7087E31-EEC4-41E5-B43B-AB6C44BEAB4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5 - 4 - 1</t>
      </text>
    </comment>
    <comment ref="T14" authorId="45" shapeId="0" xr:uid="{B04B3110-FE0A-4A31-9400-D98C739192C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5" authorId="46" shapeId="0" xr:uid="{37CBDC00-6D13-4D83-869A-D2CCE27F52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
Darf aber aktuell 100 eingeplant werden, auch 6er Schichten wenn nötig</t>
      </text>
    </comment>
    <comment ref="K15" authorId="47" shapeId="0" xr:uid="{CFE58327-3966-45A2-9D85-6D03F2AEB0B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 Tag frei zwischen 2 Blöcken möglich!</t>
      </text>
    </comment>
    <comment ref="T15" authorId="48" shapeId="0" xr:uid="{BABACD12-E242-4D20-B8F3-D8B2F6AB743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6" authorId="49" shapeId="0" xr:uid="{AF12AA66-7816-4479-8B5B-81724AB998C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T16" authorId="50" shapeId="0" xr:uid="{9315C8E9-2CF7-404B-B551-90E8BC4D607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Bereit, 2 WE zu arbeiten</t>
      </text>
    </comment>
    <comment ref="B17" authorId="51" shapeId="0" xr:uid="{9758509A-EB58-4FF5-832B-B8E3535B6D8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I17" authorId="52" shapeId="0" xr:uid="{D2976F3B-B737-4AA4-9924-639392D186B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2
wurde geändert wegen Bedarfsregeln für Almas (jeder 3x A3+A6)</t>
      </text>
    </comment>
    <comment ref="K17" authorId="53" shapeId="0" xr:uid="{EEC5766D-213F-4F53-97B8-C1E14803CB5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24-72</t>
      </text>
    </comment>
    <comment ref="L17" authorId="54" shapeId="0" xr:uid="{75FEE6D1-972E-463D-9E96-645A6D81EE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A5 : 5 - 2</t>
      </text>
    </comment>
    <comment ref="T17" authorId="55" shapeId="0" xr:uid="{AC534E3D-6A46-4C4D-AC47-0FB85E96BF5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B18" authorId="56" shapeId="0" xr:uid="{652C0B13-36B6-407F-BE03-E74138F7B6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G18" authorId="57" shapeId="0" xr:uid="{B12594FB-F092-4FBA-A299-DC9246D2665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A1 - Fr Sa So Mo</t>
      </text>
    </comment>
    <comment ref="I18" authorId="58" shapeId="0" xr:uid="{E788BA75-9918-4069-9E09-FA3C975F97B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war A6 : 2
wurde geändert wegen Bedarfsregeln für Almas (jeder 3x A3)</t>
      </text>
    </comment>
    <comment ref="T18" authorId="59" shapeId="0" xr:uid="{AA676958-90DB-4558-B0B7-37CF51E6DE9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 MA-Profil: Bereit, 2 WE zu arbeiten
Gem. Monika: arbeitet gerne an WE, Roswitha mehr WE einplanen, Heidi weniger.</t>
      </text>
    </comment>
    <comment ref="B19" authorId="60" shapeId="0" xr:uid="{7A7E9D34-61CB-4676-B649-C3093F4EC20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 ref="B20" authorId="61" shapeId="0" xr:uid="{D3BC07B6-EDBA-4969-99D8-7810287A94D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 ref="B21" authorId="62" shapeId="0" xr:uid="{9ED01BF7-0C58-4942-9061-12C200CEA3D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100</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tc={CB1BE913-4951-42C1-A645-0B320D57D684}</author>
    <author>tc={13039ACE-9722-4BE4-A31D-CD115E691D06}</author>
  </authors>
  <commentList>
    <comment ref="A9" authorId="0" shapeId="0" xr:uid="{CB1BE913-4951-42C1-A645-0B320D57D68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Alltagsmanagement (nur spezifische MA)</t>
      </text>
    </comment>
    <comment ref="C11" authorId="1" shapeId="0" xr:uid="{13039ACE-9722-4BE4-A31D-CD115E691D0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geht eig. nur bis 16:00.
Da Kombi A3 und A5 als Min-Abdeckung gilt, welche besagt, dass zw. 7:30 und 18:45 1 Person da sein muss, und A5 erst um 16:15 startet, wurde hier 15 min hinzugerechnet. Wird aber bei den anrechenbaren Arbeitsstunden nicht berücksichtigt.</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tc={201B2347-F0F6-4298-9B32-50F1D3A0EC2E}</author>
    <author>tc={3B959140-7754-4F94-B6D6-F037E6D453BE}</author>
    <author>tc={E7625322-5053-491B-91DA-4F8A95F13257}</author>
    <author>tc={03F34EBB-2ABF-488F-B144-CAF8E6ACA51E}</author>
    <author>tc={9A7E9D65-7BF1-47DA-A029-44230768C228}</author>
    <author>tc={176E516D-D8D1-4FA2-9758-50E4407C45E3}</author>
    <author>tc={0763B358-F1B9-43F4-85F8-80D589DBE19B}</author>
    <author>tc={5E0DB4C4-A694-438E-BF34-A9B042F5427A}</author>
    <author>tc={91F36B68-EC87-468A-A353-90366D70F416}</author>
    <author>tc={2DF7F63F-0B1C-46DA-A318-D410404F4628}</author>
    <author>tc={54A72BCC-C138-43E4-91BC-8FCC623F18C5}</author>
    <author>tc={C50E2600-7692-435E-9269-6A9FE9BB9956}</author>
    <author>tc={4FD089DF-3709-4BEC-8BC6-48C0B00EDD4B}</author>
    <author>tc={D8A72647-1060-4BCB-9F8C-5396D2735870}</author>
  </authors>
  <commentList>
    <comment ref="B5" authorId="0" shapeId="0" xr:uid="{201B2347-F0F6-4298-9B32-50F1D3A0EC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B6" authorId="1" shapeId="0" xr:uid="{3B959140-7754-4F94-B6D6-F037E6D453B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J6" authorId="2" shapeId="0" xr:uid="{E7625322-5053-491B-91DA-4F8A95F1325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K2_Doku	G2	K2	F1	F1</t>
      </text>
    </comment>
    <comment ref="B7" authorId="3" shapeId="0" xr:uid="{03F34EBB-2ABF-488F-B144-CAF8E6ACA51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60</t>
      </text>
    </comment>
    <comment ref="B8" authorId="4" shapeId="0" xr:uid="{9A7E9D65-7BF1-47DA-A029-44230768C2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B9" authorId="5" shapeId="0" xr:uid="{176E516D-D8D1-4FA2-9758-50E4407C45E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30</t>
      </text>
    </comment>
    <comment ref="B10" authorId="6" shapeId="0" xr:uid="{0763B358-F1B9-43F4-85F8-80D589DBE19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70</t>
      </text>
    </comment>
    <comment ref="B11" authorId="7" shapeId="0" xr:uid="{5E0DB4C4-A694-438E-BF34-A9B042F5427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 ref="B12" authorId="8" shapeId="0" xr:uid="{91F36B68-EC87-468A-A353-90366D70F41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B13" authorId="9" shapeId="0" xr:uid="{2DF7F63F-0B1C-46DA-A318-D410404F4628}">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30</t>
      </text>
    </comment>
    <comment ref="B15" authorId="10" shapeId="0" xr:uid="{54A72BCC-C138-43E4-91BC-8FCC623F18C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B16" authorId="11" shapeId="0" xr:uid="{C50E2600-7692-435E-9269-6A9FE9BB995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90</t>
      </text>
    </comment>
    <comment ref="B17" authorId="12" shapeId="0" xr:uid="{4FD089DF-3709-4BEC-8BC6-48C0B00EDD4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50</t>
      </text>
    </comment>
    <comment ref="B18" authorId="13" shapeId="0" xr:uid="{D8A72647-1060-4BCB-9F8C-5396D273587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80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tc={925E9545-B943-4682-B8AB-3D4D0E1FEFA7}</author>
    <author>tc={0A4CF072-4A68-418A-A5DD-F3FEB545C2BC}</author>
    <author>tc={AA3EECED-93BC-4C0D-B2FC-5188E1043189}</author>
    <author>tc={9CCD5C7E-B493-44C4-B773-4D19C533216F}</author>
    <author>tc={E178F71C-293D-4DE3-BD9F-FFBB96A65123}</author>
    <author>tc={EBBFB65C-DE30-455C-82F6-4729E6E9C50A}</author>
    <author>tc={0207A5FF-0A28-4570-A385-C6B45DE1CC7D}</author>
    <author>tc={2A2BE023-9F07-4DF9-A7CF-5525E7F5F6D5}</author>
    <author>tc={57E088F6-7B73-4C01-A2ED-EAFD81ED71A1}</author>
    <author>tc={3308B317-6CEA-4648-B432-61FB8ECCC3AC}</author>
    <author>tc={0CEF8ED3-8F87-493D-89C6-95A6B97248CF}</author>
    <author>tc={1AF99646-5436-4137-A67E-955F8614BAFA}</author>
    <author>tc={4B4554BD-751B-45EF-8746-94B6BC560860}</author>
  </authors>
  <commentList>
    <comment ref="C3" authorId="0" shapeId="0" xr:uid="{925E9545-B943-4682-B8AB-3D4D0E1FEFA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Du kannst die Demands nun einfacher eingeben mit: KAT1 KAT2 … - SHIFT_TYPE_GROUP 
siehe KSA</t>
      </text>
    </comment>
    <comment ref="W3" authorId="1" shapeId="0" xr:uid="{0A4CF072-4A68-418A-A5DD-F3FEB545C2B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ist diese Regel so streng? Generiert riesige Kosten...
Antwort:
    war 0</t>
      </text>
    </comment>
    <comment ref="W6" authorId="2" shapeId="0" xr:uid="{AA3EECED-93BC-4C0D-B2FC-5188E104318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7" authorId="3" shapeId="0" xr:uid="{9CCD5C7E-B493-44C4-B773-4D19C533216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8" authorId="4" shapeId="0" xr:uid="{E178F71C-293D-4DE3-BD9F-FFBB96A6512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10" authorId="5" shapeId="0" xr:uid="{EBBFB65C-DE30-455C-82F6-4729E6E9C50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1</t>
      </text>
    </comment>
    <comment ref="W16" authorId="6" shapeId="0" xr:uid="{0207A5FF-0A28-4570-A385-C6B45DE1CC7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Obergrenze bei der Bedarfsabdeckung (3 wäre ok ab 13 Uhr) -&gt; gilt für alle roten oben</t>
      </text>
    </comment>
    <comment ref="W17" authorId="7" shapeId="0" xr:uid="{2A2BE023-9F07-4DF9-A7CF-5525E7F5F6D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max. 2 aus Pflege -&gt; wenn 3. Person, dann Lernende
Antwort:
    war 0, aber dann kommen die Leute nicht auf ihre Stunden</t>
      </text>
    </comment>
    <comment ref="W18" authorId="8" shapeId="0" xr:uid="{57E088F6-7B73-4C01-A2ED-EAFD81ED71A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nicht 2 Leute bis halb 9</t>
      </text>
    </comment>
    <comment ref="W19" authorId="9" shapeId="0" xr:uid="{3308B317-6CEA-4648-B432-61FB8ECCC3A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t>
      </text>
    </comment>
    <comment ref="W28" authorId="10" shapeId="0" xr:uid="{0CEF8ED3-8F87-493D-89C6-95A6B97248CF}">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jeder MA 2-3x im Monat. Wird begrenzt über Monatslimiten. -&gt; überprüfen, ob das klappt.
Antwort:
    aktuell über 1x pro Woche gelöst</t>
      </text>
    </comment>
    <comment ref="B31" authorId="11" shapeId="0" xr:uid="{1AF99646-5436-4137-A67E-955F8614BAF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Bedarfsprofil für WE hat andere Zeiten, nicht nur andere Bedarfe, deshalb hier separat definiert.</t>
      </text>
    </comment>
    <comment ref="A34" authorId="12" shapeId="0" xr:uid="{4B4554BD-751B-45EF-8746-94B6BC56086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tc={47893A64-01D2-4E91-87AB-CB3EF7739E7B}</author>
    <author>tc={EC7992D8-8A60-4C63-B729-1B22A0758277}</author>
    <author>tc={04360D36-24F5-4370-817D-9EC4B901AD1C}</author>
    <author>tc={034A6706-FBF0-4D3B-BF7E-2E5AB9252C02}</author>
    <author>tc={DF19F831-CABE-4ED9-821C-E061F4D150E7}</author>
  </authors>
  <commentList>
    <comment ref="A10" authorId="0" shapeId="0" xr:uid="{47893A64-01D2-4E91-87AB-CB3EF7739E7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32" authorId="1" shapeId="0" xr:uid="{EC7992D8-8A60-4C63-B729-1B22A075827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57" authorId="2" shapeId="0" xr:uid="{04360D36-24F5-4370-817D-9EC4B901AD1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63" authorId="3" shapeId="0" xr:uid="{034A6706-FBF0-4D3B-BF7E-2E5AB9252C0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 ref="A70" authorId="4" shapeId="0" xr:uid="{DF19F831-CABE-4ED9-821C-E061F4D150E7}">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Bedarf eigentlich definiert über: A2 und A6, darf aber teilweise unter- oder überdeckt werden.
Erlaubte Kombis:
A3+A5 (optimal)
A2+A6 (Überlappung tlw. nötig)
A2+A4 (Überlappung tlw. nötig)
A3+A6 (jeder MA 2-3x im Mt.; Ämtli)
A1 (Bedarf WE)</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tc={2E6604F4-B906-4428-B1B0-69E2CECF9BBA}</author>
    <author>tc={E268E56C-4528-47FB-9F5C-792A056B65C6}</author>
    <author>tc={98D58D65-2C7A-43C6-B6A1-7489395E2744}</author>
    <author>tc={693264EF-BCD8-4B6A-90B6-5E48A9C9D62E}</author>
    <author>tc={CA92F11B-42B2-41D4-B10E-EE60A6DB8629}</author>
    <author>tc={2E936B59-93B3-47E9-A989-4E3E5E32972C}</author>
  </authors>
  <commentList>
    <comment ref="J2" authorId="0" shapeId="0" xr:uid="{2E6604F4-B906-4428-B1B0-69E2CECF9BB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zur Kontrolle:
Überall Ruhezeit so einstellen, dass früheste Schicht möglich ist = 07:00 (F1, K2)</t>
      </text>
    </comment>
    <comment ref="A3" authorId="1" shapeId="0" xr:uid="{E268E56C-4528-47FB-9F5C-792A056B65C6}">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B2: 08:00 - 12:00, 13:00 - 16:00
Doku: ?
Antwort:
    Doku wird immer nachträglich eingeplant, nicht relevant für uns</t>
      </text>
    </comment>
    <comment ref="A4" authorId="2" shapeId="0" xr:uid="{98D58D65-2C7A-43C6-B6A1-7489395E274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-&gt;: ?
Antwort:
    -&gt; meistens so dass insgesamt 8:24 ergibt
Bedarf nur K2</t>
      </text>
    </comment>
    <comment ref="A5" authorId="3" shapeId="0" xr:uid="{693264EF-BCD8-4B6A-90B6-5E48A9C9D62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K2: 07:00 - 13:00
Doku: ?</t>
      </text>
    </comment>
    <comment ref="A6" authorId="4" shapeId="0" xr:uid="{CA92F11B-42B2-41D4-B10E-EE60A6DB8629}">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A2: 07:30 - 13:15
Doku: ?</t>
      </text>
    </comment>
    <comment ref="A7" authorId="5" shapeId="0" xr:uid="{2E936B59-93B3-47E9-A989-4E3E5E32972C}">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Doku: ?
S2: 11:30 - 13:00, 13:45 - 20:30</t>
      </text>
    </comment>
  </commentList>
</comments>
</file>

<file path=xl/sharedStrings.xml><?xml version="1.0" encoding="utf-8"?>
<sst xmlns="http://schemas.openxmlformats.org/spreadsheetml/2006/main" count="1576" uniqueCount="544">
  <si>
    <t>ID</t>
  </si>
  <si>
    <t>Name</t>
  </si>
  <si>
    <t>ab PEP</t>
  </si>
  <si>
    <t>Personen</t>
  </si>
  <si>
    <t>Spezialkenntnisse (ID)</t>
  </si>
  <si>
    <t>Name MA</t>
  </si>
  <si>
    <t xml:space="preserve">Employments </t>
  </si>
  <si>
    <t>Kategorien</t>
  </si>
  <si>
    <t>Standardanzeigeposition</t>
  </si>
  <si>
    <t>01</t>
  </si>
  <si>
    <t>02</t>
  </si>
  <si>
    <t>03</t>
  </si>
  <si>
    <t>04</t>
  </si>
  <si>
    <t>05</t>
  </si>
  <si>
    <t>06</t>
  </si>
  <si>
    <t>07</t>
  </si>
  <si>
    <t>08</t>
  </si>
  <si>
    <t>09</t>
  </si>
  <si>
    <t>10</t>
  </si>
  <si>
    <t>11</t>
  </si>
  <si>
    <t>12</t>
  </si>
  <si>
    <t>13</t>
  </si>
  <si>
    <t>14</t>
  </si>
  <si>
    <t>16</t>
  </si>
  <si>
    <t>17</t>
  </si>
  <si>
    <t>alles aus PEP - Spezialkentnisse einfach sauber erfassen.</t>
  </si>
  <si>
    <t>employment</t>
  </si>
  <si>
    <t>Zuordnungen</t>
  </si>
  <si>
    <t xml:space="preserve">von PEP </t>
  </si>
  <si>
    <t>Diensttypen</t>
  </si>
  <si>
    <t>Start-Tageszeit 00:00</t>
  </si>
  <si>
    <t>Dauer in 00:00</t>
  </si>
  <si>
    <t>Arb.Zeit in 00:00</t>
  </si>
  <si>
    <t>Ruhezeit in 00:00</t>
  </si>
  <si>
    <t>S</t>
  </si>
  <si>
    <t>B</t>
  </si>
  <si>
    <t>Büro</t>
  </si>
  <si>
    <t>Diensttypgruppen</t>
  </si>
  <si>
    <t>Zeitliche Einschränkungen und Vorlieben</t>
  </si>
  <si>
    <t>Monatliche Dienstlimiten und Präferenzen</t>
  </si>
  <si>
    <t>Arbeits- und Freiblock</t>
  </si>
  <si>
    <t xml:space="preserve">Nächte ( Gruppe =) : </t>
  </si>
  <si>
    <t>(unbedingt GruppenID eintragen, falls leer dann werden Nachtregeln ignoriert)</t>
  </si>
  <si>
    <t>Wochenendarbeit</t>
  </si>
  <si>
    <t>Unverfügbar</t>
  </si>
  <si>
    <t>Beliebte Arbeitszeiten</t>
  </si>
  <si>
    <t>Unbeliebte Arbeitszeit</t>
  </si>
  <si>
    <t>Verboten</t>
  </si>
  <si>
    <t>Beliebte Dienste</t>
  </si>
  <si>
    <t>Unbeliebte Dienste</t>
  </si>
  <si>
    <t xml:space="preserve">Max. + Opt. Anz. Dienste </t>
  </si>
  <si>
    <t>Max. + Opt high + Opt-low Arbeitsblocklänge</t>
  </si>
  <si>
    <t>Min. + Opt. Freiblockdauer (in Std.)</t>
  </si>
  <si>
    <t>Max. + Opt. Anz. Dienste in Block</t>
  </si>
  <si>
    <t>Vorwärtsrotierung (max. minus Std.)</t>
  </si>
  <si>
    <t>in Block: Max + Opt. High + opt low Nächte</t>
  </si>
  <si>
    <t>Tag nach Nacht verboten? Ja / nein (leer = standardwert übernehmen)</t>
  </si>
  <si>
    <t>Min + Opt. Freiblockdauer nach Nacht (in Std.)</t>
  </si>
  <si>
    <t>Max + Opt aufeinanderf. WE mit Arbeit</t>
  </si>
  <si>
    <t>EOL : End of line</t>
  </si>
  <si>
    <t>Mitarbeitende</t>
  </si>
  <si>
    <t>Wichtigkeit: ….</t>
  </si>
  <si>
    <t>-</t>
  </si>
  <si>
    <t>SEHR HOCH</t>
  </si>
  <si>
    <t>DURCHSCHNITTLICH</t>
  </si>
  <si>
    <t>ÜBERDURCHSCHNITTLICH</t>
  </si>
  <si>
    <t>UNTERDURCHSCHNITTLICH</t>
  </si>
  <si>
    <t>ÜBERDURCHSCHNITTLICH - UNTERDURCHSCHNITTLICH</t>
  </si>
  <si>
    <t>HOCH</t>
  </si>
  <si>
    <t>Bemerkungen</t>
  </si>
  <si>
    <t>DIESE ZEILE SO LASSEN</t>
  </si>
  <si>
    <t>Name MA         Standardwerte:</t>
  </si>
  <si>
    <t xml:space="preserve"> (cell value not considered)</t>
  </si>
  <si>
    <t>( cell value not considered)</t>
  </si>
  <si>
    <t>(cell value not considered)</t>
  </si>
  <si>
    <t>(cell value not cons.)</t>
  </si>
  <si>
    <t>ja</t>
  </si>
  <si>
    <t>3 - 2</t>
  </si>
  <si>
    <t>EOL</t>
  </si>
  <si>
    <t>Mi</t>
  </si>
  <si>
    <t>Do</t>
  </si>
  <si>
    <t>Di</t>
  </si>
  <si>
    <t>Wochentage oder</t>
  </si>
  <si>
    <t>Wochentag - Start - Ende</t>
  </si>
  <si>
    <t>Falls ":" und zweiter Teil fehlt, dann verboten</t>
  </si>
  <si>
    <t>below opt = average</t>
  </si>
  <si>
    <t xml:space="preserve"> z.B. Do - 16:00 - 22:00</t>
  </si>
  <si>
    <t>not implemented</t>
  </si>
  <si>
    <t>NEU in CPP (Mitarbeitende-Profil)</t>
  </si>
  <si>
    <t>wie im PEP!!</t>
  </si>
  <si>
    <t>Restriction, only one</t>
  </si>
  <si>
    <t>PRIO 2</t>
  </si>
  <si>
    <t xml:space="preserve"> pair for each week</t>
  </si>
  <si>
    <t xml:space="preserve"> day will be retained</t>
  </si>
  <si>
    <t>Fixierte Dienste</t>
  </si>
  <si>
    <t>Start Planning</t>
  </si>
  <si>
    <t>(inklusiv)</t>
  </si>
  <si>
    <t>erster Tag</t>
  </si>
  <si>
    <t>(Anzahl Tage vor Start)</t>
  </si>
  <si>
    <t>Standard-Targetarb.Zeit +/- Sollzeit (min, optLow, optHigh, max) Komma separiert</t>
  </si>
  <si>
    <t xml:space="preserve"> und Abwesenheiten</t>
  </si>
  <si>
    <t>Ende Planning</t>
  </si>
  <si>
    <t>(exklusive dieser Tag)</t>
  </si>
  <si>
    <t>auf Board</t>
  </si>
  <si>
    <t>Gearbeitete Dienst im letzten Monat (zur Adaptierung "opt" aus MA-Profil)</t>
  </si>
  <si>
    <t>"pain" sollzeit</t>
  </si>
  <si>
    <t>DURCHSCHNITTLICH - HOCH</t>
  </si>
  <si>
    <t>Anzahl der letzten</t>
  </si>
  <si>
    <t>Standard-Kategorie</t>
  </si>
  <si>
    <t>Gleitzeitsaldo (in ganz: Std.)</t>
  </si>
  <si>
    <t>Sollarbeitszeit (in ganz. Stunde)</t>
  </si>
  <si>
    <t>Spezifische "Target" - Arbeitszeitbereich, Absolutwerte in Std.  (min, optLow, optHigh, max) Komma separiert</t>
  </si>
  <si>
    <t>letzter Monat (oder Schnitt)</t>
  </si>
  <si>
    <t>WE gearbeitet</t>
  </si>
  <si>
    <t>Gruppe / Tage</t>
  </si>
  <si>
    <t>&gt;</t>
  </si>
  <si>
    <t>??</t>
  </si>
  <si>
    <t>?</t>
  </si>
  <si>
    <t>* 1</t>
  </si>
  <si>
    <t>** 2</t>
  </si>
  <si>
    <t>?10H - 23H</t>
  </si>
  <si>
    <t>Abwesenheiten</t>
  </si>
  <si>
    <t xml:space="preserve">&lt; 0H - 33.2 - Type </t>
  </si>
  <si>
    <t>aus PEP</t>
  </si>
  <si>
    <t>&lt; Ab Stunde - Zeitanrechnung in H, H angeben - Abwesenheitstyp</t>
  </si>
  <si>
    <t>&gt; Am Tag wo es zu Ende geht, mit Stunde vorher möglich,  15H&gt;</t>
  </si>
  <si>
    <t>Wünsche aus CollaPP</t>
  </si>
  <si>
    <t>(Angaben optional, …)</t>
  </si>
  <si>
    <t>17H &gt;</t>
  </si>
  <si>
    <t>Bei Ende Absenz zu gewisser Zeit (Stunde) - hier 17</t>
  </si>
  <si>
    <t>&lt; , &gt; = ganzer Tag weg, keine Zeit angerechnet</t>
  </si>
  <si>
    <t>Fixierte Dienste - Angabe mit und ohne Knoten</t>
  </si>
  <si>
    <t>Freiwünsche</t>
  </si>
  <si>
    <t>Harte Freiwunsch ganzer Tag</t>
  </si>
  <si>
    <t>Weicher Freiwunsch ganzer Tag</t>
  </si>
  <si>
    <t>Weicher Wunsch von 10 bis 23 Uhr - max. 1 Tag, möglich auch über Taggrenze hinaus, z.B. ?17H - 5H</t>
  </si>
  <si>
    <t>Dienstwünsche (auf Schichtgruppen)</t>
  </si>
  <si>
    <t>Harter Wunsch</t>
  </si>
  <si>
    <t>Weicher Wunsch</t>
  </si>
  <si>
    <t>Bedafsdefinitionen</t>
  </si>
  <si>
    <t xml:space="preserve"> (Einschränkung Mitarbeiter)</t>
  </si>
  <si>
    <t>Mo</t>
  </si>
  <si>
    <t>Fr</t>
  </si>
  <si>
    <t>Sa</t>
  </si>
  <si>
    <t>So</t>
  </si>
  <si>
    <t>Feiertage (optional)</t>
  </si>
  <si>
    <t>Wie schlimm unter opt?</t>
  </si>
  <si>
    <t>Group ID</t>
  </si>
  <si>
    <t>Bezeichnung</t>
  </si>
  <si>
    <t>nur MA mit Spezialkenntnissen</t>
  </si>
  <si>
    <t>min</t>
  </si>
  <si>
    <t>opt</t>
  </si>
  <si>
    <t>IMPORTANCE</t>
  </si>
  <si>
    <t>aktivieren ? Ja / nein (kein Gültigkeitsdatum, ja = gültig, nein = nicht gültig, später mit Gütlgikeit - oder evtl. mit saisonaler Gültigkeit ?)</t>
  </si>
  <si>
    <t>Qualitative Weight</t>
  </si>
  <si>
    <t>2 Werte</t>
  </si>
  <si>
    <t>SEHR TIEF</t>
  </si>
  <si>
    <t>TIEF</t>
  </si>
  <si>
    <t>DURCHSCHNITTLICH - DURCHSCHNITTLICH</t>
  </si>
  <si>
    <t>Bedarfseckung möglich dur Kategorien - Diensttyp  Kombinationen (Komma separiert)</t>
  </si>
  <si>
    <t>Kombinationen, die automatisiert hinzugefügt werden können</t>
  </si>
  <si>
    <t>Kombinationen, die nur fixiert im Plan sein können</t>
  </si>
  <si>
    <t>ÜBERDURCHSCHNITTLICH - DURCHSCHNITTLICH</t>
  </si>
  <si>
    <t>Bestrafte Abfolgen</t>
  </si>
  <si>
    <t xml:space="preserve">"von" Dienstgruppe - "zu" </t>
  </si>
  <si>
    <t xml:space="preserve">Dienstgruppe - Bestrafung </t>
  </si>
  <si>
    <t xml:space="preserve">(optional , z.B. HOCH, ...) , </t>
  </si>
  <si>
    <t>Für Sortierung</t>
  </si>
  <si>
    <t>Hilfszahlen | Anz. Tage</t>
  </si>
  <si>
    <t>für Sollzeit | Anz. Sa+So</t>
  </si>
  <si>
    <t>Obere Grenze?</t>
  </si>
  <si>
    <t>Delta von opt</t>
  </si>
  <si>
    <t>Anzeige-Farbe RBG (Hintergrund)</t>
  </si>
  <si>
    <t>C8FEFF</t>
  </si>
  <si>
    <t>Nur Planner</t>
  </si>
  <si>
    <t>Dienstpräferenzen</t>
  </si>
  <si>
    <t>Verbotene Dienste</t>
  </si>
  <si>
    <t>Group - Wochentage (zweites Optional) - Knoten (optional)</t>
  </si>
  <si>
    <t>Max + Opt high Anz. Blöcke mit Nächten</t>
  </si>
  <si>
    <t>shift group : value</t>
  </si>
  <si>
    <t>2 - PH</t>
  </si>
  <si>
    <t>Holidays</t>
  </si>
  <si>
    <t>Icon directory</t>
  </si>
  <si>
    <t>ÜBERDURCHSCHNITTLICH - ÜBERDURCHSCHNITTLICH</t>
  </si>
  <si>
    <t>Max. + Opt. + Optlow Nächte</t>
  </si>
  <si>
    <t>Wichtig -&gt; HOCH</t>
  </si>
  <si>
    <t>NEUTRAL -&gt; Überdurchschn.</t>
  </si>
  <si>
    <t>längerfristig…</t>
  </si>
  <si>
    <t>FR NACHT</t>
  </si>
  <si>
    <t>SA 3X</t>
  </si>
  <si>
    <t>SO 3X</t>
  </si>
  <si>
    <t>FR SA SO Nacht</t>
  </si>
  <si>
    <t>SA SO spät</t>
  </si>
  <si>
    <t>SA SO Früh</t>
  </si>
  <si>
    <t xml:space="preserve">zwischen 3 und 7 MA arbeiten an einem WE * Anzahl </t>
  </si>
  <si>
    <t>zwischen 12 und 28 arbeiten an einem WE</t>
  </si>
  <si>
    <t>Totale Anzahl Weekends mit Arbeit</t>
  </si>
  <si>
    <t>unwichtig , neutral, wichtig</t>
  </si>
  <si>
    <t>1 : 24 - 46 , 4 : 34 - 46</t>
  </si>
  <si>
    <t>L</t>
  </si>
  <si>
    <t>FABED4</t>
  </si>
  <si>
    <t>DCBEFF</t>
  </si>
  <si>
    <t>Dipl</t>
  </si>
  <si>
    <t>F6E0A8</t>
  </si>
  <si>
    <t>F1</t>
  </si>
  <si>
    <t>F</t>
  </si>
  <si>
    <t>Spät</t>
  </si>
  <si>
    <t>FaGe</t>
  </si>
  <si>
    <t>15</t>
  </si>
  <si>
    <t>Zur Sortierung</t>
  </si>
  <si>
    <t>5 - 5 - 3</t>
  </si>
  <si>
    <t>Kategorie resp. Gruppe - Kategorie (falls mehrere Gruppen / Planblätter) = Kontext</t>
  </si>
  <si>
    <t>Station 2.OG - Leitung</t>
  </si>
  <si>
    <t>Station 2.OG - Fachpersonal mit Diplom</t>
  </si>
  <si>
    <t>Station 2.OG - Fachpersonal mit Fähigkeitszeugnis</t>
  </si>
  <si>
    <t>MA</t>
  </si>
  <si>
    <t>Station 2.OG - Mitarbeitende</t>
  </si>
  <si>
    <t>LE</t>
  </si>
  <si>
    <t>Station 2.OG - Lernende</t>
  </si>
  <si>
    <t>Zeitintervalle, die nicht zur</t>
  </si>
  <si>
    <t>Bedarfsdeckung gezählt werden</t>
  </si>
  <si>
    <t>B2</t>
  </si>
  <si>
    <t>Büro 2</t>
  </si>
  <si>
    <t>halber Dienst</t>
  </si>
  <si>
    <t>Früh 1</t>
  </si>
  <si>
    <t>G1</t>
  </si>
  <si>
    <t>Geteilt 1</t>
  </si>
  <si>
    <t>13:00 - 16:00</t>
  </si>
  <si>
    <t>Geteilt 1 Morgen</t>
  </si>
  <si>
    <t>Geteilt 1 Nachmittag</t>
  </si>
  <si>
    <t>G2</t>
  </si>
  <si>
    <t>Geteilt 2</t>
  </si>
  <si>
    <t>11:15 - 16:00</t>
  </si>
  <si>
    <t>Geteilt 2 Morgen</t>
  </si>
  <si>
    <t>Geteilt 2 Nachmittag</t>
  </si>
  <si>
    <t>K2</t>
  </si>
  <si>
    <t>Kurz 2</t>
  </si>
  <si>
    <t>S2</t>
  </si>
  <si>
    <t>Spät 2</t>
  </si>
  <si>
    <t>A1</t>
  </si>
  <si>
    <t>Alma 1</t>
  </si>
  <si>
    <t>13:15 - 16:15</t>
  </si>
  <si>
    <t>A2</t>
  </si>
  <si>
    <t>Alma 2</t>
  </si>
  <si>
    <t>A3</t>
  </si>
  <si>
    <t>Alma 3</t>
  </si>
  <si>
    <t>A4</t>
  </si>
  <si>
    <t>Alma 4</t>
  </si>
  <si>
    <t>A5</t>
  </si>
  <si>
    <t>Alma 5</t>
  </si>
  <si>
    <t>A6</t>
  </si>
  <si>
    <t>Alma 6</t>
  </si>
  <si>
    <t>nur fixiert im Plan</t>
  </si>
  <si>
    <t>L1</t>
  </si>
  <si>
    <t>Lernende 1</t>
  </si>
  <si>
    <t>L2</t>
  </si>
  <si>
    <t>Lernende 2</t>
  </si>
  <si>
    <t>LS</t>
  </si>
  <si>
    <t>Lernende Schule</t>
  </si>
  <si>
    <t>Arbeitsort (Station)</t>
  </si>
  <si>
    <t>Start - Ende</t>
  </si>
  <si>
    <t>anrechenbare Arbeitszeit</t>
  </si>
  <si>
    <t>SC Team 2.OG</t>
  </si>
  <si>
    <t>08:00 - 12:00, 13:00 - 16:00</t>
  </si>
  <si>
    <t>07:00 - 13:00, 13:45 - 16:09</t>
  </si>
  <si>
    <t>07:30 - 13:00, 16:00 - 18:54</t>
  </si>
  <si>
    <t>07:30 - 11:15, 16:00 - 20:30</t>
  </si>
  <si>
    <t>07:00 - 13:00</t>
  </si>
  <si>
    <t>11:30 - 13:00, 13:45 - 20:30</t>
  </si>
  <si>
    <t>Spät 3</t>
  </si>
  <si>
    <t>10:00 - 13:00, 13:45 - 19:00</t>
  </si>
  <si>
    <t xml:space="preserve">07:30 - 13:15, 16:15 - 18:45 </t>
  </si>
  <si>
    <t>07:30 - 13:15</t>
  </si>
  <si>
    <r>
      <t>07:30 - 13:15, 14:00 - 16:</t>
    </r>
    <r>
      <rPr>
        <sz val="10"/>
        <color rgb="FFFF0000"/>
        <rFont val="Arial"/>
        <family val="2"/>
      </rPr>
      <t>15</t>
    </r>
  </si>
  <si>
    <t>10:15 - 13:15, 13:45 - 18:45</t>
  </si>
  <si>
    <t>16:15 - 18:45</t>
  </si>
  <si>
    <t>11:45 - 15:30, 16:15 - 18:45</t>
  </si>
  <si>
    <t>Früh</t>
  </si>
  <si>
    <t>G</t>
  </si>
  <si>
    <t>Geteilt</t>
  </si>
  <si>
    <t>K</t>
  </si>
  <si>
    <t>Kurz</t>
  </si>
  <si>
    <t>A</t>
  </si>
  <si>
    <t>Alma</t>
  </si>
  <si>
    <t>PF</t>
  </si>
  <si>
    <t>Pflege</t>
  </si>
  <si>
    <t>PFvor16</t>
  </si>
  <si>
    <t>Pflege Start vor 16</t>
  </si>
  <si>
    <t>NVF</t>
  </si>
  <si>
    <t>Nicht Vor Frei</t>
  </si>
  <si>
    <t>FK</t>
  </si>
  <si>
    <t>Früh und Kurz</t>
  </si>
  <si>
    <t>GS</t>
  </si>
  <si>
    <t>Geteilt und Spät</t>
  </si>
  <si>
    <t>S2030</t>
  </si>
  <si>
    <t>Spät 2030</t>
  </si>
  <si>
    <t>F0700</t>
  </si>
  <si>
    <t>Früh 0700</t>
  </si>
  <si>
    <t>D03</t>
  </si>
  <si>
    <t>Regula Dienste</t>
  </si>
  <si>
    <t>HD</t>
  </si>
  <si>
    <t>Halbe Dienste</t>
  </si>
  <si>
    <t>LD</t>
  </si>
  <si>
    <t>Lernende Dienste</t>
  </si>
  <si>
    <t>Besetzungsbedarf 2022</t>
  </si>
  <si>
    <t>Standort:</t>
  </si>
  <si>
    <t>St. Laurentius</t>
  </si>
  <si>
    <t>Abteilung:</t>
  </si>
  <si>
    <t>2.OG</t>
  </si>
  <si>
    <t>Montag bis Freitag</t>
  </si>
  <si>
    <t>Bedarf</t>
  </si>
  <si>
    <t>Dienste</t>
  </si>
  <si>
    <t>x</t>
  </si>
  <si>
    <t>Samstag / Sonntag und Feiertage</t>
  </si>
  <si>
    <t>Arbeitsplätze</t>
  </si>
  <si>
    <t>Anzeigetext</t>
  </si>
  <si>
    <t>nächste Schicht möglich ab</t>
  </si>
  <si>
    <t>B2 | Doku</t>
  </si>
  <si>
    <t>Büro 2 Morgen dann Doku Nachmittag</t>
  </si>
  <si>
    <t>Gemischte Dienste, die seit August 2022 verwendet wurden.
Bedarf definieren oder nur manuell planbar?
Zu welcher Diensttypgruppe zählen gemischte Dienste?</t>
  </si>
  <si>
    <t>K2 | -&gt;</t>
  </si>
  <si>
    <t>Kurz 2 Morgen dann Pfeil Nachmittag</t>
  </si>
  <si>
    <t>K2 | Doku</t>
  </si>
  <si>
    <t>Kurz 2 Morgen dann Doku Nachmittag</t>
  </si>
  <si>
    <t>A2 | Doku</t>
  </si>
  <si>
    <t>Alma 2 Morgen dann Doku Nachmittag</t>
  </si>
  <si>
    <t>Doku | S2</t>
  </si>
  <si>
    <t>Doku Morgen dann Spät 2 Nachmittag</t>
  </si>
  <si>
    <t>???</t>
  </si>
  <si>
    <t>Kombinationen aus Dienst + Doku / Pfeil: Doku oder Pfeil nachträglich manuell einplanen, Dienste halbtags ermöglichen (A2 und S2 sind +/- bereits halbtags -&gt; so belassen?)</t>
  </si>
  <si>
    <t>-&gt; Dienstlich abwesend (z.B. Sitzung)</t>
  </si>
  <si>
    <t>shiftIcons/lak</t>
  </si>
  <si>
    <t>L_Dipl 0700_0730</t>
  </si>
  <si>
    <t>L_Dipl 0700_1300</t>
  </si>
  <si>
    <t>L_Dipl_FaGe 0730_1115</t>
  </si>
  <si>
    <t>L_Dipl_FaGe 1115_1300</t>
  </si>
  <si>
    <t>L_Dipl_FaGe 1300_1600</t>
  </si>
  <si>
    <t>L_Dipl_FaGe 1600_1615</t>
  </si>
  <si>
    <t>L_Dipl_FaGe 1615_1845</t>
  </si>
  <si>
    <t>L_Dipl_FaGe_MA 0700_0730</t>
  </si>
  <si>
    <t>L_Dipl_FaGe_MA 0730_1115</t>
  </si>
  <si>
    <t>L_Dipl_FaGe_MA 1115_1300</t>
  </si>
  <si>
    <t>L_Dipl_FaGe_MA 1300_1600</t>
  </si>
  <si>
    <t>L_Dipl_FaGe_MA 1600_1615</t>
  </si>
  <si>
    <t>L_Dipl_FaGe_MA 1615_1845</t>
  </si>
  <si>
    <t>L_Dipl_FaGe_MA 1845_2030</t>
  </si>
  <si>
    <t>Alma_0730_1015</t>
  </si>
  <si>
    <t>Alma_1015_1145</t>
  </si>
  <si>
    <t>Alma_1145_1315</t>
  </si>
  <si>
    <t>Alma_1315_1615</t>
  </si>
  <si>
    <t>Alma_1615_1845</t>
  </si>
  <si>
    <t>Alma_Kombi_A3_A4_verbieten</t>
  </si>
  <si>
    <t>Alma_WE</t>
  </si>
  <si>
    <t>L - B2</t>
  </si>
  <si>
    <t>LE_L1</t>
  </si>
  <si>
    <t>LE - L1</t>
  </si>
  <si>
    <t>LE_L2</t>
  </si>
  <si>
    <t>LE - L2</t>
  </si>
  <si>
    <t>Kunz-Frick, Monika</t>
  </si>
  <si>
    <t>Gstöhl, Belinda</t>
  </si>
  <si>
    <t>Kohler-Künzler, Regula</t>
  </si>
  <si>
    <t>Kornberger, Veronika</t>
  </si>
  <si>
    <t>Elkuch, Melanie</t>
  </si>
  <si>
    <t>Rohrer, Diana</t>
  </si>
  <si>
    <t>Frick (Petek), Simona</t>
  </si>
  <si>
    <t>Meier, Yvonne</t>
  </si>
  <si>
    <t>Lehmann, Monika</t>
  </si>
  <si>
    <t>Kajtazaj, Daniela</t>
  </si>
  <si>
    <t>Yhongshitsang, Tashi Lhamo</t>
  </si>
  <si>
    <t>Simonovic, Milka</t>
  </si>
  <si>
    <t>Steinauer, Heidi</t>
  </si>
  <si>
    <t>Markart, Roswitha</t>
  </si>
  <si>
    <t>Tasholli, Albin</t>
  </si>
  <si>
    <t>Marxer, Manuel</t>
  </si>
  <si>
    <t>Zen, Chiara</t>
  </si>
  <si>
    <t>Di &amp; Fr fix Büro, Mo &amp; Do-VM wenn möglich Büro, ansonsten Pflege</t>
  </si>
  <si>
    <t>Büro nur wenn Monika in Ferien -&gt; vorab manuell einplanen</t>
  </si>
  <si>
    <t>Springer für Alma (aktuell 1 Alma krank)</t>
  </si>
  <si>
    <t>3. Lehrjahr</t>
  </si>
  <si>
    <t>2. Lehrjahr</t>
  </si>
  <si>
    <t>Mi, Do - 13:00 - 24:00</t>
  </si>
  <si>
    <t>Mo, Di - 17:00 - 24:00, Do - 13:00 - 24:00</t>
  </si>
  <si>
    <t>Sa - 17:00 - 23:00, So - 17:00 - 23:00</t>
  </si>
  <si>
    <t>Sa - 17:00 - 23:00, So</t>
  </si>
  <si>
    <t>PF - Do</t>
  </si>
  <si>
    <r>
      <t xml:space="preserve">A3 - Mo Do, </t>
    </r>
    <r>
      <rPr>
        <sz val="10"/>
        <color rgb="FFFF0000"/>
        <rFont val="Arial"/>
        <family val="2"/>
      </rPr>
      <t>A5</t>
    </r>
    <r>
      <rPr>
        <sz val="10"/>
        <color theme="1"/>
        <rFont val="Arial"/>
        <family val="2"/>
      </rPr>
      <t>, A2, A6</t>
    </r>
  </si>
  <si>
    <t>A5, A2, A6</t>
  </si>
  <si>
    <t>S2, G2</t>
  </si>
  <si>
    <t>L2 - Sa So</t>
  </si>
  <si>
    <t>F - Sa So : 4 - 2 , G - Sa So : 4 - 2, FK : 12 - 9, GS : 12 - 9</t>
  </si>
  <si>
    <t>FK : 5 - 4, GS : 5 - 4</t>
  </si>
  <si>
    <t>FK : 9 - 6, GS : 9 - 6</t>
  </si>
  <si>
    <t>A6 : 3 - 3</t>
  </si>
  <si>
    <t>L1 : 10 - 8, L2 : 10 - 8</t>
  </si>
  <si>
    <t>L1 : 9 - 7, L2 : 9 - 7</t>
  </si>
  <si>
    <t>5 - 5 - 2</t>
  </si>
  <si>
    <t>5 - 4 - 2</t>
  </si>
  <si>
    <t>6 - 5 - 3</t>
  </si>
  <si>
    <t>FK : 5 - 3, GS : 5 - 3</t>
  </si>
  <si>
    <t>S : 5 - 2</t>
  </si>
  <si>
    <t>S : 4 - 2</t>
  </si>
  <si>
    <t xml:space="preserve">3 - 1 </t>
  </si>
  <si>
    <t>2 - 1</t>
  </si>
  <si>
    <t>WD</t>
  </si>
  <si>
    <t>Weekend Dienste</t>
  </si>
  <si>
    <t>5 - 5 - 1</t>
  </si>
  <si>
    <t>PF : 5 - 4</t>
  </si>
  <si>
    <t>L1_</t>
  </si>
  <si>
    <t>K2_B2</t>
  </si>
  <si>
    <t>Lernende 1 dann Frei</t>
  </si>
  <si>
    <t>Doku_B2</t>
  </si>
  <si>
    <t>Doku</t>
  </si>
  <si>
    <t>_Doku</t>
  </si>
  <si>
    <t>Doku_A5</t>
  </si>
  <si>
    <t>Doku dann Büro 2</t>
  </si>
  <si>
    <t>Doku dann Alma 5</t>
  </si>
  <si>
    <t>K2_Doku</t>
  </si>
  <si>
    <t>Kurz 2 dann Doku</t>
  </si>
  <si>
    <t>K2_Pfeil</t>
  </si>
  <si>
    <t>Kurz 2 dann Pfeil</t>
  </si>
  <si>
    <t>Doku_S2</t>
  </si>
  <si>
    <t>Doku dann S2</t>
  </si>
  <si>
    <t>Frei dann Doku</t>
  </si>
  <si>
    <t>Pfeil</t>
  </si>
  <si>
    <t>B2_</t>
  </si>
  <si>
    <t>G1_</t>
  </si>
  <si>
    <t>Büro 2 dann Frei</t>
  </si>
  <si>
    <t>Frei dann Büro 2</t>
  </si>
  <si>
    <t>_B2</t>
  </si>
  <si>
    <t>L Dipl FaGe - Doku_S2</t>
  </si>
  <si>
    <t>L - B2, L - B2_</t>
  </si>
  <si>
    <t>L - K2_B2</t>
  </si>
  <si>
    <t>Kurz 2 dann Büro 2</t>
  </si>
  <si>
    <t>_G1</t>
  </si>
  <si>
    <t>B2 - Mo Di Fr, B2_ - Do</t>
  </si>
  <si>
    <t>L2 - Sa So, L1_</t>
  </si>
  <si>
    <t>G2_</t>
  </si>
  <si>
    <t>_G2</t>
  </si>
  <si>
    <t>MA - Doku_A5</t>
  </si>
  <si>
    <t>L1_LS</t>
  </si>
  <si>
    <t>LS_L1</t>
  </si>
  <si>
    <t>L1 dann Schule</t>
  </si>
  <si>
    <t>LE - LS_L1</t>
  </si>
  <si>
    <t>LE - L1_LS, L Dipl FaGe MA - K2_Doku, L Dipl FaGe MA - K2_Pfeil</t>
  </si>
  <si>
    <t>4 - 4 - 1</t>
  </si>
  <si>
    <t>_Pfeil</t>
  </si>
  <si>
    <t>&lt; , &gt;</t>
  </si>
  <si>
    <t>Doku_</t>
  </si>
  <si>
    <t>_LS</t>
  </si>
  <si>
    <t>Frei dann Pfeil</t>
  </si>
  <si>
    <t>Doku dann Frei</t>
  </si>
  <si>
    <t>Frei dann Schule</t>
  </si>
  <si>
    <t>L Dipl FaGe - K2_Doku, L Dipl FaGe - K2_Pfeil, L - K2_B2, L Dipl FaGe - G1_, L Dipl FaGe - G2_</t>
  </si>
  <si>
    <t>L - K2_Doku, Dipl - K2_Doku, FaGe - K2_Doku, L - K2_Pfeil, Dipl - K2_Pfeil, FaGe - K2_Pfeil, L - K2_B2, L Dipl FaGe - G1_</t>
  </si>
  <si>
    <t>LE - L1_LS, L Dipl FaGe MA - K2_Doku, L Dipl FaGe MA - K2_Pfeil, L Dipl FaGe MA - G1_, L Dipl FaGe - G2_</t>
  </si>
  <si>
    <t>L Dipl FaGe MA - K2_Doku, L Dipl FaGe MA - K2_Pfeil, L Dipl FaGe MA - G1_</t>
  </si>
  <si>
    <t>S2, G2, LD</t>
  </si>
  <si>
    <t>B, PF, A</t>
  </si>
  <si>
    <t>S2030 - F0700 : UNTERDURCHSCHNITTLICH</t>
  </si>
  <si>
    <t>Schule dann L1</t>
  </si>
  <si>
    <t>S2030 - F0700 : UNTERDURCHSCHNITTLICH, PF - S : ÜBERDURCHSCHNITTLICH</t>
  </si>
  <si>
    <t>L Dipl - K2_Doku, L Dipl - K2_Pfeil,  L - K2_B2</t>
  </si>
  <si>
    <t>L_Dipl_FaGe 0700_0730</t>
  </si>
  <si>
    <t>FK : 11 - 9, GS : 11 - 9</t>
  </si>
  <si>
    <t>FK : 10 - 8, GS : 10 - 8</t>
  </si>
  <si>
    <t>FK : 9 - 8, GS : 9 - 8</t>
  </si>
  <si>
    <t>F - F : TIEF, G - G: TIEF</t>
  </si>
  <si>
    <t>B_WA</t>
  </si>
  <si>
    <t>Bildung WA</t>
  </si>
  <si>
    <t>Alma 4 extern</t>
  </si>
  <si>
    <t>1 : 24 - 36, 2 : 24 - 36, 3 : 36 - 48, 4 : 42 - 48, 5 : 42 - 48, 6 : 48 - 72</t>
  </si>
  <si>
    <t>FK : 11 - 3, GS : 11 - 3</t>
  </si>
  <si>
    <t>FK : 13 - 12, GS : 13 - 12</t>
  </si>
  <si>
    <t>&lt; 17H - 35</t>
  </si>
  <si>
    <t>&lt; 0H - 45</t>
  </si>
  <si>
    <t>&lt; 17H - 15</t>
  </si>
  <si>
    <t>&lt; 0H - 84</t>
  </si>
  <si>
    <t>&lt; 0H - 63</t>
  </si>
  <si>
    <t>Alma 5 extern</t>
  </si>
  <si>
    <t>A5_EG</t>
  </si>
  <si>
    <t>A4_EG</t>
  </si>
  <si>
    <t>Mo, Mi, Do, Fr</t>
  </si>
  <si>
    <t>B2_G2</t>
  </si>
  <si>
    <t>L Dipl - B2_G2</t>
  </si>
  <si>
    <t>L_Dipl 1600_2030</t>
  </si>
  <si>
    <t>Büro 0800_1200</t>
  </si>
  <si>
    <t>Büro 1300_1600</t>
  </si>
  <si>
    <t>Büro 2 dann Geteilt 2</t>
  </si>
  <si>
    <t>L Dipl FaGe - Doku_S2, L Dipl FaGe - _G1, L Dipl FaGe - _G2, L Dipl - B2_G2</t>
  </si>
  <si>
    <t>L Dipl FaGe MA - Doku_S2, LE - LS_L1, L Dipl FaGe MA - _G1, L Dipl FaGe - _G2, L Dipl - B2_G2</t>
  </si>
  <si>
    <t>L Dipl FaGe MA - Doku_S2, L Dipl FaGe MA - _G1, L Dipl FaGe - _G2, L Dipl - B2_G2</t>
  </si>
  <si>
    <t>L Dipl FaGe MA - Doku_S2, L Dipl FaGe - _G2, L Dipl - B2_G2</t>
  </si>
  <si>
    <t>-15 ,  -10 , 10 , 10</t>
  </si>
  <si>
    <t>&lt; 17H - 80</t>
  </si>
  <si>
    <t>&lt; 17H - 48</t>
  </si>
  <si>
    <t>&lt; 0H - 8</t>
  </si>
  <si>
    <t>&lt; 0H - 6</t>
  </si>
  <si>
    <t>&lt; 0H - 13</t>
  </si>
  <si>
    <t>SP</t>
  </si>
  <si>
    <t>Station 2.OG - Springer</t>
  </si>
  <si>
    <t>BFEF45</t>
  </si>
  <si>
    <t>DUMMY, Springer</t>
  </si>
  <si>
    <t>18</t>
  </si>
  <si>
    <t>0, 0, 0, 0</t>
  </si>
  <si>
    <t>&lt; 0H - 72</t>
  </si>
  <si>
    <t>L Dipl SP - F1, L Dipl - K2</t>
  </si>
  <si>
    <t>L Dipl SP - G1, L Dipl SP - G2, L Dipl SP - S2</t>
  </si>
  <si>
    <t>L Dipl SP - F1, L Dipl SP - K2, L Dipl SP - G1, L Dipl SP - G2</t>
  </si>
  <si>
    <t>L Dipl FaGe SP - F1, L Dipl FaGe SP - K2</t>
  </si>
  <si>
    <t>L Dipl FaGe SP - F1, L Dipl FaGe SP - G1, L Dipl FaGe SP - G2, L Dipl FaGe SP - K2</t>
  </si>
  <si>
    <t>L Dipl FaGe SP - F1,  L Dipl FaGe SP - G1, L Dipl FaGe SP - K2</t>
  </si>
  <si>
    <t>L Dipl FaGe SP - F1, L Dipl FaGe SP - S2</t>
  </si>
  <si>
    <t>L Dipl FaGe SP - F1, L Dipl FaGe SP - G1, L Dipl FaGe SP - G2, L Dipl FaGe SP - S2</t>
  </si>
  <si>
    <t>L Dipl FaGe SP - G1, L Dipl FaGe SP - G2, L Dipl FaGe SP - S2</t>
  </si>
  <si>
    <t>L Dipl FaGe MA SP - F1, L Dipl FaGe MA SP - K2, LE - L1</t>
  </si>
  <si>
    <t>L Dipl FaGe MA SP - F1, L Dipl FaGe MA SP - G1, L Dipl FaGe SP - G2, L Dipl FaGe MA SP - K2, LE - L1</t>
  </si>
  <si>
    <t>L Dipl FaGe MA SP - F1, L Dipl FaGe MA SP - G1, L Dipl FaGe MA SP - K2, LE - L1, LE - L2</t>
  </si>
  <si>
    <t>L Dipl FaGe MA SP - F1, L Dipl FaGe MA SP - S2, LE - L1, LE - L2</t>
  </si>
  <si>
    <t>L Dipl FaGe MA SP - F1, L Dipl FaGe MA SP - G1, L Dipl FaGe SP - G2, L Dipl FaGe MA SP - S2, LE - L1, LE - L2</t>
  </si>
  <si>
    <t>L Dipl FaGe MA SP - G1, L Dipl FaGe SP - G2, L Dipl FaGe MA SP - S2</t>
  </si>
  <si>
    <t>L Dipl FaGe SP - G2, L Dipl FaGe MA SP - S2</t>
  </si>
  <si>
    <t>L Dipl SP - F1, L Dipl SP - G1, L Dipl SP - G2</t>
  </si>
  <si>
    <t>L Dipl FaGe SP - F1</t>
  </si>
  <si>
    <t>L Dipl FaGe MA SP - F1, LE - L1</t>
  </si>
  <si>
    <t>L Dipl FaGe MA SP - G1</t>
  </si>
  <si>
    <t>L Dipl FaGe SP - G2</t>
  </si>
  <si>
    <t>MA SP - A1, MA SP - A2, MA SP - A3</t>
  </si>
  <si>
    <t>MA SP - A1, MA SP - A2, MA SP - A3, MA SP - A4</t>
  </si>
  <si>
    <t>MA SP - A1, MA SP - A2, MA SP - A3, MA SP - A4, MA SP - A6</t>
  </si>
  <si>
    <t>MA SP - A3, MA SP - A4, MA SP - A6</t>
  </si>
  <si>
    <t>MA SP - A1, MA SP - A4, MA SP - A5, MA SP - A6</t>
  </si>
  <si>
    <t>MA SP - A3, MA SP - A4</t>
  </si>
  <si>
    <t>MA SP - A1</t>
  </si>
  <si>
    <t>WE L_Dipl_FaGe_MA G1</t>
  </si>
  <si>
    <t>WE L_Dipl_FaGe G2</t>
  </si>
  <si>
    <t>WE L_Dipl F1_G1_G2</t>
  </si>
  <si>
    <t>WE L_Dipl_FaGe F1</t>
  </si>
  <si>
    <t>WE L_Dipl_FaGe_MA F1</t>
  </si>
  <si>
    <t>L Dipl FaGe MA SP - F1</t>
  </si>
  <si>
    <t>WE L_Dipl_FaGe_MA_LE F1_L1</t>
  </si>
  <si>
    <t>Min + Opt. freie Weekends</t>
  </si>
  <si>
    <t>5 - 5</t>
  </si>
  <si>
    <t>2 - 3</t>
  </si>
  <si>
    <t>0 - 0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</si>
</sst>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numFmt numFmtId="165" formatCode="yyyy\-mm\-dd;@"/>
    <numFmt numFmtId="166" formatCode="dd/mm/yyyy;@"/>
  </numFmts>
  <fonts count="31">
    <font>
      <sz val="10"/>
      <color theme="1"/>
      <name val="Arial"/>
      <family val="2"/>
    </font>
    <font>
      <b/>
      <sz val="10"/>
      <color theme="1"/>
      <name val="Arial"/>
      <family val="2"/>
    </font>
    <font>
      <b/>
      <sz val="10"/>
      <color rgb="FF000000"/>
      <name val="Arial"/>
      <family val="2"/>
    </font>
    <font>
      <sz val="10"/>
      <color rgb="FFFF0000"/>
      <name val="Arial"/>
      <family val="2"/>
    </font>
    <font>
      <b/>
      <sz val="10"/>
      <color rgb="FFFF0000"/>
      <name val="Arial"/>
      <family val="2"/>
    </font>
    <font>
      <b/>
      <sz val="8"/>
      <color rgb="FF000000"/>
      <name val="Arial"/>
      <family val="2"/>
    </font>
    <font>
      <i/>
      <sz val="10"/>
      <color theme="1"/>
      <name val="Arial"/>
      <family val="2"/>
    </font>
    <font>
      <sz val="8"/>
      <color theme="1"/>
      <name val="Arial"/>
      <family val="2"/>
    </font>
    <font>
      <sz val="8"/>
      <color rgb="FF000000"/>
      <name val="Arial"/>
      <family val="2"/>
    </font>
    <font>
      <sz val="9.8000000000000007"/>
      <color rgb="FFA9B7C6"/>
      <name val="JetBrains Mono"/>
      <family val="3"/>
    </font>
    <font>
      <b/>
      <sz val="12"/>
      <color theme="1"/>
      <name val="Arial"/>
      <family val="2"/>
    </font>
    <font>
      <sz val="12"/>
      <color theme="1"/>
      <name val="Arial"/>
      <family val="2"/>
    </font>
    <font>
      <b/>
      <sz val="8"/>
      <color theme="1"/>
      <name val="Arial"/>
      <family val="2"/>
    </font>
    <font>
      <sz val="10"/>
      <color rgb="FF000000"/>
      <name val="Arial"/>
      <family val="2"/>
    </font>
    <font>
      <i/>
      <sz val="10"/>
      <color rgb="FFFF0000"/>
      <name val="Arial"/>
      <family val="2"/>
    </font>
    <font>
      <sz val="10"/>
      <color theme="0" tint="-0.34998626667073579"/>
      <name val="Arial"/>
      <family val="2"/>
    </font>
    <font>
      <sz val="8"/>
      <color rgb="FFFF0000"/>
      <name val="Arial"/>
      <family val="2"/>
    </font>
    <font>
      <sz val="10"/>
      <name val="Arial"/>
      <family val="2"/>
    </font>
    <font>
      <b/>
      <sz val="10"/>
      <name val="Arial"/>
      <family val="2"/>
    </font>
    <font>
      <b/>
      <sz val="14"/>
      <color theme="1"/>
      <name val="Arial"/>
      <family val="2"/>
    </font>
    <font>
      <sz val="10"/>
      <color rgb="FF0070C0"/>
      <name val="Arial"/>
      <family val="2"/>
    </font>
    <font>
      <sz val="8"/>
      <name val="Arial"/>
      <family val="2"/>
    </font>
    <font>
      <sz val="10"/>
      <color rgb="FF00B050"/>
      <name val="Arial"/>
      <family val="2"/>
    </font>
    <font>
      <b/>
      <sz val="10"/>
      <color rgb="FF0070C0"/>
      <name val="Arial"/>
      <family val="2"/>
    </font>
    <font>
      <sz val="9"/>
      <color theme="1"/>
      <name val="Arial"/>
      <family val="2"/>
    </font>
    <font>
      <b/>
      <sz val="9"/>
      <color theme="1"/>
      <name val="Arial"/>
      <family val="2"/>
    </font>
    <font>
      <sz val="9.8000000000000007"/>
      <color rgb="FFFF0000"/>
      <name val="JetBrains Mono"/>
      <family val="3"/>
    </font>
    <font>
      <sz val="10"/>
      <color rgb="FF7030A0"/>
      <name val="Arial"/>
      <family val="2"/>
    </font>
    <font>
      <sz val="14"/>
      <color theme="1"/>
      <name val="Arial"/>
      <family val="2"/>
    </font>
    <font>
      <sz val="16"/>
      <color theme="1"/>
      <name val="Arial"/>
      <family val="2"/>
    </font>
    <font>
      <b/>
      <sz val="8"/>
      <name val="Arial"/>
      <family val="2"/>
    </font>
  </fonts>
  <fills count="20">
    <fill>
      <patternFill patternType="none"/>
    </fill>
    <fill>
      <patternFill patternType="gray125"/>
    </fill>
    <fill>
      <patternFill patternType="solid">
        <fgColor rgb="FFFFFF00"/>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FFFF00"/>
        <bgColor rgb="FF000000"/>
      </patternFill>
    </fill>
    <fill>
      <patternFill patternType="solid">
        <fgColor theme="9" tint="0.79998168889431442"/>
        <bgColor rgb="FF000000"/>
      </patternFill>
    </fill>
    <fill>
      <patternFill patternType="solid">
        <fgColor theme="4"/>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0000"/>
        <bgColor indexed="64"/>
      </patternFill>
    </fill>
  </fills>
  <borders count="87">
    <border>
      <left/>
      <right/>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hair">
        <color indexed="64"/>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style="medium">
        <color rgb="FFFFFF00"/>
      </left>
      <right style="hair">
        <color indexed="64"/>
      </right>
      <top style="medium">
        <color indexed="64"/>
      </top>
      <bottom style="medium">
        <color rgb="FFFFFF00"/>
      </bottom>
      <diagonal/>
    </border>
    <border>
      <left style="hair">
        <color indexed="64"/>
      </left>
      <right style="hair">
        <color indexed="64"/>
      </right>
      <top style="medium">
        <color indexed="64"/>
      </top>
      <bottom style="medium">
        <color rgb="FFFFFF00"/>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medium">
        <color indexed="64"/>
      </left>
      <right style="hair">
        <color indexed="64"/>
      </right>
      <top style="medium">
        <color indexed="64"/>
      </top>
      <bottom style="medium">
        <color indexed="64"/>
      </bottom>
      <diagonal/>
    </border>
    <border>
      <left style="hair">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style="medium">
        <color indexed="64"/>
      </top>
      <bottom/>
      <diagonal/>
    </border>
    <border>
      <left style="hair">
        <color indexed="64"/>
      </left>
      <right style="medium">
        <color indexed="64"/>
      </right>
      <top style="medium">
        <color indexed="64"/>
      </top>
      <bottom/>
      <diagonal/>
    </border>
    <border>
      <left/>
      <right style="hair">
        <color indexed="64"/>
      </right>
      <top style="medium">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style="hair">
        <color indexed="64"/>
      </right>
      <top/>
      <bottom style="medium">
        <color indexed="64"/>
      </bottom>
      <diagonal/>
    </border>
    <border>
      <left/>
      <right style="hair">
        <color indexed="64"/>
      </right>
      <top style="medium">
        <color indexed="64"/>
      </top>
      <bottom style="medium">
        <color indexed="64"/>
      </bottom>
      <diagonal/>
    </border>
    <border>
      <left style="hair">
        <color indexed="64"/>
      </left>
      <right style="medium">
        <color rgb="FFFFFF00"/>
      </right>
      <top style="medium">
        <color indexed="64"/>
      </top>
      <bottom style="medium">
        <color indexed="64"/>
      </bottom>
      <diagonal/>
    </border>
    <border>
      <left/>
      <right style="hair">
        <color indexed="64"/>
      </right>
      <top style="medium">
        <color rgb="FFFFFF00"/>
      </top>
      <bottom style="medium">
        <color indexed="64"/>
      </bottom>
      <diagonal/>
    </border>
    <border>
      <left style="hair">
        <color indexed="64"/>
      </left>
      <right style="hair">
        <color indexed="64"/>
      </right>
      <top style="medium">
        <color rgb="FFFFFF00"/>
      </top>
      <bottom style="medium">
        <color indexed="64"/>
      </bottom>
      <diagonal/>
    </border>
    <border>
      <left style="hair">
        <color indexed="64"/>
      </left>
      <right style="medium">
        <color indexed="64"/>
      </right>
      <top style="medium">
        <color rgb="FFFFFF00"/>
      </top>
      <bottom style="medium">
        <color indexed="64"/>
      </bottom>
      <diagonal/>
    </border>
    <border>
      <left/>
      <right style="hair">
        <color indexed="64"/>
      </right>
      <top style="hair">
        <color indexed="64"/>
      </top>
      <bottom style="medium">
        <color indexed="64"/>
      </bottom>
      <diagonal/>
    </border>
    <border>
      <left style="hair">
        <color indexed="64"/>
      </left>
      <right style="medium">
        <color indexed="64"/>
      </right>
      <top style="medium">
        <color indexed="64"/>
      </top>
      <bottom style="hair">
        <color indexed="64"/>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rgb="FFFFFF00"/>
      </right>
      <top style="medium">
        <color indexed="64"/>
      </top>
      <bottom/>
      <diagonal/>
    </border>
    <border>
      <left style="hair">
        <color indexed="64"/>
      </left>
      <right style="medium">
        <color indexed="64"/>
      </right>
      <top style="hair">
        <color indexed="64"/>
      </top>
      <bottom style="hair">
        <color indexed="64"/>
      </bottom>
      <diagonal/>
    </border>
    <border>
      <left style="medium">
        <color rgb="FFFFFF00"/>
      </left>
      <right style="hair">
        <color indexed="64"/>
      </right>
      <top style="medium">
        <color rgb="FFFFFF00"/>
      </top>
      <bottom style="medium">
        <color indexed="64"/>
      </bottom>
      <diagonal/>
    </border>
    <border>
      <left style="hair">
        <color indexed="64"/>
      </left>
      <right style="medium">
        <color rgb="FFFFFF00"/>
      </right>
      <top style="medium">
        <color rgb="FFFFFF00"/>
      </top>
      <bottom style="medium">
        <color indexed="64"/>
      </bottom>
      <diagonal/>
    </border>
    <border>
      <left style="hair">
        <color indexed="64"/>
      </left>
      <right/>
      <top style="hair">
        <color indexed="64"/>
      </top>
      <bottom style="medium">
        <color indexed="64"/>
      </bottom>
      <diagonal/>
    </border>
    <border>
      <left style="thin">
        <color indexed="64"/>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style="medium">
        <color rgb="FFFFFF00"/>
      </left>
      <right style="hair">
        <color indexed="64"/>
      </right>
      <top/>
      <bottom style="medium">
        <color rgb="FFFFFF00"/>
      </bottom>
      <diagonal/>
    </border>
    <border>
      <left style="hair">
        <color indexed="64"/>
      </left>
      <right style="hair">
        <color indexed="64"/>
      </right>
      <top/>
      <bottom style="medium">
        <color rgb="FFFFFF00"/>
      </bottom>
      <diagonal/>
    </border>
    <border>
      <left style="hair">
        <color indexed="64"/>
      </left>
      <right style="hair">
        <color indexed="64"/>
      </right>
      <top style="medium">
        <color rgb="FFFFFF00"/>
      </top>
      <bottom style="medium">
        <color rgb="FFFFFF00"/>
      </bottom>
      <diagonal/>
    </border>
    <border>
      <left style="hair">
        <color indexed="64"/>
      </left>
      <right style="medium">
        <color rgb="FFFFFF00"/>
      </right>
      <top style="medium">
        <color rgb="FFFFFF00"/>
      </top>
      <bottom style="medium">
        <color rgb="FFFFFF00"/>
      </bottom>
      <diagonal/>
    </border>
    <border>
      <left style="hair">
        <color indexed="64"/>
      </left>
      <right/>
      <top/>
      <bottom style="hair">
        <color indexed="64"/>
      </bottom>
      <diagonal/>
    </border>
    <border>
      <left style="hair">
        <color indexed="64"/>
      </left>
      <right style="medium">
        <color rgb="FFFFFF00"/>
      </right>
      <top/>
      <bottom style="medium">
        <color rgb="FFFFFF00"/>
      </bottom>
      <diagonal/>
    </border>
    <border>
      <left/>
      <right style="hair">
        <color indexed="64"/>
      </right>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right style="thin">
        <color indexed="64"/>
      </right>
      <top style="medium">
        <color indexed="64"/>
      </top>
      <bottom/>
      <diagonal/>
    </border>
    <border>
      <left style="thin">
        <color indexed="64"/>
      </left>
      <right/>
      <top style="medium">
        <color indexed="64"/>
      </top>
      <bottom/>
      <diagonal/>
    </border>
    <border>
      <left/>
      <right/>
      <top style="medium">
        <color indexed="64"/>
      </top>
      <bottom style="thin">
        <color indexed="64"/>
      </bottom>
      <diagonal/>
    </border>
    <border>
      <left/>
      <right style="hair">
        <color indexed="64"/>
      </right>
      <top/>
      <bottom/>
      <diagonal/>
    </border>
    <border>
      <left style="hair">
        <color indexed="64"/>
      </left>
      <right style="hair">
        <color indexed="64"/>
      </right>
      <top/>
      <bottom/>
      <diagonal/>
    </border>
    <border>
      <left style="hair">
        <color indexed="64"/>
      </left>
      <right/>
      <top/>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s>
  <cellStyleXfs count="1">
    <xf numFmtId="0" fontId="0" fillId="0" borderId="0"/>
  </cellStyleXfs>
  <cellXfs count="594">
    <xf numFmtId="0" fontId="0" fillId="0" borderId="0" xfId="0"/>
    <xf numFmtId="0" fontId="0" fillId="0" borderId="3" xfId="0" applyBorder="1"/>
    <xf numFmtId="0" fontId="0" fillId="0" borderId="5" xfId="0" applyBorder="1"/>
    <xf numFmtId="0" fontId="2" fillId="2" borderId="6" xfId="0" applyFont="1" applyFill="1" applyBorder="1" applyAlignment="1">
      <alignment horizontal="left"/>
    </xf>
    <xf numFmtId="0" fontId="2" fillId="2" borderId="7" xfId="0" applyFont="1" applyFill="1" applyBorder="1" applyAlignment="1">
      <alignment horizontal="left"/>
    </xf>
    <xf numFmtId="0" fontId="0" fillId="0" borderId="0" xfId="0" applyAlignment="1">
      <alignment horizontal="left"/>
    </xf>
    <xf numFmtId="0" fontId="0" fillId="0" borderId="7" xfId="0" applyBorder="1"/>
    <xf numFmtId="0" fontId="2" fillId="2" borderId="2" xfId="0" applyFont="1" applyFill="1" applyBorder="1" applyAlignment="1">
      <alignment horizontal="left"/>
    </xf>
    <xf numFmtId="0" fontId="0" fillId="0" borderId="8" xfId="0" applyBorder="1"/>
    <xf numFmtId="0" fontId="2" fillId="2" borderId="1" xfId="0" applyFont="1" applyFill="1" applyBorder="1" applyAlignment="1">
      <alignment horizontal="left"/>
    </xf>
    <xf numFmtId="0" fontId="2" fillId="2" borderId="3" xfId="0" applyFont="1" applyFill="1" applyBorder="1" applyAlignment="1">
      <alignment horizontal="left"/>
    </xf>
    <xf numFmtId="0" fontId="3" fillId="0" borderId="0" xfId="0" applyFont="1" applyAlignment="1">
      <alignment horizontal="left"/>
    </xf>
    <xf numFmtId="0" fontId="3" fillId="0" borderId="0" xfId="0" applyFont="1"/>
    <xf numFmtId="0" fontId="1" fillId="2" borderId="6" xfId="0" applyFont="1" applyFill="1" applyBorder="1" applyAlignment="1">
      <alignment horizontal="left"/>
    </xf>
    <xf numFmtId="0" fontId="0" fillId="2" borderId="7" xfId="0" applyFill="1" applyBorder="1" applyAlignment="1">
      <alignment horizontal="left"/>
    </xf>
    <xf numFmtId="0" fontId="1" fillId="2" borderId="12" xfId="0" applyFont="1" applyFill="1" applyBorder="1" applyAlignment="1">
      <alignment horizontal="left"/>
    </xf>
    <xf numFmtId="0" fontId="1" fillId="2" borderId="2" xfId="0" applyFont="1" applyFill="1" applyBorder="1" applyAlignment="1">
      <alignment horizontal="left"/>
    </xf>
    <xf numFmtId="0" fontId="1" fillId="2" borderId="0" xfId="0" applyFont="1" applyFill="1" applyAlignment="1">
      <alignment horizontal="left"/>
    </xf>
    <xf numFmtId="0" fontId="0" fillId="2" borderId="0" xfId="0" applyFill="1"/>
    <xf numFmtId="0" fontId="2" fillId="2" borderId="0" xfId="0" applyFont="1" applyFill="1" applyAlignment="1">
      <alignment horizontal="left"/>
    </xf>
    <xf numFmtId="0" fontId="0" fillId="0" borderId="9" xfId="0" applyBorder="1" applyAlignment="1">
      <alignment horizontal="center"/>
    </xf>
    <xf numFmtId="0" fontId="1" fillId="2" borderId="0" xfId="0" applyFont="1" applyFill="1" applyAlignment="1">
      <alignment horizontal="right"/>
    </xf>
    <xf numFmtId="0" fontId="0" fillId="0" borderId="0" xfId="0" applyAlignment="1">
      <alignment horizontal="center"/>
    </xf>
    <xf numFmtId="0" fontId="6" fillId="0" borderId="2" xfId="0" applyFont="1" applyBorder="1"/>
    <xf numFmtId="0" fontId="6" fillId="0" borderId="0" xfId="0" applyFont="1"/>
    <xf numFmtId="0" fontId="6" fillId="0" borderId="3" xfId="0" applyFont="1" applyBorder="1"/>
    <xf numFmtId="0" fontId="0" fillId="0" borderId="4" xfId="0" applyBorder="1"/>
    <xf numFmtId="0" fontId="1" fillId="2" borderId="6" xfId="0" applyFont="1" applyFill="1" applyBorder="1"/>
    <xf numFmtId="0" fontId="2" fillId="2" borderId="14" xfId="0" applyFont="1" applyFill="1" applyBorder="1" applyAlignment="1">
      <alignment horizontal="left"/>
    </xf>
    <xf numFmtId="0" fontId="7" fillId="2" borderId="10" xfId="0" applyFont="1" applyFill="1" applyBorder="1" applyAlignment="1">
      <alignment horizontal="left"/>
    </xf>
    <xf numFmtId="0" fontId="9" fillId="0" borderId="0" xfId="0" applyFont="1"/>
    <xf numFmtId="0" fontId="1" fillId="0" borderId="0" xfId="0" applyFont="1"/>
    <xf numFmtId="0" fontId="1" fillId="2" borderId="7" xfId="0" applyFont="1" applyFill="1" applyBorder="1" applyAlignment="1">
      <alignment horizontal="left"/>
    </xf>
    <xf numFmtId="0" fontId="1" fillId="2" borderId="1" xfId="0" applyFont="1" applyFill="1" applyBorder="1" applyAlignment="1">
      <alignment horizontal="left"/>
    </xf>
    <xf numFmtId="0" fontId="1" fillId="2" borderId="13" xfId="0" applyFont="1" applyFill="1" applyBorder="1" applyAlignment="1">
      <alignment horizontal="left"/>
    </xf>
    <xf numFmtId="0" fontId="1" fillId="2" borderId="14" xfId="0" applyFont="1" applyFill="1" applyBorder="1" applyAlignment="1">
      <alignment horizontal="left"/>
    </xf>
    <xf numFmtId="0" fontId="1" fillId="2" borderId="15" xfId="0" applyFont="1" applyFill="1" applyBorder="1" applyAlignment="1">
      <alignment horizontal="left"/>
    </xf>
    <xf numFmtId="0" fontId="0" fillId="0" borderId="10" xfId="0" applyBorder="1"/>
    <xf numFmtId="0" fontId="0" fillId="0" borderId="9" xfId="0" applyBorder="1"/>
    <xf numFmtId="0" fontId="1" fillId="2" borderId="7" xfId="0" applyFont="1" applyFill="1" applyBorder="1"/>
    <xf numFmtId="0" fontId="0" fillId="0" borderId="2" xfId="0" applyBorder="1"/>
    <xf numFmtId="0" fontId="1" fillId="5" borderId="12" xfId="0" applyFont="1" applyFill="1" applyBorder="1" applyAlignment="1">
      <alignment horizontal="left"/>
    </xf>
    <xf numFmtId="0" fontId="10" fillId="0" borderId="0" xfId="0" applyFont="1"/>
    <xf numFmtId="0" fontId="11" fillId="0" borderId="0" xfId="0" applyFont="1"/>
    <xf numFmtId="0" fontId="1" fillId="2" borderId="1" xfId="0" applyFont="1" applyFill="1" applyBorder="1"/>
    <xf numFmtId="0" fontId="12" fillId="2" borderId="7" xfId="0" applyFont="1" applyFill="1" applyBorder="1"/>
    <xf numFmtId="0" fontId="13" fillId="0" borderId="0" xfId="0" applyFont="1"/>
    <xf numFmtId="49" fontId="8" fillId="9" borderId="10" xfId="0" applyNumberFormat="1" applyFont="1" applyFill="1" applyBorder="1"/>
    <xf numFmtId="0" fontId="0" fillId="0" borderId="10" xfId="0" applyBorder="1" applyAlignment="1">
      <alignment horizontal="center"/>
    </xf>
    <xf numFmtId="49" fontId="8" fillId="10" borderId="5" xfId="0" applyNumberFormat="1" applyFont="1" applyFill="1" applyBorder="1"/>
    <xf numFmtId="0" fontId="0" fillId="5" borderId="1" xfId="0" applyFill="1" applyBorder="1"/>
    <xf numFmtId="0" fontId="0" fillId="5" borderId="5" xfId="0" applyFill="1" applyBorder="1"/>
    <xf numFmtId="0" fontId="0" fillId="5" borderId="6" xfId="0" applyFill="1" applyBorder="1" applyAlignment="1">
      <alignment horizontal="right"/>
    </xf>
    <xf numFmtId="0" fontId="0" fillId="5" borderId="4" xfId="0" applyFill="1" applyBorder="1" applyAlignment="1">
      <alignment horizontal="right"/>
    </xf>
    <xf numFmtId="0" fontId="0" fillId="7" borderId="10" xfId="0" applyFill="1" applyBorder="1"/>
    <xf numFmtId="0" fontId="0" fillId="7" borderId="9" xfId="0" applyFill="1" applyBorder="1"/>
    <xf numFmtId="0" fontId="2" fillId="9" borderId="12" xfId="0" applyFont="1" applyFill="1" applyBorder="1" applyAlignment="1">
      <alignment horizontal="left"/>
    </xf>
    <xf numFmtId="0" fontId="0" fillId="2" borderId="15" xfId="0" applyFill="1" applyBorder="1"/>
    <xf numFmtId="0" fontId="0" fillId="0" borderId="12" xfId="0" applyBorder="1"/>
    <xf numFmtId="0" fontId="0" fillId="5" borderId="0" xfId="0" applyFill="1"/>
    <xf numFmtId="0" fontId="1" fillId="5" borderId="0" xfId="0" applyFont="1" applyFill="1"/>
    <xf numFmtId="0" fontId="3" fillId="5" borderId="0" xfId="0" applyFont="1" applyFill="1" applyAlignment="1">
      <alignment horizontal="left"/>
    </xf>
    <xf numFmtId="0" fontId="3" fillId="5" borderId="0" xfId="0" applyFont="1" applyFill="1"/>
    <xf numFmtId="0" fontId="13" fillId="5" borderId="0" xfId="0" applyFont="1" applyFill="1"/>
    <xf numFmtId="0" fontId="12" fillId="2" borderId="0" xfId="0" applyFont="1" applyFill="1"/>
    <xf numFmtId="0" fontId="7" fillId="2" borderId="0" xfId="0" applyFont="1" applyFill="1"/>
    <xf numFmtId="49" fontId="0" fillId="0" borderId="6" xfId="0" applyNumberFormat="1" applyBorder="1" applyAlignment="1">
      <alignment horizontal="left"/>
    </xf>
    <xf numFmtId="49" fontId="0" fillId="0" borderId="2" xfId="0" applyNumberFormat="1" applyBorder="1" applyAlignment="1">
      <alignment horizontal="left"/>
    </xf>
    <xf numFmtId="0" fontId="4" fillId="0" borderId="0" xfId="0" applyFont="1"/>
    <xf numFmtId="0" fontId="14" fillId="0" borderId="0" xfId="0" applyFont="1"/>
    <xf numFmtId="0" fontId="15" fillId="5" borderId="0" xfId="0" applyFont="1" applyFill="1"/>
    <xf numFmtId="20" fontId="0" fillId="5" borderId="0" xfId="0" applyNumberFormat="1" applyFill="1"/>
    <xf numFmtId="49" fontId="3" fillId="0" borderId="2" xfId="0" applyNumberFormat="1" applyFont="1" applyBorder="1"/>
    <xf numFmtId="0" fontId="1" fillId="2" borderId="10" xfId="0" applyFont="1" applyFill="1" applyBorder="1"/>
    <xf numFmtId="0" fontId="6" fillId="0" borderId="9" xfId="0" applyFont="1" applyBorder="1"/>
    <xf numFmtId="0" fontId="3" fillId="0" borderId="9" xfId="0" applyFont="1" applyBorder="1"/>
    <xf numFmtId="166" fontId="0" fillId="0" borderId="0" xfId="0" applyNumberFormat="1"/>
    <xf numFmtId="0" fontId="0" fillId="8" borderId="7" xfId="0" applyFill="1" applyBorder="1" applyAlignment="1">
      <alignment horizontal="center" vertical="top"/>
    </xf>
    <xf numFmtId="49" fontId="0" fillId="0" borderId="0" xfId="0" applyNumberFormat="1"/>
    <xf numFmtId="49" fontId="0" fillId="0" borderId="3" xfId="0" applyNumberFormat="1" applyBorder="1"/>
    <xf numFmtId="49" fontId="3" fillId="0" borderId="0" xfId="0" applyNumberFormat="1" applyFont="1"/>
    <xf numFmtId="0" fontId="14" fillId="0" borderId="2" xfId="0" applyFont="1" applyBorder="1"/>
    <xf numFmtId="0" fontId="3" fillId="0" borderId="8" xfId="0" applyFont="1" applyBorder="1"/>
    <xf numFmtId="49" fontId="3" fillId="0" borderId="3" xfId="0" applyNumberFormat="1" applyFont="1" applyBorder="1"/>
    <xf numFmtId="0" fontId="3" fillId="0" borderId="9" xfId="0" applyFont="1" applyBorder="1" applyAlignment="1">
      <alignment horizontal="center"/>
    </xf>
    <xf numFmtId="0" fontId="16" fillId="2" borderId="10" xfId="0" applyFont="1" applyFill="1" applyBorder="1" applyAlignment="1">
      <alignment horizontal="left"/>
    </xf>
    <xf numFmtId="0" fontId="20" fillId="0" borderId="0" xfId="0" applyFont="1"/>
    <xf numFmtId="49" fontId="17" fillId="0" borderId="3" xfId="0" applyNumberFormat="1" applyFont="1" applyBorder="1"/>
    <xf numFmtId="49" fontId="17" fillId="0" borderId="2" xfId="0" applyNumberFormat="1" applyFont="1" applyBorder="1"/>
    <xf numFmtId="49" fontId="3" fillId="7" borderId="0" xfId="0" applyNumberFormat="1" applyFont="1" applyFill="1"/>
    <xf numFmtId="0" fontId="17" fillId="0" borderId="9" xfId="0" applyFont="1" applyBorder="1"/>
    <xf numFmtId="0" fontId="0" fillId="0" borderId="2" xfId="0" applyBorder="1" applyAlignment="1">
      <alignment horizontal="center"/>
    </xf>
    <xf numFmtId="0" fontId="17" fillId="0" borderId="2" xfId="0" applyFont="1" applyBorder="1" applyAlignment="1">
      <alignment horizontal="center"/>
    </xf>
    <xf numFmtId="49" fontId="0" fillId="0" borderId="2" xfId="0" applyNumberFormat="1" applyBorder="1"/>
    <xf numFmtId="0" fontId="1" fillId="2" borderId="17" xfId="0" applyFont="1" applyFill="1" applyBorder="1"/>
    <xf numFmtId="0" fontId="1" fillId="2" borderId="16" xfId="0" applyFont="1" applyFill="1" applyBorder="1"/>
    <xf numFmtId="0" fontId="1" fillId="2" borderId="18" xfId="0" applyFont="1" applyFill="1" applyBorder="1"/>
    <xf numFmtId="0" fontId="17" fillId="0" borderId="19" xfId="0" applyFont="1" applyBorder="1" applyAlignment="1">
      <alignment horizontal="center"/>
    </xf>
    <xf numFmtId="0" fontId="17" fillId="0" borderId="20" xfId="0" applyFont="1" applyBorder="1" applyAlignment="1">
      <alignment horizontal="center"/>
    </xf>
    <xf numFmtId="0" fontId="3" fillId="0" borderId="20" xfId="0" applyFont="1"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0" fillId="0" borderId="24" xfId="0" applyBorder="1" applyAlignment="1">
      <alignment horizontal="center"/>
    </xf>
    <xf numFmtId="0" fontId="3" fillId="0" borderId="3" xfId="0" applyFont="1" applyBorder="1"/>
    <xf numFmtId="0" fontId="2" fillId="9" borderId="10" xfId="0" applyFont="1" applyFill="1" applyBorder="1" applyAlignment="1">
      <alignment horizontal="left"/>
    </xf>
    <xf numFmtId="0" fontId="13" fillId="0" borderId="6" xfId="0" applyFont="1" applyBorder="1"/>
    <xf numFmtId="0" fontId="13" fillId="0" borderId="1" xfId="0" applyFont="1" applyBorder="1"/>
    <xf numFmtId="0" fontId="1" fillId="5" borderId="0" xfId="0" applyFont="1" applyFill="1" applyAlignment="1">
      <alignment horizontal="left"/>
    </xf>
    <xf numFmtId="0" fontId="0" fillId="0" borderId="7" xfId="0" applyBorder="1" applyAlignment="1">
      <alignment wrapText="1"/>
    </xf>
    <xf numFmtId="20" fontId="0" fillId="0" borderId="7" xfId="0" applyNumberFormat="1" applyBorder="1" applyAlignment="1">
      <alignment wrapText="1"/>
    </xf>
    <xf numFmtId="0" fontId="0" fillId="0" borderId="0" xfId="0" applyAlignment="1">
      <alignment wrapText="1"/>
    </xf>
    <xf numFmtId="0" fontId="3" fillId="0" borderId="0" xfId="0" applyFont="1" applyAlignment="1">
      <alignment wrapText="1"/>
    </xf>
    <xf numFmtId="20" fontId="3" fillId="0" borderId="0" xfId="0" applyNumberFormat="1" applyFont="1" applyAlignment="1">
      <alignment wrapText="1"/>
    </xf>
    <xf numFmtId="0" fontId="0" fillId="0" borderId="8" xfId="0" applyBorder="1" applyAlignment="1">
      <alignment wrapText="1"/>
    </xf>
    <xf numFmtId="20" fontId="0" fillId="0" borderId="8" xfId="0" applyNumberFormat="1" applyBorder="1" applyAlignment="1">
      <alignment wrapText="1"/>
    </xf>
    <xf numFmtId="20" fontId="17" fillId="0" borderId="8" xfId="0" applyNumberFormat="1" applyFont="1" applyBorder="1" applyAlignment="1">
      <alignment wrapText="1"/>
    </xf>
    <xf numFmtId="0" fontId="3" fillId="0" borderId="2" xfId="0" applyFont="1" applyBorder="1" applyAlignment="1">
      <alignment vertical="center" wrapText="1"/>
    </xf>
    <xf numFmtId="0" fontId="17" fillId="0" borderId="7" xfId="0" applyFont="1" applyBorder="1" applyAlignment="1">
      <alignment wrapText="1"/>
    </xf>
    <xf numFmtId="20" fontId="17" fillId="0" borderId="7" xfId="0" applyNumberFormat="1" applyFont="1" applyBorder="1" applyAlignment="1">
      <alignment wrapText="1"/>
    </xf>
    <xf numFmtId="0" fontId="23" fillId="5" borderId="16" xfId="0" applyFont="1" applyFill="1" applyBorder="1" applyAlignment="1">
      <alignment wrapText="1"/>
    </xf>
    <xf numFmtId="0" fontId="23" fillId="0" borderId="16" xfId="0" applyFont="1" applyBorder="1"/>
    <xf numFmtId="0" fontId="20" fillId="0" borderId="16" xfId="0" applyFont="1" applyBorder="1"/>
    <xf numFmtId="20" fontId="20" fillId="0" borderId="16" xfId="0" applyNumberFormat="1" applyFont="1" applyBorder="1"/>
    <xf numFmtId="0" fontId="23" fillId="0" borderId="0" xfId="0" applyFont="1"/>
    <xf numFmtId="20" fontId="20" fillId="0" borderId="0" xfId="0" applyNumberFormat="1" applyFont="1"/>
    <xf numFmtId="0" fontId="17" fillId="0" borderId="0" xfId="0" applyFont="1" applyAlignment="1">
      <alignment horizontal="left"/>
    </xf>
    <xf numFmtId="0" fontId="17" fillId="0" borderId="0" xfId="0" applyFont="1"/>
    <xf numFmtId="0" fontId="19" fillId="0" borderId="0" xfId="0" applyFont="1"/>
    <xf numFmtId="0" fontId="24" fillId="0" borderId="0" xfId="0" applyFont="1"/>
    <xf numFmtId="0" fontId="11" fillId="0" borderId="0" xfId="0" applyFont="1" applyAlignment="1">
      <alignment horizontal="right"/>
    </xf>
    <xf numFmtId="0" fontId="25" fillId="0" borderId="25" xfId="0" applyFont="1" applyBorder="1"/>
    <xf numFmtId="0" fontId="25" fillId="0" borderId="26" xfId="0" applyFont="1" applyBorder="1"/>
    <xf numFmtId="0" fontId="25" fillId="0" borderId="27" xfId="0" applyFont="1" applyBorder="1"/>
    <xf numFmtId="0" fontId="25" fillId="0" borderId="28" xfId="0" applyFont="1" applyBorder="1"/>
    <xf numFmtId="0" fontId="10" fillId="7" borderId="0" xfId="0" applyFont="1" applyFill="1" applyAlignment="1">
      <alignment horizontal="center"/>
    </xf>
    <xf numFmtId="0" fontId="11" fillId="0" borderId="29" xfId="0" applyFont="1" applyBorder="1"/>
    <xf numFmtId="0" fontId="24" fillId="0" borderId="30" xfId="0" applyFont="1" applyBorder="1"/>
    <xf numFmtId="0" fontId="24" fillId="0" borderId="31" xfId="0" applyFont="1" applyBorder="1"/>
    <xf numFmtId="0" fontId="24" fillId="0" borderId="32" xfId="0" applyFont="1" applyBorder="1"/>
    <xf numFmtId="0" fontId="11" fillId="7" borderId="17" xfId="0" applyFont="1" applyFill="1" applyBorder="1" applyAlignment="1">
      <alignment horizontal="center"/>
    </xf>
    <xf numFmtId="0" fontId="24" fillId="0" borderId="33" xfId="0" applyFont="1" applyBorder="1" applyProtection="1">
      <protection locked="0"/>
    </xf>
    <xf numFmtId="0" fontId="24" fillId="0" borderId="34" xfId="0" applyFont="1" applyBorder="1" applyProtection="1">
      <protection locked="0"/>
    </xf>
    <xf numFmtId="0" fontId="24" fillId="11" borderId="35" xfId="0" applyFont="1" applyFill="1" applyBorder="1" applyProtection="1">
      <protection locked="0"/>
    </xf>
    <xf numFmtId="0" fontId="24" fillId="11" borderId="36" xfId="0" applyFont="1" applyFill="1" applyBorder="1" applyProtection="1">
      <protection locked="0"/>
    </xf>
    <xf numFmtId="0" fontId="24" fillId="11" borderId="37" xfId="0" applyFont="1" applyFill="1" applyBorder="1" applyProtection="1">
      <protection locked="0"/>
    </xf>
    <xf numFmtId="0" fontId="24" fillId="11" borderId="38" xfId="0" applyFont="1" applyFill="1" applyBorder="1" applyProtection="1">
      <protection locked="0"/>
    </xf>
    <xf numFmtId="0" fontId="24" fillId="12" borderId="39" xfId="0" applyFont="1" applyFill="1" applyBorder="1" applyProtection="1">
      <protection locked="0"/>
    </xf>
    <xf numFmtId="0" fontId="24" fillId="12" borderId="40" xfId="0" applyFont="1" applyFill="1" applyBorder="1" applyProtection="1">
      <protection locked="0"/>
    </xf>
    <xf numFmtId="0" fontId="24" fillId="12" borderId="41" xfId="0" applyFont="1" applyFill="1" applyBorder="1" applyProtection="1">
      <protection locked="0"/>
    </xf>
    <xf numFmtId="0" fontId="24" fillId="11" borderId="42" xfId="0" applyFont="1" applyFill="1" applyBorder="1" applyProtection="1">
      <protection locked="0"/>
    </xf>
    <xf numFmtId="0" fontId="24" fillId="11" borderId="43" xfId="0" applyFont="1" applyFill="1" applyBorder="1" applyProtection="1">
      <protection locked="0"/>
    </xf>
    <xf numFmtId="0" fontId="24" fillId="0" borderId="44" xfId="0" applyFont="1" applyBorder="1" applyProtection="1">
      <protection locked="0"/>
    </xf>
    <xf numFmtId="0" fontId="11" fillId="0" borderId="16" xfId="0" applyFont="1" applyBorder="1" applyAlignment="1">
      <alignment horizontal="right"/>
    </xf>
    <xf numFmtId="0" fontId="11" fillId="0" borderId="16" xfId="0" applyFont="1" applyBorder="1"/>
    <xf numFmtId="0" fontId="11" fillId="7" borderId="21" xfId="0" applyFont="1" applyFill="1" applyBorder="1" applyAlignment="1">
      <alignment horizontal="center"/>
    </xf>
    <xf numFmtId="0" fontId="24" fillId="0" borderId="45" xfId="0" applyFont="1" applyBorder="1" applyProtection="1">
      <protection locked="0"/>
    </xf>
    <xf numFmtId="0" fontId="24" fillId="0" borderId="46" xfId="0" applyFont="1" applyBorder="1" applyProtection="1">
      <protection locked="0"/>
    </xf>
    <xf numFmtId="0" fontId="24" fillId="12" borderId="47" xfId="0" applyFont="1" applyFill="1" applyBorder="1" applyProtection="1">
      <protection locked="0"/>
    </xf>
    <xf numFmtId="0" fontId="24" fillId="13" borderId="39" xfId="0" applyFont="1" applyFill="1" applyBorder="1" applyProtection="1">
      <protection locked="0"/>
    </xf>
    <xf numFmtId="0" fontId="24" fillId="13" borderId="40" xfId="0" applyFont="1" applyFill="1" applyBorder="1" applyProtection="1">
      <protection locked="0"/>
    </xf>
    <xf numFmtId="0" fontId="24" fillId="13" borderId="48" xfId="0" applyFont="1" applyFill="1" applyBorder="1" applyProtection="1">
      <protection locked="0"/>
    </xf>
    <xf numFmtId="0" fontId="24" fillId="13" borderId="47" xfId="0" applyFont="1" applyFill="1" applyBorder="1" applyProtection="1">
      <protection locked="0"/>
    </xf>
    <xf numFmtId="0" fontId="24" fillId="13" borderId="41" xfId="0" applyFont="1" applyFill="1" applyBorder="1" applyProtection="1">
      <protection locked="0"/>
    </xf>
    <xf numFmtId="0" fontId="24" fillId="0" borderId="49" xfId="0" applyFont="1" applyBorder="1" applyProtection="1">
      <protection locked="0"/>
    </xf>
    <xf numFmtId="0" fontId="24" fillId="0" borderId="50" xfId="0" applyFont="1" applyBorder="1" applyProtection="1">
      <protection locked="0"/>
    </xf>
    <xf numFmtId="0" fontId="24" fillId="0" borderId="51" xfId="0" applyFont="1" applyBorder="1" applyProtection="1">
      <protection locked="0"/>
    </xf>
    <xf numFmtId="0" fontId="24" fillId="0" borderId="52" xfId="0" applyFont="1" applyBorder="1" applyProtection="1">
      <protection locked="0"/>
    </xf>
    <xf numFmtId="0" fontId="11" fillId="0" borderId="22" xfId="0" applyFont="1" applyBorder="1" applyAlignment="1">
      <alignment horizontal="right"/>
    </xf>
    <xf numFmtId="0" fontId="11" fillId="0" borderId="22" xfId="0" applyFont="1" applyBorder="1"/>
    <xf numFmtId="0" fontId="11" fillId="7" borderId="0" xfId="0" applyFont="1" applyFill="1" applyAlignment="1">
      <alignment horizontal="center"/>
    </xf>
    <xf numFmtId="0" fontId="24" fillId="0" borderId="53" xfId="0" applyFont="1" applyBorder="1" applyProtection="1">
      <protection locked="0"/>
    </xf>
    <xf numFmtId="0" fontId="24" fillId="0" borderId="54" xfId="0" applyFont="1" applyBorder="1" applyProtection="1">
      <protection locked="0"/>
    </xf>
    <xf numFmtId="0" fontId="11" fillId="7" borderId="19" xfId="0" applyFont="1" applyFill="1" applyBorder="1" applyAlignment="1">
      <alignment horizontal="center"/>
    </xf>
    <xf numFmtId="0" fontId="24" fillId="0" borderId="55" xfId="0" applyFont="1" applyBorder="1" applyProtection="1">
      <protection locked="0"/>
    </xf>
    <xf numFmtId="0" fontId="24" fillId="0" borderId="35" xfId="0" applyFont="1" applyBorder="1" applyProtection="1">
      <protection locked="0"/>
    </xf>
    <xf numFmtId="0" fontId="24" fillId="0" borderId="36" xfId="0" applyFont="1" applyBorder="1" applyProtection="1">
      <protection locked="0"/>
    </xf>
    <xf numFmtId="0" fontId="24" fillId="0" borderId="37" xfId="0" applyFont="1" applyBorder="1" applyProtection="1">
      <protection locked="0"/>
    </xf>
    <xf numFmtId="0" fontId="24" fillId="0" borderId="56" xfId="0" applyFont="1" applyBorder="1" applyProtection="1">
      <protection locked="0"/>
    </xf>
    <xf numFmtId="0" fontId="24" fillId="0" borderId="57" xfId="0" applyFont="1" applyBorder="1" applyProtection="1">
      <protection locked="0"/>
    </xf>
    <xf numFmtId="0" fontId="24" fillId="0" borderId="31" xfId="0" applyFont="1" applyBorder="1" applyProtection="1">
      <protection locked="0"/>
    </xf>
    <xf numFmtId="0" fontId="20" fillId="0" borderId="22" xfId="0" applyFont="1" applyBorder="1"/>
    <xf numFmtId="0" fontId="24" fillId="0" borderId="58" xfId="0" applyFont="1" applyBorder="1" applyProtection="1">
      <protection locked="0"/>
    </xf>
    <xf numFmtId="0" fontId="24" fillId="0" borderId="59" xfId="0" applyFont="1" applyBorder="1" applyProtection="1">
      <protection locked="0"/>
    </xf>
    <xf numFmtId="0" fontId="24" fillId="0" borderId="60" xfId="0" applyFont="1" applyBorder="1" applyProtection="1">
      <protection locked="0"/>
    </xf>
    <xf numFmtId="0" fontId="11" fillId="7" borderId="0" xfId="0" applyFont="1" applyFill="1" applyAlignment="1">
      <alignment horizontal="left"/>
    </xf>
    <xf numFmtId="0" fontId="11" fillId="0" borderId="61" xfId="0" applyFont="1" applyBorder="1"/>
    <xf numFmtId="0" fontId="24" fillId="0" borderId="62" xfId="0" applyFont="1" applyBorder="1"/>
    <xf numFmtId="0" fontId="24" fillId="0" borderId="63" xfId="0" applyFont="1" applyBorder="1"/>
    <xf numFmtId="0" fontId="24" fillId="0" borderId="64" xfId="0" applyFont="1" applyBorder="1"/>
    <xf numFmtId="0" fontId="24" fillId="0" borderId="65" xfId="0" applyFont="1" applyBorder="1" applyProtection="1">
      <protection locked="0"/>
    </xf>
    <xf numFmtId="0" fontId="24" fillId="0" borderId="66" xfId="0" applyFont="1" applyBorder="1" applyProtection="1">
      <protection locked="0"/>
    </xf>
    <xf numFmtId="0" fontId="24" fillId="0" borderId="67" xfId="0" applyFont="1" applyBorder="1" applyProtection="1">
      <protection locked="0"/>
    </xf>
    <xf numFmtId="0" fontId="24" fillId="0" borderId="68" xfId="0" applyFont="1" applyBorder="1" applyProtection="1">
      <protection locked="0"/>
    </xf>
    <xf numFmtId="0" fontId="24" fillId="0" borderId="69" xfId="0" applyFont="1" applyBorder="1" applyProtection="1">
      <protection locked="0"/>
    </xf>
    <xf numFmtId="0" fontId="24" fillId="0" borderId="70" xfId="0" applyFont="1" applyBorder="1" applyProtection="1">
      <protection locked="0"/>
    </xf>
    <xf numFmtId="0" fontId="24" fillId="0" borderId="71" xfId="0" applyFont="1" applyBorder="1" applyProtection="1">
      <protection locked="0"/>
    </xf>
    <xf numFmtId="0" fontId="24" fillId="0" borderId="72" xfId="0" applyFont="1" applyBorder="1" applyProtection="1">
      <protection locked="0"/>
    </xf>
    <xf numFmtId="0" fontId="1" fillId="2" borderId="6" xfId="0" applyFont="1" applyFill="1" applyBorder="1" applyAlignment="1">
      <alignment horizontal="left" wrapText="1"/>
    </xf>
    <xf numFmtId="0" fontId="1" fillId="2" borderId="7" xfId="0" applyFont="1" applyFill="1" applyBorder="1" applyAlignment="1">
      <alignment horizontal="left" wrapText="1"/>
    </xf>
    <xf numFmtId="0" fontId="1" fillId="2" borderId="1" xfId="0" applyFont="1" applyFill="1" applyBorder="1" applyAlignment="1">
      <alignment horizontal="left" wrapText="1"/>
    </xf>
    <xf numFmtId="0" fontId="1" fillId="2" borderId="0" xfId="0" applyFont="1" applyFill="1" applyAlignment="1">
      <alignment horizontal="left" wrapText="1"/>
    </xf>
    <xf numFmtId="0" fontId="0" fillId="7" borderId="0" xfId="0" applyFill="1" applyAlignment="1">
      <alignment wrapText="1"/>
    </xf>
    <xf numFmtId="0" fontId="9" fillId="0" borderId="0" xfId="0" applyFont="1" applyAlignment="1">
      <alignment wrapText="1"/>
    </xf>
    <xf numFmtId="0" fontId="1" fillId="5" borderId="0" xfId="0" applyFont="1" applyFill="1" applyAlignment="1">
      <alignment horizontal="left" wrapText="1"/>
    </xf>
    <xf numFmtId="0" fontId="1" fillId="7" borderId="0" xfId="0" applyFont="1" applyFill="1" applyAlignment="1">
      <alignment horizontal="left" wrapText="1"/>
    </xf>
    <xf numFmtId="0" fontId="3" fillId="0" borderId="6" xfId="0" applyFont="1" applyBorder="1" applyAlignment="1">
      <alignment vertical="center" wrapText="1"/>
    </xf>
    <xf numFmtId="0" fontId="3" fillId="0" borderId="7" xfId="0" applyFont="1" applyBorder="1" applyAlignment="1">
      <alignment wrapText="1"/>
    </xf>
    <xf numFmtId="20" fontId="3" fillId="0" borderId="7" xfId="0" applyNumberFormat="1" applyFont="1" applyBorder="1" applyAlignment="1">
      <alignment wrapText="1"/>
    </xf>
    <xf numFmtId="20" fontId="3" fillId="0" borderId="1" xfId="0" applyNumberFormat="1" applyFont="1" applyBorder="1" applyAlignment="1">
      <alignment wrapText="1"/>
    </xf>
    <xf numFmtId="20" fontId="3" fillId="7" borderId="0" xfId="0" applyNumberFormat="1" applyFont="1" applyFill="1" applyAlignment="1">
      <alignment wrapText="1"/>
    </xf>
    <xf numFmtId="0" fontId="26" fillId="0" borderId="0" xfId="0" applyFont="1" applyAlignment="1">
      <alignment wrapText="1"/>
    </xf>
    <xf numFmtId="0" fontId="3" fillId="0" borderId="3" xfId="0" applyFont="1" applyBorder="1" applyAlignment="1">
      <alignment wrapText="1"/>
    </xf>
    <xf numFmtId="0" fontId="3" fillId="0" borderId="4" xfId="0" applyFont="1" applyBorder="1" applyAlignment="1">
      <alignment vertical="center" wrapText="1"/>
    </xf>
    <xf numFmtId="0" fontId="3" fillId="0" borderId="8" xfId="0" applyFont="1" applyBorder="1" applyAlignment="1">
      <alignment wrapText="1"/>
    </xf>
    <xf numFmtId="20" fontId="3" fillId="0" borderId="8" xfId="0" applyNumberFormat="1" applyFont="1" applyBorder="1" applyAlignment="1">
      <alignment wrapText="1"/>
    </xf>
    <xf numFmtId="0" fontId="3" fillId="0" borderId="5" xfId="0" applyFont="1" applyBorder="1" applyAlignment="1">
      <alignment wrapText="1"/>
    </xf>
    <xf numFmtId="0" fontId="0" fillId="0" borderId="0" xfId="0" quotePrefix="1"/>
    <xf numFmtId="0" fontId="0" fillId="0" borderId="19" xfId="0" applyBorder="1"/>
    <xf numFmtId="0" fontId="17" fillId="0" borderId="7" xfId="0" applyFont="1" applyBorder="1"/>
    <xf numFmtId="0" fontId="0" fillId="14" borderId="19" xfId="0" applyFill="1" applyBorder="1" applyAlignment="1">
      <alignment horizontal="center"/>
    </xf>
    <xf numFmtId="0" fontId="0" fillId="14" borderId="20" xfId="0" applyFill="1" applyBorder="1" applyAlignment="1">
      <alignment horizontal="center"/>
    </xf>
    <xf numFmtId="0" fontId="17" fillId="0" borderId="8" xfId="0" applyFont="1" applyBorder="1"/>
    <xf numFmtId="0" fontId="0" fillId="0" borderId="5" xfId="0" applyBorder="1" applyAlignment="1">
      <alignment horizontal="center"/>
    </xf>
    <xf numFmtId="0" fontId="0" fillId="0" borderId="7" xfId="0" applyBorder="1" applyAlignment="1">
      <alignment horizontal="center"/>
    </xf>
    <xf numFmtId="0" fontId="0" fillId="0" borderId="1" xfId="0" applyBorder="1" applyAlignment="1">
      <alignment horizontal="center"/>
    </xf>
    <xf numFmtId="0" fontId="0" fillId="0" borderId="74" xfId="0" applyBorder="1" applyAlignment="1">
      <alignment horizontal="center"/>
    </xf>
    <xf numFmtId="0" fontId="0" fillId="14" borderId="73" xfId="0" applyFill="1" applyBorder="1" applyAlignment="1">
      <alignment horizontal="center"/>
    </xf>
    <xf numFmtId="0" fontId="0" fillId="14" borderId="7" xfId="0" applyFill="1" applyBorder="1" applyAlignment="1">
      <alignment horizontal="center"/>
    </xf>
    <xf numFmtId="0" fontId="0" fillId="14" borderId="74" xfId="0" applyFill="1" applyBorder="1" applyAlignment="1">
      <alignment horizontal="center"/>
    </xf>
    <xf numFmtId="0" fontId="0" fillId="0" borderId="3" xfId="0" applyBorder="1" applyAlignment="1">
      <alignment horizontal="center"/>
    </xf>
    <xf numFmtId="0" fontId="3" fillId="0" borderId="74" xfId="0" applyFont="1" applyBorder="1" applyAlignment="1">
      <alignment horizontal="center"/>
    </xf>
    <xf numFmtId="0" fontId="0" fillId="0" borderId="8" xfId="0" applyBorder="1" applyAlignment="1">
      <alignment horizontal="center"/>
    </xf>
    <xf numFmtId="0" fontId="0" fillId="0" borderId="4" xfId="0" applyBorder="1" applyAlignment="1">
      <alignment horizontal="center"/>
    </xf>
    <xf numFmtId="0" fontId="0" fillId="0" borderId="76" xfId="0" applyBorder="1" applyAlignment="1">
      <alignment horizontal="center"/>
    </xf>
    <xf numFmtId="0" fontId="0" fillId="14" borderId="75" xfId="0" applyFill="1" applyBorder="1" applyAlignment="1">
      <alignment horizontal="center"/>
    </xf>
    <xf numFmtId="0" fontId="0" fillId="14" borderId="8" xfId="0" applyFill="1" applyBorder="1" applyAlignment="1">
      <alignment horizontal="center"/>
    </xf>
    <xf numFmtId="0" fontId="0" fillId="14" borderId="76" xfId="0" applyFill="1" applyBorder="1" applyAlignment="1">
      <alignment horizontal="center"/>
    </xf>
    <xf numFmtId="0" fontId="3" fillId="0" borderId="76" xfId="0" applyFont="1" applyBorder="1" applyAlignment="1">
      <alignment horizontal="center"/>
    </xf>
    <xf numFmtId="0" fontId="17" fillId="0" borderId="7" xfId="0" applyFont="1" applyBorder="1" applyAlignment="1">
      <alignment horizontal="center"/>
    </xf>
    <xf numFmtId="0" fontId="17" fillId="0" borderId="1" xfId="0" applyFont="1" applyBorder="1" applyAlignment="1">
      <alignment horizontal="center"/>
    </xf>
    <xf numFmtId="0" fontId="17" fillId="0" borderId="6" xfId="0" applyFont="1" applyBorder="1" applyAlignment="1">
      <alignment horizontal="center"/>
    </xf>
    <xf numFmtId="0" fontId="17" fillId="0" borderId="74" xfId="0" applyFont="1" applyBorder="1" applyAlignment="1">
      <alignment horizontal="center"/>
    </xf>
    <xf numFmtId="0" fontId="17" fillId="0" borderId="3" xfId="0" applyFont="1" applyBorder="1" applyAlignment="1">
      <alignment horizontal="center"/>
    </xf>
    <xf numFmtId="0" fontId="17" fillId="0" borderId="5" xfId="0" applyFont="1" applyBorder="1" applyAlignment="1">
      <alignment horizontal="center"/>
    </xf>
    <xf numFmtId="0" fontId="17" fillId="0" borderId="4" xfId="0" applyFont="1" applyBorder="1" applyAlignment="1">
      <alignment horizontal="center"/>
    </xf>
    <xf numFmtId="0" fontId="17" fillId="0" borderId="8" xfId="0" applyFont="1" applyBorder="1" applyAlignment="1">
      <alignment horizontal="center"/>
    </xf>
    <xf numFmtId="0" fontId="0" fillId="14" borderId="3" xfId="0" applyFill="1" applyBorder="1" applyAlignment="1">
      <alignment horizontal="center"/>
    </xf>
    <xf numFmtId="0" fontId="0" fillId="14" borderId="2" xfId="0" applyFill="1" applyBorder="1" applyAlignment="1">
      <alignment horizontal="center"/>
    </xf>
    <xf numFmtId="0" fontId="17" fillId="0" borderId="22" xfId="0" applyFont="1" applyBorder="1"/>
    <xf numFmtId="0" fontId="0" fillId="0" borderId="77" xfId="0" applyBorder="1" applyAlignment="1">
      <alignment horizontal="center"/>
    </xf>
    <xf numFmtId="0" fontId="17" fillId="0" borderId="16" xfId="0" applyFont="1" applyBorder="1"/>
    <xf numFmtId="0" fontId="0" fillId="0" borderId="78" xfId="0" applyBorder="1" applyAlignment="1">
      <alignment horizontal="center"/>
    </xf>
    <xf numFmtId="0" fontId="0" fillId="0" borderId="20" xfId="0" applyBorder="1"/>
    <xf numFmtId="0" fontId="0" fillId="15" borderId="20" xfId="0" applyFill="1" applyBorder="1" applyAlignment="1">
      <alignment horizontal="center"/>
    </xf>
    <xf numFmtId="0" fontId="0" fillId="14" borderId="5" xfId="0" applyFill="1" applyBorder="1" applyAlignment="1">
      <alignment horizontal="center"/>
    </xf>
    <xf numFmtId="0" fontId="0" fillId="14" borderId="21" xfId="0" applyFill="1" applyBorder="1" applyAlignment="1">
      <alignment horizontal="center"/>
    </xf>
    <xf numFmtId="0" fontId="0" fillId="14" borderId="77" xfId="0" applyFill="1" applyBorder="1" applyAlignment="1">
      <alignment horizontal="center"/>
    </xf>
    <xf numFmtId="0" fontId="0" fillId="14" borderId="22" xfId="0" applyFill="1" applyBorder="1" applyAlignment="1">
      <alignment horizontal="center"/>
    </xf>
    <xf numFmtId="0" fontId="0" fillId="14" borderId="23" xfId="0" applyFill="1" applyBorder="1" applyAlignment="1">
      <alignment horizontal="center"/>
    </xf>
    <xf numFmtId="0" fontId="0" fillId="14" borderId="24" xfId="0" applyFill="1" applyBorder="1" applyAlignment="1">
      <alignment horizontal="center"/>
    </xf>
    <xf numFmtId="0" fontId="17" fillId="0" borderId="16" xfId="0" applyFont="1" applyBorder="1" applyAlignment="1">
      <alignment horizontal="center"/>
    </xf>
    <xf numFmtId="0" fontId="17" fillId="14" borderId="17" xfId="0" applyFont="1" applyFill="1" applyBorder="1" applyAlignment="1">
      <alignment horizontal="center"/>
    </xf>
    <xf numFmtId="0" fontId="17" fillId="14" borderId="16" xfId="0" applyFont="1" applyFill="1" applyBorder="1" applyAlignment="1">
      <alignment horizontal="center"/>
    </xf>
    <xf numFmtId="0" fontId="17" fillId="14" borderId="79" xfId="0" applyFont="1" applyFill="1" applyBorder="1" applyAlignment="1">
      <alignment horizontal="center"/>
    </xf>
    <xf numFmtId="0" fontId="17" fillId="14" borderId="18" xfId="0" applyFont="1" applyFill="1" applyBorder="1" applyAlignment="1">
      <alignment horizontal="center"/>
    </xf>
    <xf numFmtId="0" fontId="17" fillId="14" borderId="19" xfId="0" applyFont="1" applyFill="1" applyBorder="1" applyAlignment="1">
      <alignment horizontal="center"/>
    </xf>
    <xf numFmtId="0" fontId="17" fillId="14" borderId="2" xfId="0" applyFont="1" applyFill="1" applyBorder="1" applyAlignment="1">
      <alignment horizontal="center"/>
    </xf>
    <xf numFmtId="0" fontId="17" fillId="14" borderId="3" xfId="0" applyFont="1" applyFill="1" applyBorder="1" applyAlignment="1">
      <alignment horizontal="center"/>
    </xf>
    <xf numFmtId="0" fontId="17" fillId="14" borderId="20" xfId="0" applyFont="1" applyFill="1" applyBorder="1" applyAlignment="1">
      <alignment horizontal="center"/>
    </xf>
    <xf numFmtId="0" fontId="17" fillId="0" borderId="22" xfId="0" applyFont="1" applyBorder="1" applyAlignment="1">
      <alignment horizontal="center"/>
    </xf>
    <xf numFmtId="0" fontId="17" fillId="14" borderId="21" xfId="0" applyFont="1" applyFill="1" applyBorder="1" applyAlignment="1">
      <alignment horizontal="center"/>
    </xf>
    <xf numFmtId="0" fontId="17" fillId="14" borderId="22" xfId="0" applyFont="1" applyFill="1" applyBorder="1" applyAlignment="1">
      <alignment horizontal="center"/>
    </xf>
    <xf numFmtId="0" fontId="17" fillId="14" borderId="23" xfId="0" applyFont="1" applyFill="1" applyBorder="1" applyAlignment="1">
      <alignment horizontal="center"/>
    </xf>
    <xf numFmtId="0" fontId="17" fillId="14" borderId="24" xfId="0" applyFont="1" applyFill="1" applyBorder="1" applyAlignment="1">
      <alignment horizontal="center"/>
    </xf>
    <xf numFmtId="0" fontId="3" fillId="0" borderId="16" xfId="0" applyFont="1" applyBorder="1"/>
    <xf numFmtId="0" fontId="3" fillId="0" borderId="22" xfId="0" applyFont="1" applyBorder="1"/>
    <xf numFmtId="49" fontId="0" fillId="3" borderId="7" xfId="0" applyNumberFormat="1" applyFill="1" applyBorder="1" applyAlignment="1">
      <alignment horizontal="left"/>
    </xf>
    <xf numFmtId="49" fontId="0" fillId="3" borderId="0" xfId="0" applyNumberFormat="1" applyFill="1" applyAlignment="1">
      <alignment horizontal="left"/>
    </xf>
    <xf numFmtId="0" fontId="18" fillId="5" borderId="12" xfId="0" applyFont="1" applyFill="1" applyBorder="1" applyAlignment="1">
      <alignment horizontal="left"/>
    </xf>
    <xf numFmtId="0" fontId="17" fillId="0" borderId="3" xfId="0" applyFont="1" applyBorder="1"/>
    <xf numFmtId="0" fontId="0" fillId="0" borderId="0" xfId="0" applyAlignment="1"/>
    <xf numFmtId="0" fontId="3" fillId="0" borderId="0" xfId="0" applyFont="1" applyAlignment="1"/>
    <xf numFmtId="49" fontId="0" fillId="3" borderId="2" xfId="0" applyNumberFormat="1" applyFill="1" applyBorder="1" applyAlignment="1">
      <alignment horizontal="left"/>
    </xf>
    <xf numFmtId="49" fontId="0" fillId="3" borderId="6" xfId="0" applyNumberFormat="1" applyFill="1" applyBorder="1" applyAlignment="1">
      <alignment horizontal="left"/>
    </xf>
    <xf numFmtId="49" fontId="17" fillId="3" borderId="0" xfId="0" applyNumberFormat="1" applyFont="1" applyFill="1" applyAlignment="1">
      <alignment horizontal="left"/>
    </xf>
    <xf numFmtId="49" fontId="27" fillId="0" borderId="2" xfId="0" applyNumberFormat="1" applyFont="1" applyBorder="1"/>
    <xf numFmtId="49" fontId="3" fillId="0" borderId="6" xfId="0" applyNumberFormat="1" applyFont="1" applyBorder="1"/>
    <xf numFmtId="49" fontId="3" fillId="0" borderId="10" xfId="0" applyNumberFormat="1" applyFont="1" applyBorder="1"/>
    <xf numFmtId="49" fontId="3" fillId="0" borderId="9" xfId="0" applyNumberFormat="1" applyFont="1" applyBorder="1"/>
    <xf numFmtId="49" fontId="0" fillId="16" borderId="0" xfId="0" applyNumberFormat="1" applyFill="1"/>
    <xf numFmtId="49" fontId="17" fillId="0" borderId="3" xfId="0" applyNumberFormat="1" applyFont="1" applyFill="1" applyBorder="1"/>
    <xf numFmtId="49" fontId="3" fillId="0" borderId="3" xfId="0" applyNumberFormat="1" applyFont="1" applyFill="1" applyBorder="1"/>
    <xf numFmtId="49" fontId="0" fillId="3" borderId="0" xfId="0" applyNumberFormat="1" applyFill="1"/>
    <xf numFmtId="49" fontId="0" fillId="3" borderId="0" xfId="0" applyNumberFormat="1" applyFill="1" applyAlignment="1">
      <alignment horizontal="center"/>
    </xf>
    <xf numFmtId="0" fontId="0" fillId="3" borderId="2" xfId="0" applyFill="1" applyBorder="1"/>
    <xf numFmtId="0" fontId="0" fillId="3" borderId="0" xfId="0" applyFill="1"/>
    <xf numFmtId="0" fontId="3" fillId="3" borderId="0" xfId="0" applyFont="1" applyFill="1"/>
    <xf numFmtId="49" fontId="22" fillId="3" borderId="0" xfId="0" applyNumberFormat="1" applyFont="1" applyFill="1" applyBorder="1"/>
    <xf numFmtId="0" fontId="17" fillId="0" borderId="10" xfId="0" applyFont="1" applyBorder="1" applyAlignment="1">
      <alignment horizontal="center"/>
    </xf>
    <xf numFmtId="0" fontId="17" fillId="0" borderId="9" xfId="0" applyFont="1" applyBorder="1" applyAlignment="1">
      <alignment horizontal="center"/>
    </xf>
    <xf numFmtId="0" fontId="17" fillId="14" borderId="75" xfId="0" applyFont="1" applyFill="1" applyBorder="1" applyAlignment="1">
      <alignment horizontal="center"/>
    </xf>
    <xf numFmtId="0" fontId="17" fillId="14" borderId="8" xfId="0" applyFont="1" applyFill="1" applyBorder="1" applyAlignment="1">
      <alignment horizontal="center"/>
    </xf>
    <xf numFmtId="0" fontId="17" fillId="0" borderId="76" xfId="0" applyFont="1" applyBorder="1" applyAlignment="1">
      <alignment horizontal="center"/>
    </xf>
    <xf numFmtId="0" fontId="0" fillId="0" borderId="3" xfId="0" applyBorder="1" applyAlignment="1">
      <alignment horizontal="left"/>
    </xf>
    <xf numFmtId="49" fontId="3" fillId="0" borderId="0" xfId="0" applyNumberFormat="1" applyFont="1" applyFill="1"/>
    <xf numFmtId="0" fontId="0" fillId="0" borderId="0" xfId="0" applyFill="1"/>
    <xf numFmtId="49" fontId="0" fillId="0" borderId="14" xfId="0" applyNumberFormat="1" applyFill="1" applyBorder="1"/>
    <xf numFmtId="0" fontId="21" fillId="0" borderId="0" xfId="0" applyFont="1" applyBorder="1" applyAlignment="1">
      <alignment horizontal="center"/>
    </xf>
    <xf numFmtId="0" fontId="7" fillId="0" borderId="0" xfId="0" applyFont="1" applyBorder="1" applyAlignment="1">
      <alignment horizontal="center"/>
    </xf>
    <xf numFmtId="0" fontId="21" fillId="0" borderId="0" xfId="0" applyFont="1" applyFill="1" applyBorder="1" applyAlignment="1">
      <alignment horizontal="center"/>
    </xf>
    <xf numFmtId="0" fontId="0" fillId="0" borderId="0" xfId="0" applyBorder="1" applyAlignment="1">
      <alignment wrapText="1"/>
    </xf>
    <xf numFmtId="0" fontId="17" fillId="0" borderId="0" xfId="0" applyFont="1" applyBorder="1" applyAlignment="1">
      <alignment wrapText="1"/>
    </xf>
    <xf numFmtId="20" fontId="0" fillId="0" borderId="0" xfId="0" applyNumberFormat="1" applyBorder="1" applyAlignment="1">
      <alignment wrapText="1"/>
    </xf>
    <xf numFmtId="20" fontId="17" fillId="0" borderId="0" xfId="0" applyNumberFormat="1" applyFont="1" applyBorder="1" applyAlignment="1">
      <alignment wrapText="1"/>
    </xf>
    <xf numFmtId="0" fontId="16" fillId="0" borderId="0" xfId="0" applyFont="1" applyFill="1" applyBorder="1" applyAlignment="1">
      <alignment horizontal="center"/>
    </xf>
    <xf numFmtId="0" fontId="0" fillId="0" borderId="0" xfId="0" applyBorder="1"/>
    <xf numFmtId="0" fontId="3" fillId="0" borderId="0" xfId="0" applyFont="1" applyBorder="1" applyAlignment="1">
      <alignment wrapText="1"/>
    </xf>
    <xf numFmtId="0" fontId="3" fillId="0" borderId="0" xfId="0" applyFont="1" applyBorder="1"/>
    <xf numFmtId="20" fontId="3" fillId="0" borderId="0" xfId="0" applyNumberFormat="1" applyFont="1" applyBorder="1"/>
    <xf numFmtId="20" fontId="3" fillId="0" borderId="0" xfId="0" applyNumberFormat="1" applyFont="1" applyBorder="1" applyAlignment="1">
      <alignment wrapText="1"/>
    </xf>
    <xf numFmtId="0" fontId="17" fillId="0" borderId="8" xfId="0" applyFont="1" applyBorder="1" applyAlignment="1">
      <alignment wrapText="1"/>
    </xf>
    <xf numFmtId="0" fontId="17" fillId="0" borderId="2" xfId="0" applyFont="1" applyBorder="1"/>
    <xf numFmtId="0" fontId="17" fillId="0" borderId="0" xfId="0" applyFont="1" applyAlignment="1"/>
    <xf numFmtId="0" fontId="0" fillId="0" borderId="0" xfId="0" applyBorder="1" applyAlignment="1"/>
    <xf numFmtId="49" fontId="0" fillId="0" borderId="0" xfId="0" applyNumberFormat="1" applyBorder="1"/>
    <xf numFmtId="0" fontId="17" fillId="0" borderId="0" xfId="0" applyFont="1" applyBorder="1"/>
    <xf numFmtId="0" fontId="17" fillId="0" borderId="0" xfId="0" applyFont="1" applyBorder="1" applyAlignment="1">
      <alignment horizontal="center"/>
    </xf>
    <xf numFmtId="0" fontId="17" fillId="14" borderId="0" xfId="0" applyFont="1" applyFill="1" applyBorder="1" applyAlignment="1">
      <alignment horizontal="center"/>
    </xf>
    <xf numFmtId="0" fontId="28" fillId="0" borderId="0" xfId="0" applyFont="1"/>
    <xf numFmtId="0" fontId="29" fillId="0" borderId="0" xfId="0" applyFont="1"/>
    <xf numFmtId="0" fontId="24" fillId="0" borderId="82" xfId="0" applyFont="1" applyBorder="1" applyProtection="1">
      <protection locked="0"/>
    </xf>
    <xf numFmtId="0" fontId="24" fillId="0" borderId="83" xfId="0" applyFont="1" applyBorder="1" applyProtection="1">
      <protection locked="0"/>
    </xf>
    <xf numFmtId="0" fontId="24" fillId="11" borderId="81" xfId="0" applyFont="1" applyFill="1" applyBorder="1" applyProtection="1">
      <protection locked="0"/>
    </xf>
    <xf numFmtId="0" fontId="24" fillId="11" borderId="82" xfId="0" applyFont="1" applyFill="1" applyBorder="1" applyProtection="1">
      <protection locked="0"/>
    </xf>
    <xf numFmtId="0" fontId="24" fillId="0" borderId="81" xfId="0" applyFont="1" applyBorder="1" applyProtection="1">
      <protection locked="0"/>
    </xf>
    <xf numFmtId="0" fontId="0" fillId="15" borderId="19" xfId="0" applyFill="1" applyBorder="1" applyAlignment="1">
      <alignment horizontal="center"/>
    </xf>
    <xf numFmtId="0" fontId="0" fillId="15" borderId="2" xfId="0" applyFill="1" applyBorder="1" applyAlignment="1">
      <alignment horizontal="center"/>
    </xf>
    <xf numFmtId="0" fontId="3" fillId="15" borderId="20" xfId="0" applyFont="1" applyFill="1" applyBorder="1" applyAlignment="1">
      <alignment horizontal="center"/>
    </xf>
    <xf numFmtId="0" fontId="24" fillId="18" borderId="82" xfId="0" applyFont="1" applyFill="1" applyBorder="1" applyProtection="1">
      <protection locked="0"/>
    </xf>
    <xf numFmtId="0" fontId="24" fillId="15" borderId="82" xfId="0" applyFont="1" applyFill="1" applyBorder="1" applyProtection="1">
      <protection locked="0"/>
    </xf>
    <xf numFmtId="0" fontId="24" fillId="15" borderId="81" xfId="0" applyFont="1" applyFill="1" applyBorder="1" applyProtection="1">
      <protection locked="0"/>
    </xf>
    <xf numFmtId="0" fontId="24" fillId="19" borderId="81" xfId="0" applyFont="1" applyFill="1" applyBorder="1" applyProtection="1">
      <protection locked="0"/>
    </xf>
    <xf numFmtId="0" fontId="11" fillId="19" borderId="0" xfId="0" applyFont="1" applyFill="1"/>
    <xf numFmtId="0" fontId="24" fillId="0" borderId="0" xfId="0" applyFont="1" applyBorder="1" applyProtection="1">
      <protection locked="0"/>
    </xf>
    <xf numFmtId="0" fontId="11" fillId="7" borderId="0" xfId="0" applyFont="1" applyFill="1" applyBorder="1" applyAlignment="1">
      <alignment horizontal="center"/>
    </xf>
    <xf numFmtId="0" fontId="11" fillId="0" borderId="0" xfId="0" applyFont="1" applyBorder="1"/>
    <xf numFmtId="0" fontId="11" fillId="0" borderId="0" xfId="0" applyFont="1" applyBorder="1" applyAlignment="1">
      <alignment horizontal="right"/>
    </xf>
    <xf numFmtId="0" fontId="25" fillId="0" borderId="10" xfId="0" applyFont="1" applyBorder="1"/>
    <xf numFmtId="0" fontId="25" fillId="0" borderId="84" xfId="0" applyFont="1" applyBorder="1"/>
    <xf numFmtId="0" fontId="25" fillId="0" borderId="85" xfId="0" applyFont="1" applyBorder="1"/>
    <xf numFmtId="0" fontId="25" fillId="0" borderId="86" xfId="0" applyFont="1" applyBorder="1"/>
    <xf numFmtId="0" fontId="10" fillId="7" borderId="0" xfId="0" applyFont="1" applyFill="1" applyBorder="1" applyAlignment="1">
      <alignment horizontal="center"/>
    </xf>
    <xf numFmtId="0" fontId="24" fillId="0" borderId="0" xfId="0" applyFont="1" applyBorder="1"/>
    <xf numFmtId="0" fontId="11" fillId="0" borderId="0" xfId="0" applyFont="1" applyFill="1" applyBorder="1" applyAlignment="1">
      <alignment horizontal="center"/>
    </xf>
    <xf numFmtId="0" fontId="24" fillId="0" borderId="0" xfId="0" applyFont="1" applyFill="1" applyBorder="1" applyProtection="1">
      <protection locked="0"/>
    </xf>
    <xf numFmtId="0" fontId="11" fillId="0" borderId="0" xfId="0" applyFont="1" applyFill="1" applyBorder="1" applyAlignment="1">
      <alignment horizontal="right"/>
    </xf>
    <xf numFmtId="0" fontId="11" fillId="0" borderId="0" xfId="0" applyFont="1" applyFill="1" applyBorder="1"/>
    <xf numFmtId="0" fontId="21" fillId="8" borderId="0" xfId="0" applyFont="1" applyFill="1" applyBorder="1" applyAlignment="1">
      <alignment horizontal="center"/>
    </xf>
    <xf numFmtId="0" fontId="1" fillId="2" borderId="7" xfId="0" applyFont="1" applyFill="1" applyBorder="1"/>
    <xf numFmtId="0" fontId="1" fillId="2" borderId="1" xfId="0" applyFont="1" applyFill="1" applyBorder="1"/>
    <xf numFmtId="0" fontId="9" fillId="0" borderId="0" xfId="0" applyFont="1" applyBorder="1"/>
    <xf numFmtId="0" fontId="0" fillId="0" borderId="17" xfId="0" applyBorder="1" applyAlignment="1">
      <alignment wrapText="1"/>
    </xf>
    <xf numFmtId="0" fontId="0" fillId="0" borderId="16" xfId="0" applyBorder="1" applyAlignment="1">
      <alignment wrapText="1"/>
    </xf>
    <xf numFmtId="20" fontId="0" fillId="0" borderId="16" xfId="0" applyNumberFormat="1" applyBorder="1" applyAlignment="1">
      <alignment wrapText="1"/>
    </xf>
    <xf numFmtId="0" fontId="3" fillId="0" borderId="18" xfId="0" applyFont="1" applyBorder="1" applyAlignment="1">
      <alignment wrapText="1"/>
    </xf>
    <xf numFmtId="0" fontId="3" fillId="0" borderId="19" xfId="0" applyFont="1" applyBorder="1" applyAlignment="1">
      <alignment wrapText="1"/>
    </xf>
    <xf numFmtId="0" fontId="3" fillId="0" borderId="20" xfId="0" applyFont="1" applyBorder="1" applyAlignment="1">
      <alignment wrapText="1"/>
    </xf>
    <xf numFmtId="0" fontId="0" fillId="0" borderId="75" xfId="0" applyBorder="1" applyAlignment="1">
      <alignment wrapText="1"/>
    </xf>
    <xf numFmtId="0" fontId="3" fillId="0" borderId="76" xfId="0" applyFont="1" applyBorder="1" applyAlignment="1">
      <alignment wrapText="1"/>
    </xf>
    <xf numFmtId="0" fontId="0" fillId="0" borderId="19" xfId="0" applyBorder="1" applyAlignment="1">
      <alignment wrapText="1"/>
    </xf>
    <xf numFmtId="0" fontId="17" fillId="0" borderId="19" xfId="0" applyFont="1" applyBorder="1" applyAlignment="1">
      <alignment wrapText="1"/>
    </xf>
    <xf numFmtId="0" fontId="3" fillId="0" borderId="19" xfId="0" applyFont="1" applyBorder="1" applyAlignment="1">
      <alignment vertical="center" wrapText="1"/>
    </xf>
    <xf numFmtId="0" fontId="17" fillId="0" borderId="75" xfId="0" applyFont="1" applyBorder="1" applyAlignment="1">
      <alignment wrapText="1"/>
    </xf>
    <xf numFmtId="0" fontId="17" fillId="0" borderId="73" xfId="0" applyFont="1" applyBorder="1" applyAlignment="1">
      <alignment vertical="center" wrapText="1"/>
    </xf>
    <xf numFmtId="0" fontId="17" fillId="0" borderId="74" xfId="0" applyFont="1" applyBorder="1" applyAlignment="1">
      <alignment wrapText="1"/>
    </xf>
    <xf numFmtId="0" fontId="17" fillId="0" borderId="20" xfId="0" applyFont="1" applyBorder="1" applyAlignment="1">
      <alignment wrapText="1"/>
    </xf>
    <xf numFmtId="0" fontId="0" fillId="0" borderId="73" xfId="0" applyBorder="1" applyAlignment="1">
      <alignment wrapText="1"/>
    </xf>
    <xf numFmtId="0" fontId="0" fillId="0" borderId="74" xfId="0" applyBorder="1" applyAlignment="1">
      <alignment wrapText="1"/>
    </xf>
    <xf numFmtId="0" fontId="0" fillId="0" borderId="20" xfId="0" applyBorder="1" applyAlignment="1">
      <alignment wrapText="1"/>
    </xf>
    <xf numFmtId="0" fontId="0" fillId="0" borderId="19" xfId="0" applyBorder="1" applyAlignment="1">
      <alignment vertical="center" wrapText="1"/>
    </xf>
    <xf numFmtId="0" fontId="0" fillId="0" borderId="21" xfId="0" applyBorder="1" applyAlignment="1">
      <alignment vertical="center" wrapText="1"/>
    </xf>
    <xf numFmtId="0" fontId="17" fillId="0" borderId="22" xfId="0" applyFont="1" applyBorder="1" applyAlignment="1">
      <alignment wrapText="1"/>
    </xf>
    <xf numFmtId="20" fontId="0" fillId="0" borderId="22" xfId="0" applyNumberFormat="1" applyBorder="1" applyAlignment="1">
      <alignment wrapText="1"/>
    </xf>
    <xf numFmtId="0" fontId="0" fillId="0" borderId="22" xfId="0" applyBorder="1" applyAlignment="1">
      <alignment wrapText="1"/>
    </xf>
    <xf numFmtId="0" fontId="17" fillId="0" borderId="24" xfId="0" applyFont="1" applyBorder="1" applyAlignment="1">
      <alignment wrapText="1"/>
    </xf>
    <xf numFmtId="0" fontId="0" fillId="15" borderId="0" xfId="0" applyFill="1" applyBorder="1" applyAlignment="1">
      <alignment horizontal="center"/>
    </xf>
    <xf numFmtId="0" fontId="0" fillId="0" borderId="0" xfId="0" applyBorder="1" applyAlignment="1">
      <alignment horizontal="center"/>
    </xf>
    <xf numFmtId="0" fontId="0" fillId="14" borderId="0" xfId="0" applyFill="1" applyBorder="1" applyAlignment="1">
      <alignment horizontal="center"/>
    </xf>
    <xf numFmtId="0" fontId="1" fillId="2" borderId="73" xfId="0" applyFont="1" applyFill="1" applyBorder="1"/>
    <xf numFmtId="0" fontId="1" fillId="2" borderId="74" xfId="0" applyFont="1" applyFill="1" applyBorder="1"/>
    <xf numFmtId="0" fontId="3" fillId="14" borderId="7" xfId="0" applyFont="1" applyFill="1" applyBorder="1" applyAlignment="1">
      <alignment horizontal="center"/>
    </xf>
    <xf numFmtId="0" fontId="0" fillId="0" borderId="1" xfId="0" applyBorder="1" applyAlignment="1">
      <alignment horizontal="left"/>
    </xf>
    <xf numFmtId="0" fontId="3" fillId="14" borderId="0" xfId="0" applyFont="1" applyFill="1" applyBorder="1" applyAlignment="1">
      <alignment horizontal="center"/>
    </xf>
    <xf numFmtId="0" fontId="1" fillId="2" borderId="16" xfId="0" applyFont="1" applyFill="1" applyBorder="1" applyAlignment="1">
      <alignment horizontal="left"/>
    </xf>
    <xf numFmtId="0" fontId="0" fillId="2" borderId="78" xfId="0" applyFill="1" applyBorder="1"/>
    <xf numFmtId="0" fontId="1" fillId="2" borderId="18" xfId="0" applyFont="1" applyFill="1" applyBorder="1" applyAlignment="1">
      <alignment horizontal="left"/>
    </xf>
    <xf numFmtId="0" fontId="1" fillId="2" borderId="74" xfId="0" applyFont="1" applyFill="1" applyBorder="1" applyAlignment="1">
      <alignment horizontal="left"/>
    </xf>
    <xf numFmtId="0" fontId="0" fillId="15" borderId="74" xfId="0" applyFill="1" applyBorder="1" applyAlignment="1">
      <alignment horizontal="center"/>
    </xf>
    <xf numFmtId="0" fontId="0" fillId="0" borderId="22" xfId="0" applyBorder="1"/>
    <xf numFmtId="0" fontId="3" fillId="14" borderId="73" xfId="0" applyFont="1" applyFill="1" applyBorder="1" applyAlignment="1">
      <alignment horizontal="center"/>
    </xf>
    <xf numFmtId="0" fontId="3" fillId="14" borderId="19" xfId="0" applyFont="1" applyFill="1" applyBorder="1" applyAlignment="1">
      <alignment horizontal="center"/>
    </xf>
    <xf numFmtId="0" fontId="17" fillId="0" borderId="75" xfId="0" applyFont="1" applyBorder="1" applyAlignment="1">
      <alignment horizontal="center"/>
    </xf>
    <xf numFmtId="0" fontId="0" fillId="0" borderId="75" xfId="0" applyBorder="1" applyAlignment="1">
      <alignment horizontal="center"/>
    </xf>
    <xf numFmtId="0" fontId="17" fillId="0" borderId="73" xfId="0" applyFont="1" applyBorder="1" applyAlignment="1">
      <alignment horizontal="center"/>
    </xf>
    <xf numFmtId="0" fontId="17" fillId="0" borderId="18" xfId="0" applyFont="1" applyBorder="1" applyAlignment="1">
      <alignment horizontal="center"/>
    </xf>
    <xf numFmtId="0" fontId="17" fillId="0" borderId="24" xfId="0" applyFont="1" applyBorder="1" applyAlignment="1">
      <alignment horizontal="center"/>
    </xf>
    <xf numFmtId="0" fontId="0" fillId="0" borderId="15" xfId="0" applyBorder="1" applyAlignment="1">
      <alignment horizontal="center"/>
    </xf>
    <xf numFmtId="0" fontId="3" fillId="14" borderId="6" xfId="0" applyFont="1" applyFill="1" applyBorder="1" applyAlignment="1">
      <alignment horizontal="center"/>
    </xf>
    <xf numFmtId="0" fontId="3" fillId="14" borderId="2" xfId="0" applyFont="1" applyFill="1" applyBorder="1" applyAlignment="1">
      <alignment horizontal="center"/>
    </xf>
    <xf numFmtId="164" fontId="30" fillId="2" borderId="0" xfId="0" applyNumberFormat="1" applyFont="1" applyFill="1" applyBorder="1" applyAlignment="1">
      <alignment horizontal="left"/>
    </xf>
    <xf numFmtId="0" fontId="18" fillId="2" borderId="2" xfId="0" applyFont="1" applyFill="1" applyBorder="1" applyAlignment="1">
      <alignment horizontal="left"/>
    </xf>
    <xf numFmtId="0" fontId="18" fillId="2" borderId="0" xfId="0" applyFont="1" applyFill="1" applyAlignment="1">
      <alignment horizontal="left"/>
    </xf>
    <xf numFmtId="164" fontId="30" fillId="8" borderId="0" xfId="0" applyNumberFormat="1" applyFont="1" applyFill="1" applyBorder="1" applyAlignment="1">
      <alignment horizontal="left"/>
    </xf>
    <xf numFmtId="0" fontId="17" fillId="5" borderId="0" xfId="0" applyFont="1" applyFill="1"/>
    <xf numFmtId="0" fontId="21" fillId="5" borderId="0" xfId="0" applyFont="1" applyFill="1" applyAlignment="1">
      <alignment horizontal="right" indent="1"/>
    </xf>
    <xf numFmtId="164" fontId="30" fillId="0" borderId="0" xfId="0" applyNumberFormat="1" applyFont="1" applyBorder="1" applyAlignment="1">
      <alignment horizontal="left"/>
    </xf>
    <xf numFmtId="0" fontId="7" fillId="0" borderId="6" xfId="0" applyFont="1" applyBorder="1"/>
    <xf numFmtId="0" fontId="7" fillId="0" borderId="7" xfId="0" applyFont="1" applyBorder="1"/>
    <xf numFmtId="0" fontId="7" fillId="0" borderId="1" xfId="0" applyFont="1" applyBorder="1"/>
    <xf numFmtId="164" fontId="30" fillId="2" borderId="2" xfId="0" applyNumberFormat="1" applyFont="1" applyFill="1" applyBorder="1" applyAlignment="1">
      <alignment horizontal="left"/>
    </xf>
    <xf numFmtId="164" fontId="30" fillId="0" borderId="3" xfId="0" applyNumberFormat="1" applyFont="1" applyBorder="1" applyAlignment="1">
      <alignment horizontal="left"/>
    </xf>
    <xf numFmtId="0" fontId="21" fillId="0" borderId="2" xfId="0" applyFont="1" applyFill="1" applyBorder="1" applyAlignment="1">
      <alignment horizontal="center"/>
    </xf>
    <xf numFmtId="0" fontId="21" fillId="0" borderId="3" xfId="0" applyFont="1" applyFill="1" applyBorder="1" applyAlignment="1">
      <alignment horizontal="center"/>
    </xf>
    <xf numFmtId="0" fontId="21" fillId="0" borderId="4" xfId="0" applyFont="1" applyFill="1" applyBorder="1" applyAlignment="1">
      <alignment horizontal="center"/>
    </xf>
    <xf numFmtId="0" fontId="21" fillId="0" borderId="8" xfId="0" applyFont="1" applyFill="1" applyBorder="1" applyAlignment="1">
      <alignment horizontal="center"/>
    </xf>
    <xf numFmtId="0" fontId="7" fillId="8" borderId="6" xfId="0" applyFont="1" applyFill="1" applyBorder="1"/>
    <xf numFmtId="0" fontId="7" fillId="8" borderId="7" xfId="0" applyFont="1" applyFill="1" applyBorder="1"/>
    <xf numFmtId="164" fontId="30" fillId="8" borderId="2" xfId="0" applyNumberFormat="1" applyFont="1" applyFill="1" applyBorder="1" applyAlignment="1">
      <alignment horizontal="left"/>
    </xf>
    <xf numFmtId="164" fontId="30" fillId="2" borderId="3" xfId="0" applyNumberFormat="1" applyFont="1" applyFill="1" applyBorder="1" applyAlignment="1">
      <alignment horizontal="left"/>
    </xf>
    <xf numFmtId="0" fontId="7" fillId="0" borderId="3" xfId="0" applyFont="1" applyBorder="1" applyAlignment="1">
      <alignment horizontal="center"/>
    </xf>
    <xf numFmtId="0" fontId="7" fillId="0" borderId="8" xfId="0" applyFont="1" applyBorder="1" applyAlignment="1">
      <alignment horizontal="center"/>
    </xf>
    <xf numFmtId="0" fontId="7" fillId="0" borderId="5" xfId="0" applyFont="1" applyBorder="1" applyAlignment="1">
      <alignment horizontal="center"/>
    </xf>
    <xf numFmtId="20" fontId="21" fillId="0" borderId="0" xfId="0" applyNumberFormat="1" applyFont="1" applyFill="1" applyBorder="1" applyAlignment="1">
      <alignment horizontal="center"/>
    </xf>
    <xf numFmtId="0" fontId="21" fillId="0" borderId="8" xfId="0" applyFont="1" applyBorder="1" applyAlignment="1">
      <alignment horizontal="center"/>
    </xf>
    <xf numFmtId="0" fontId="0" fillId="17" borderId="9" xfId="0" applyFill="1" applyBorder="1" applyAlignment="1">
      <alignment horizontal="center"/>
    </xf>
    <xf numFmtId="49" fontId="0" fillId="0" borderId="6" xfId="0" applyNumberFormat="1" applyBorder="1"/>
    <xf numFmtId="20" fontId="17" fillId="0" borderId="0" xfId="0" applyNumberFormat="1" applyFont="1"/>
    <xf numFmtId="20" fontId="0" fillId="0" borderId="0" xfId="0" applyNumberFormat="1"/>
    <xf numFmtId="0" fontId="3" fillId="0" borderId="10" xfId="0" applyFont="1" applyBorder="1"/>
    <xf numFmtId="49" fontId="0" fillId="4" borderId="2" xfId="0" applyNumberFormat="1" applyFill="1" applyBorder="1"/>
    <xf numFmtId="0" fontId="16" fillId="0" borderId="3" xfId="0" applyFont="1" applyFill="1" applyBorder="1" applyAlignment="1">
      <alignment horizontal="center"/>
    </xf>
    <xf numFmtId="0" fontId="1" fillId="2" borderId="7" xfId="0" applyFont="1" applyFill="1" applyBorder="1"/>
    <xf numFmtId="49" fontId="21" fillId="2" borderId="10" xfId="0" applyNumberFormat="1" applyFont="1" applyFill="1" applyBorder="1"/>
    <xf numFmtId="49" fontId="21" fillId="2" borderId="9" xfId="0" applyNumberFormat="1" applyFont="1" applyFill="1" applyBorder="1"/>
    <xf numFmtId="49" fontId="21" fillId="10" borderId="9" xfId="0" applyNumberFormat="1" applyFont="1" applyFill="1" applyBorder="1"/>
    <xf numFmtId="0" fontId="21" fillId="0" borderId="6" xfId="0" applyFont="1" applyFill="1" applyBorder="1" applyAlignment="1">
      <alignment horizontal="center"/>
    </xf>
    <xf numFmtId="0" fontId="21" fillId="0" borderId="7" xfId="0" applyFont="1" applyFill="1" applyBorder="1" applyAlignment="1">
      <alignment horizontal="center"/>
    </xf>
    <xf numFmtId="0" fontId="21" fillId="0" borderId="1" xfId="0" applyFont="1" applyFill="1" applyBorder="1" applyAlignment="1">
      <alignment horizontal="center"/>
    </xf>
    <xf numFmtId="0" fontId="21" fillId="0" borderId="7" xfId="0" applyFont="1" applyBorder="1" applyAlignment="1">
      <alignment horizontal="center"/>
    </xf>
    <xf numFmtId="0" fontId="16" fillId="0" borderId="7" xfId="0" applyFont="1" applyFill="1" applyBorder="1" applyAlignment="1">
      <alignment horizontal="center"/>
    </xf>
    <xf numFmtId="0" fontId="7" fillId="0" borderId="7" xfId="0" applyFont="1" applyBorder="1" applyAlignment="1">
      <alignment horizontal="center"/>
    </xf>
    <xf numFmtId="0" fontId="7" fillId="0" borderId="1" xfId="0" applyFont="1" applyBorder="1" applyAlignment="1">
      <alignment horizontal="center"/>
    </xf>
    <xf numFmtId="0" fontId="15" fillId="5" borderId="7" xfId="0" applyFont="1" applyFill="1" applyBorder="1"/>
    <xf numFmtId="0" fontId="0" fillId="5" borderId="7" xfId="0" applyFill="1" applyBorder="1"/>
    <xf numFmtId="0" fontId="3" fillId="0" borderId="10" xfId="0" applyFont="1" applyBorder="1" applyAlignment="1">
      <alignment horizontal="center"/>
    </xf>
    <xf numFmtId="0" fontId="15" fillId="5" borderId="0" xfId="0" applyFont="1" applyFill="1" applyBorder="1"/>
    <xf numFmtId="0" fontId="0" fillId="5" borderId="0" xfId="0" applyFill="1" applyBorder="1"/>
    <xf numFmtId="49" fontId="0" fillId="0" borderId="4" xfId="0" applyNumberFormat="1" applyBorder="1" applyAlignment="1">
      <alignment horizontal="left"/>
    </xf>
    <xf numFmtId="0" fontId="21" fillId="0" borderId="5" xfId="0" applyFont="1" applyFill="1" applyBorder="1" applyAlignment="1">
      <alignment horizontal="center"/>
    </xf>
    <xf numFmtId="0" fontId="21" fillId="8" borderId="8" xfId="0" applyFont="1" applyFill="1" applyBorder="1" applyAlignment="1">
      <alignment horizontal="center"/>
    </xf>
    <xf numFmtId="0" fontId="16" fillId="0" borderId="8" xfId="0" applyFont="1" applyFill="1" applyBorder="1" applyAlignment="1">
      <alignment horizontal="center"/>
    </xf>
    <xf numFmtId="0" fontId="15" fillId="5" borderId="8" xfId="0" applyFont="1" applyFill="1" applyBorder="1"/>
    <xf numFmtId="0" fontId="0" fillId="5" borderId="8" xfId="0" applyFill="1" applyBorder="1"/>
    <xf numFmtId="0" fontId="3" fillId="0" borderId="11" xfId="0" applyFont="1" applyBorder="1"/>
    <xf numFmtId="0" fontId="0" fillId="0" borderId="11" xfId="0" applyBorder="1" applyAlignment="1">
      <alignment horizontal="center"/>
    </xf>
    <xf numFmtId="0" fontId="17" fillId="0" borderId="11" xfId="0" applyFont="1" applyBorder="1" applyAlignment="1">
      <alignment horizontal="center"/>
    </xf>
    <xf numFmtId="0" fontId="3" fillId="0" borderId="11" xfId="0" applyFont="1" applyBorder="1" applyAlignment="1">
      <alignment horizontal="center"/>
    </xf>
    <xf numFmtId="0" fontId="16" fillId="0" borderId="4" xfId="0" applyFont="1" applyFill="1" applyBorder="1" applyAlignment="1">
      <alignment horizontal="center"/>
    </xf>
    <xf numFmtId="49" fontId="3" fillId="3" borderId="7" xfId="0" applyNumberFormat="1" applyFont="1" applyFill="1" applyBorder="1" applyAlignment="1">
      <alignment horizontal="left"/>
    </xf>
    <xf numFmtId="0" fontId="21" fillId="8" borderId="7" xfId="0" applyFont="1" applyFill="1" applyBorder="1" applyAlignment="1">
      <alignment horizontal="center"/>
    </xf>
    <xf numFmtId="49" fontId="3" fillId="3" borderId="0" xfId="0" applyNumberFormat="1" applyFont="1" applyFill="1" applyBorder="1" applyAlignment="1">
      <alignment horizontal="left"/>
    </xf>
    <xf numFmtId="49" fontId="3" fillId="3" borderId="8" xfId="0" applyNumberFormat="1" applyFont="1" applyFill="1" applyBorder="1" applyAlignment="1">
      <alignment horizontal="left"/>
    </xf>
    <xf numFmtId="0" fontId="16" fillId="0" borderId="8" xfId="0" applyFont="1" applyBorder="1" applyAlignment="1">
      <alignment horizontal="center"/>
    </xf>
    <xf numFmtId="0" fontId="17" fillId="0" borderId="19" xfId="0" applyFont="1" applyBorder="1" applyAlignment="1">
      <alignment vertical="center" wrapText="1"/>
    </xf>
    <xf numFmtId="0" fontId="16" fillId="0" borderId="0" xfId="0" applyFont="1" applyBorder="1" applyAlignment="1">
      <alignment horizontal="center"/>
    </xf>
    <xf numFmtId="0" fontId="21" fillId="0" borderId="10" xfId="0" applyFont="1" applyFill="1" applyBorder="1" applyAlignment="1">
      <alignment horizontal="center"/>
    </xf>
    <xf numFmtId="0" fontId="16" fillId="0" borderId="9" xfId="0" applyFont="1" applyFill="1" applyBorder="1" applyAlignment="1">
      <alignment horizontal="center"/>
    </xf>
    <xf numFmtId="0" fontId="21" fillId="0" borderId="9" xfId="0" applyFont="1" applyBorder="1" applyAlignment="1">
      <alignment horizontal="center"/>
    </xf>
    <xf numFmtId="0" fontId="21" fillId="0" borderId="11" xfId="0" applyFont="1" applyFill="1" applyBorder="1" applyAlignment="1">
      <alignment horizontal="center"/>
    </xf>
    <xf numFmtId="0" fontId="16" fillId="0" borderId="10" xfId="0" applyFont="1" applyFill="1" applyBorder="1" applyAlignment="1">
      <alignment horizontal="center"/>
    </xf>
    <xf numFmtId="0" fontId="16" fillId="0" borderId="11" xfId="0" applyFont="1" applyFill="1" applyBorder="1" applyAlignment="1">
      <alignment horizontal="center"/>
    </xf>
    <xf numFmtId="0" fontId="0" fillId="0" borderId="6" xfId="0" applyBorder="1"/>
    <xf numFmtId="0" fontId="0" fillId="0" borderId="11" xfId="0" applyBorder="1"/>
    <xf numFmtId="0" fontId="17" fillId="0" borderId="1" xfId="0" applyFont="1" applyBorder="1"/>
    <xf numFmtId="0" fontId="17" fillId="0" borderId="4" xfId="0" applyFont="1" applyBorder="1"/>
    <xf numFmtId="0" fontId="17" fillId="0" borderId="5" xfId="0" applyFont="1" applyBorder="1"/>
    <xf numFmtId="49" fontId="0" fillId="3" borderId="0" xfId="0" applyNumberFormat="1" applyFill="1" applyBorder="1" applyAlignment="1">
      <alignment horizontal="left"/>
    </xf>
    <xf numFmtId="49" fontId="17" fillId="3" borderId="0" xfId="0" applyNumberFormat="1" applyFont="1" applyFill="1" applyBorder="1" applyAlignment="1">
      <alignment horizontal="left"/>
    </xf>
    <xf numFmtId="49" fontId="17" fillId="0" borderId="4" xfId="0" applyNumberFormat="1" applyFont="1" applyBorder="1" applyAlignment="1">
      <alignment horizontal="left"/>
    </xf>
    <xf numFmtId="49" fontId="17" fillId="3" borderId="8" xfId="0" applyNumberFormat="1" applyFont="1" applyFill="1" applyBorder="1" applyAlignment="1">
      <alignment horizontal="left"/>
    </xf>
    <xf numFmtId="49" fontId="0" fillId="7" borderId="7" xfId="0" applyNumberFormat="1" applyFill="1" applyBorder="1"/>
    <xf numFmtId="49" fontId="0" fillId="7" borderId="9" xfId="0" applyNumberFormat="1" applyFill="1" applyBorder="1"/>
    <xf numFmtId="49" fontId="0" fillId="6" borderId="7" xfId="0" applyNumberFormat="1" applyFill="1" applyBorder="1"/>
    <xf numFmtId="49" fontId="0" fillId="6" borderId="1" xfId="0" applyNumberFormat="1" applyFill="1" applyBorder="1"/>
    <xf numFmtId="49" fontId="3" fillId="0" borderId="7" xfId="0" applyNumberFormat="1" applyFont="1" applyBorder="1"/>
    <xf numFmtId="49" fontId="0" fillId="0" borderId="7" xfId="0" applyNumberFormat="1" applyBorder="1"/>
    <xf numFmtId="49" fontId="3" fillId="0" borderId="1" xfId="0" applyNumberFormat="1" applyFont="1" applyBorder="1"/>
    <xf numFmtId="49" fontId="0" fillId="0" borderId="1" xfId="0" applyNumberFormat="1" applyBorder="1"/>
    <xf numFmtId="0" fontId="0" fillId="0" borderId="1" xfId="0" applyBorder="1"/>
    <xf numFmtId="49" fontId="3" fillId="7" borderId="7" xfId="0" applyNumberFormat="1" applyFont="1" applyFill="1" applyBorder="1"/>
    <xf numFmtId="49" fontId="17" fillId="0" borderId="1" xfId="0" applyNumberFormat="1" applyFont="1" applyBorder="1"/>
    <xf numFmtId="49" fontId="3" fillId="0" borderId="7" xfId="0" applyNumberFormat="1" applyFont="1" applyFill="1" applyBorder="1"/>
    <xf numFmtId="49" fontId="0" fillId="16" borderId="7" xfId="0" applyNumberFormat="1" applyFill="1" applyBorder="1"/>
    <xf numFmtId="49" fontId="0" fillId="3" borderId="6" xfId="0" applyNumberFormat="1" applyFill="1" applyBorder="1"/>
    <xf numFmtId="49" fontId="0" fillId="3" borderId="7" xfId="0" applyNumberFormat="1" applyFill="1" applyBorder="1"/>
    <xf numFmtId="49" fontId="0" fillId="3" borderId="7" xfId="0" applyNumberFormat="1" applyFill="1" applyBorder="1" applyAlignment="1">
      <alignment horizontal="center"/>
    </xf>
    <xf numFmtId="49" fontId="0" fillId="3" borderId="1" xfId="0" applyNumberFormat="1" applyFill="1" applyBorder="1"/>
    <xf numFmtId="0" fontId="3" fillId="0" borderId="7" xfId="0" applyFont="1" applyBorder="1" applyAlignment="1">
      <alignment horizontal="left"/>
    </xf>
    <xf numFmtId="49" fontId="3" fillId="7" borderId="0" xfId="0" applyNumberFormat="1" applyFont="1" applyFill="1" applyBorder="1"/>
    <xf numFmtId="49" fontId="3" fillId="0" borderId="0" xfId="0" applyNumberFormat="1" applyFont="1" applyBorder="1"/>
    <xf numFmtId="49" fontId="3" fillId="0" borderId="0" xfId="0" applyNumberFormat="1" applyFont="1" applyFill="1" applyBorder="1"/>
    <xf numFmtId="49" fontId="0" fillId="16" borderId="0" xfId="0" applyNumberFormat="1" applyFill="1" applyBorder="1"/>
    <xf numFmtId="0" fontId="0" fillId="3" borderId="0" xfId="0" applyFill="1" applyBorder="1"/>
    <xf numFmtId="49" fontId="0" fillId="3" borderId="0" xfId="0" applyNumberFormat="1" applyFill="1" applyBorder="1" applyAlignment="1">
      <alignment horizontal="center"/>
    </xf>
    <xf numFmtId="49" fontId="0" fillId="3" borderId="0" xfId="0" applyNumberFormat="1" applyFill="1" applyBorder="1"/>
    <xf numFmtId="0" fontId="3" fillId="3" borderId="0" xfId="0" applyFont="1" applyFill="1" applyBorder="1"/>
    <xf numFmtId="0" fontId="3" fillId="0" borderId="0" xfId="0" applyFont="1" applyBorder="1" applyAlignment="1">
      <alignment horizontal="left"/>
    </xf>
    <xf numFmtId="0" fontId="3" fillId="7" borderId="0" xfId="0" applyFont="1" applyFill="1" applyBorder="1"/>
    <xf numFmtId="49" fontId="0" fillId="3" borderId="4" xfId="0" applyNumberFormat="1" applyFill="1" applyBorder="1" applyAlignment="1">
      <alignment horizontal="left"/>
    </xf>
    <xf numFmtId="49" fontId="0" fillId="3" borderId="8" xfId="0" applyNumberFormat="1" applyFill="1" applyBorder="1" applyAlignment="1">
      <alignment horizontal="left"/>
    </xf>
    <xf numFmtId="49" fontId="0" fillId="0" borderId="4" xfId="0" applyNumberFormat="1" applyBorder="1"/>
    <xf numFmtId="49" fontId="3" fillId="7" borderId="8" xfId="0" applyNumberFormat="1" applyFont="1" applyFill="1" applyBorder="1"/>
    <xf numFmtId="49" fontId="0" fillId="0" borderId="5" xfId="0" applyNumberFormat="1" applyBorder="1"/>
    <xf numFmtId="49" fontId="3" fillId="0" borderId="11" xfId="0" applyNumberFormat="1" applyFont="1" applyBorder="1"/>
    <xf numFmtId="49" fontId="0" fillId="0" borderId="8" xfId="0" applyNumberFormat="1" applyBorder="1"/>
    <xf numFmtId="49" fontId="3" fillId="0" borderId="8" xfId="0" applyNumberFormat="1" applyFont="1" applyFill="1" applyBorder="1"/>
    <xf numFmtId="49" fontId="3" fillId="0" borderId="8" xfId="0" applyNumberFormat="1" applyFont="1" applyBorder="1"/>
    <xf numFmtId="49" fontId="0" fillId="16" borderId="8" xfId="0" applyNumberFormat="1" applyFill="1" applyBorder="1"/>
    <xf numFmtId="49" fontId="3" fillId="0" borderId="5" xfId="0" applyNumberFormat="1" applyFont="1" applyBorder="1"/>
    <xf numFmtId="0" fontId="0" fillId="3" borderId="4" xfId="0" applyFill="1" applyBorder="1"/>
    <xf numFmtId="0" fontId="0" fillId="3" borderId="8" xfId="0" applyFill="1" applyBorder="1"/>
    <xf numFmtId="49" fontId="0" fillId="3" borderId="8" xfId="0" applyNumberFormat="1" applyFill="1" applyBorder="1" applyAlignment="1">
      <alignment horizontal="center"/>
    </xf>
    <xf numFmtId="49" fontId="0" fillId="3" borderId="8" xfId="0" applyNumberFormat="1" applyFill="1" applyBorder="1"/>
    <xf numFmtId="0" fontId="3" fillId="3" borderId="8" xfId="0" applyFont="1" applyFill="1" applyBorder="1"/>
    <xf numFmtId="49" fontId="17" fillId="0" borderId="4" xfId="0" applyNumberFormat="1" applyFont="1" applyBorder="1"/>
    <xf numFmtId="49" fontId="17" fillId="0" borderId="5" xfId="0" applyNumberFormat="1" applyFont="1" applyBorder="1"/>
    <xf numFmtId="0" fontId="3" fillId="0" borderId="8" xfId="0" applyFont="1" applyBorder="1" applyAlignment="1">
      <alignment horizontal="left"/>
    </xf>
    <xf numFmtId="0" fontId="0" fillId="7" borderId="11" xfId="0" applyFill="1" applyBorder="1"/>
    <xf numFmtId="0" fontId="0" fillId="3" borderId="6" xfId="0" applyFill="1" applyBorder="1"/>
    <xf numFmtId="0" fontId="0" fillId="3" borderId="7" xfId="0" applyFill="1" applyBorder="1"/>
    <xf numFmtId="0" fontId="3" fillId="3" borderId="7" xfId="0" applyFont="1" applyFill="1" applyBorder="1"/>
    <xf numFmtId="49" fontId="17" fillId="0" borderId="6" xfId="0" applyNumberFormat="1" applyFont="1" applyBorder="1"/>
    <xf numFmtId="0" fontId="0" fillId="0" borderId="7" xfId="0" applyBorder="1" applyAlignment="1">
      <alignment horizontal="left"/>
    </xf>
    <xf numFmtId="0" fontId="3" fillId="3" borderId="0" xfId="0" applyFont="1" applyFill="1" applyBorder="1" applyAlignment="1">
      <alignment horizontal="left"/>
    </xf>
    <xf numFmtId="49" fontId="3" fillId="0" borderId="4" xfId="0" applyNumberFormat="1" applyFont="1" applyBorder="1"/>
    <xf numFmtId="49" fontId="0" fillId="4" borderId="4" xfId="0" applyNumberFormat="1" applyFill="1" applyBorder="1"/>
    <xf numFmtId="0" fontId="0" fillId="3" borderId="7" xfId="0" applyFill="1" applyBorder="1" applyAlignment="1">
      <alignment horizontal="left"/>
    </xf>
    <xf numFmtId="0" fontId="0" fillId="3" borderId="0" xfId="0" applyFill="1" applyBorder="1" applyAlignment="1">
      <alignment horizontal="left"/>
    </xf>
    <xf numFmtId="0" fontId="0" fillId="3" borderId="8" xfId="0" applyFill="1" applyBorder="1" applyAlignment="1">
      <alignment horizontal="left"/>
    </xf>
    <xf numFmtId="0" fontId="17" fillId="3" borderId="0" xfId="0" applyFont="1" applyFill="1" applyBorder="1" applyAlignment="1">
      <alignment horizontal="left"/>
    </xf>
    <xf numFmtId="0" fontId="0" fillId="17" borderId="0" xfId="0" applyFill="1" applyBorder="1" applyAlignment="1">
      <alignment horizontal="left"/>
    </xf>
    <xf numFmtId="0" fontId="0" fillId="0" borderId="10" xfId="0" applyFont="1" applyBorder="1"/>
    <xf numFmtId="0" fontId="0" fillId="0" borderId="9" xfId="0" applyFont="1" applyBorder="1"/>
    <xf numFmtId="0" fontId="0" fillId="0" borderId="11" xfId="0" applyFont="1" applyBorder="1"/>
    <xf numFmtId="0" fontId="0" fillId="17" borderId="9" xfId="0" applyFont="1" applyFill="1" applyBorder="1"/>
    <xf numFmtId="0" fontId="17" fillId="0" borderId="11" xfId="0" applyFont="1" applyBorder="1"/>
    <xf numFmtId="0" fontId="21" fillId="0" borderId="4" xfId="0" applyFont="1" applyBorder="1" applyAlignment="1">
      <alignment horizontal="center"/>
    </xf>
    <xf numFmtId="0" fontId="21" fillId="0" borderId="8" xfId="0" quotePrefix="1" applyFont="1" applyBorder="1" applyAlignment="1">
      <alignment horizontal="center"/>
    </xf>
    <xf numFmtId="0" fontId="21" fillId="0" borderId="14" xfId="0" applyFont="1" applyBorder="1" applyAlignment="1">
      <alignment horizontal="center"/>
    </xf>
    <xf numFmtId="0" fontId="21" fillId="0" borderId="9" xfId="0" applyFont="1" applyFill="1" applyBorder="1" applyAlignment="1">
      <alignment horizontal="center"/>
    </xf>
    <xf numFmtId="0" fontId="16" fillId="0" borderId="5" xfId="0" applyFont="1" applyFill="1" applyBorder="1" applyAlignment="1">
      <alignment horizontal="center"/>
    </xf>
    <xf numFmtId="0" fontId="16" fillId="0" borderId="15" xfId="0" applyFont="1" applyFill="1" applyBorder="1" applyAlignment="1">
      <alignment horizontal="center"/>
    </xf>
    <xf numFmtId="0" fontId="7" fillId="0" borderId="10" xfId="0" applyFont="1" applyBorder="1" applyAlignment="1">
      <alignment horizontal="center"/>
    </xf>
    <xf numFmtId="0" fontId="16" fillId="0" borderId="11" xfId="0" applyFont="1" applyBorder="1" applyAlignment="1">
      <alignment horizontal="center"/>
    </xf>
    <xf numFmtId="0" fontId="16" fillId="0" borderId="2" xfId="0" applyFont="1" applyBorder="1" applyAlignment="1">
      <alignment horizontal="center"/>
    </xf>
    <xf numFmtId="0" fontId="15" fillId="5" borderId="6" xfId="0" applyFont="1" applyFill="1" applyBorder="1"/>
    <xf numFmtId="0" fontId="15" fillId="5" borderId="2" xfId="0" applyFont="1" applyFill="1" applyBorder="1"/>
    <xf numFmtId="0" fontId="0" fillId="5" borderId="3" xfId="0" applyFill="1" applyBorder="1"/>
    <xf numFmtId="0" fontId="15" fillId="5" borderId="4" xfId="0" applyFont="1" applyFill="1" applyBorder="1"/>
    <xf numFmtId="0" fontId="17" fillId="0" borderId="13" xfId="0" applyFont="1" applyBorder="1"/>
    <xf numFmtId="0" fontId="17" fillId="0" borderId="15" xfId="0" applyFont="1" applyBorder="1"/>
    <xf numFmtId="0" fontId="17" fillId="0" borderId="12" xfId="0" applyFont="1" applyBorder="1" applyAlignment="1">
      <alignment horizontal="center"/>
    </xf>
    <xf numFmtId="0" fontId="0" fillId="5" borderId="14" xfId="0" applyFill="1" applyBorder="1"/>
    <xf numFmtId="0" fontId="3" fillId="0" borderId="12" xfId="0" applyFont="1" applyBorder="1" applyAlignment="1">
      <alignment horizontal="center"/>
    </xf>
    <xf numFmtId="0" fontId="0" fillId="0" borderId="15" xfId="0" applyBorder="1"/>
    <xf numFmtId="0" fontId="0" fillId="0" borderId="12" xfId="0" applyBorder="1" applyAlignment="1">
      <alignment horizontal="center"/>
    </xf>
    <xf numFmtId="0" fontId="1" fillId="2" borderId="4" xfId="0" applyFont="1" applyFill="1" applyBorder="1" applyAlignment="1">
      <alignment horizontal="left"/>
    </xf>
    <xf numFmtId="0" fontId="1" fillId="2" borderId="8" xfId="0" applyFont="1" applyFill="1" applyBorder="1" applyAlignment="1">
      <alignment horizontal="left"/>
    </xf>
    <xf numFmtId="0" fontId="1" fillId="2" borderId="6" xfId="0" applyFont="1" applyFill="1" applyBorder="1"/>
    <xf numFmtId="0" fontId="1" fillId="2" borderId="7" xfId="0" applyFont="1" applyFill="1" applyBorder="1"/>
    <xf numFmtId="0" fontId="1" fillId="2" borderId="1" xfId="0" applyFont="1" applyFill="1" applyBorder="1"/>
    <xf numFmtId="0" fontId="1" fillId="2" borderId="7" xfId="0" applyFont="1" applyFill="1" applyBorder="1" applyAlignment="1">
      <alignment horizontal="center"/>
    </xf>
    <xf numFmtId="0" fontId="1" fillId="2" borderId="1" xfId="0" applyFont="1" applyFill="1" applyBorder="1" applyAlignment="1">
      <alignment horizontal="center"/>
    </xf>
    <xf numFmtId="165" fontId="5" fillId="4" borderId="6" xfId="0" applyNumberFormat="1" applyFont="1" applyFill="1" applyBorder="1" applyAlignment="1">
      <alignment horizontal="left"/>
    </xf>
    <xf numFmtId="165" fontId="5" fillId="4" borderId="1" xfId="0" applyNumberFormat="1" applyFont="1" applyFill="1" applyBorder="1" applyAlignment="1">
      <alignment horizontal="left"/>
    </xf>
    <xf numFmtId="0" fontId="1" fillId="2" borderId="80" xfId="0" applyFont="1" applyFill="1" applyBorder="1" applyAlignment="1">
      <alignment horizontal="center"/>
    </xf>
    <xf numFmtId="0" fontId="11" fillId="0" borderId="13" xfId="0" applyFont="1" applyBorder="1" applyAlignment="1" applyProtection="1">
      <alignment horizontal="center"/>
      <protection locked="0"/>
    </xf>
    <xf numFmtId="0" fontId="11" fillId="0" borderId="14" xfId="0" applyFont="1" applyBorder="1" applyAlignment="1" applyProtection="1">
      <alignment horizontal="center"/>
      <protection locked="0"/>
    </xf>
    <xf numFmtId="0" fontId="0" fillId="0" borderId="14" xfId="0" applyBorder="1" applyProtection="1">
      <protection locked="0"/>
    </xf>
    <xf numFmtId="0" fontId="0" fillId="0" borderId="15" xfId="0" applyBorder="1" applyProtection="1">
      <protection locked="0"/>
    </xf>
    <xf numFmtId="0" fontId="3" fillId="0" borderId="0" xfId="0" applyFont="1" applyAlignment="1">
      <alignment wrapText="1"/>
    </xf>
  </cellXfs>
  <cellStyles count="1">
    <cellStyle name="Standard" xfId="0" builtinId="0"/>
  </cellStyles>
  <dxfs count="409">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theme="6" tint="-0.24994659260841701"/>
      </font>
      <fill>
        <patternFill>
          <bgColor theme="6" tint="-0.24994659260841701"/>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ont>
        <color auto="1"/>
      </font>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s>
  <tableStyles count="0" defaultTableStyle="TableStyleMedium2" defaultPivotStyle="PivotStyleLight16"/>
  <colors>
    <mruColors>
      <color rgb="FF67C65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person displayName="Simon Haug" id="{0CF57073-34A5-414D-98BB-AAC443D07575}" userId="S::simon.haug@ost.ch::ca0e39b8-b1da-4b15-9664-419e181c989f" providerId="AD"/>
  <person displayName="Samuel Kolb" id="{A74F0B81-6ACB-8D46-A053-26161FF55584}" userId="S::samuel.kolb@ost.ch::e80832ae-9c23-4ae2-9b5d-643f3fd7ae23" providerId="AD"/>
  <person displayName="Reinhard Bürgy" id="{0CDD2DBB-4711-1F41-B5C2-BE7F90A7B51F}" userId="S::reinhard.buergy@polypoint.ch::9a6b9696-97f0-4419-8690-8fe7302ed00f"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2" dT="2022-11-23T06:36:32.07" personId="{0CF57073-34A5-414D-98BB-AAC443D07575}" id="{34E8AA98-C930-406B-871C-5ADB56AF3557}">
    <text>40</text>
  </threadedComment>
  <threadedComment ref="C13" dT="2023-03-20T20:33:36.74" personId="{A74F0B81-6ACB-8D46-A053-26161FF55584}" id="{0A25C8D5-ECFC-4FB1-85A9-2D300F9EA1F5}">
    <text>eigentlich 90, aber gem. Monika aktuell 100 einplanen</text>
  </threadedComment>
</ThreadedComments>
</file>

<file path=xl/threadedComments/threadedComment2.xml><?xml version="1.0" encoding="utf-8"?>
<ThreadedComments xmlns="http://schemas.microsoft.com/office/spreadsheetml/2018/threadedcomments" xmlns:x="http://schemas.openxmlformats.org/spreadsheetml/2006/main">
  <threadedComment ref="D16" dT="2023-02-22T18:54:09.60" personId="{A74F0B81-6ACB-8D46-A053-26161FF55584}" id="{49FFF105-FA98-4557-9874-EC64961F2346}">
    <text>eigentlich 05:45, wird aber auf Plan zu klein angezeigt</text>
  </threadedComment>
  <threadedComment ref="C20" dT="2023-02-22T18:56:26.14" personId="{A74F0B81-6ACB-8D46-A053-26161FF55584}" id="{4C3A5EA4-339C-441E-A62A-FB5CF17A97DE}">
    <text>eigentlich 16:15, wird aber im Plan zu klein angezeigt</text>
  </threadedComment>
  <threadedComment ref="D20" dT="2023-02-22T18:55:31.58" personId="{A74F0B81-6ACB-8D46-A053-26161FF55584}" id="{676D13EF-E117-4BD2-9E6E-4BC8BA6C8B1C}">
    <text>eigentlich 02:30, wird aber im Plan zu klein angezeigt</text>
  </threadedComment>
  <threadedComment ref="D28" dT="2023-03-20T13:16:52.10" personId="{A74F0B81-6ACB-8D46-A053-26161FF55584}" id="{08282C50-1F64-4E7D-9D6B-8FA69D095E45}">
    <text>wie lange dauert Doku Nachmittag?</text>
  </threadedComment>
  <threadedComment ref="D34" dT="2023-02-13T15:53:29.18" personId="{0CF57073-34A5-414D-98BB-AAC443D07575}" id="{411B5C42-839E-411F-8A35-F472ABFDE651}">
    <text>wie lange dauert Doku Nachmittag?</text>
  </threadedComment>
  <threadedComment ref="D35" dT="2023-02-13T15:53:29.18" personId="{0CF57073-34A5-414D-98BB-AAC443D07575}" id="{BC8FDE02-8213-4654-9E1A-ECDF6BF79C8B}">
    <text>wie lange dauert Doku Nachmittag?</text>
  </threadedComment>
</ThreadedComments>
</file>

<file path=xl/threadedComments/threadedComment3.xml><?xml version="1.0" encoding="utf-8"?>
<ThreadedComments xmlns="http://schemas.microsoft.com/office/spreadsheetml/2018/threadedcomments" xmlns:x="http://schemas.openxmlformats.org/spreadsheetml/2006/main">
  <threadedComment ref="A7" dT="2022-10-28T10:05:43.18" personId="{A74F0B81-6ACB-8D46-A053-26161FF55584}" id="{D1EADF04-72C5-4AC2-AEDE-4BEA5CC501B5}">
    <text>zählen nicht zum Bedarf am VM</text>
  </threadedComment>
  <threadedComment ref="A11" dT="2022-10-04T08:46:22.92" personId="{A74F0B81-6ACB-8D46-A053-26161FF55584}" id="{B17EA548-B3AB-47C5-86FC-BB88BDCBD0F4}">
    <text>"Nicht Vor Früh": Für "Früh vor Frei" - Regel relevant</text>
  </threadedComment>
  <threadedComment ref="A16" dT="2022-10-06T15:29:30.25" personId="{0CF57073-34A5-414D-98BB-AAC443D07575}" id="{7E09B71C-A68F-48A8-ADA4-283E18E3C5D0}">
    <text>Für Planungswunsch: Jeden 1. Montag F1 oder G1. Mit Reinhard besprechen</text>
  </threadedComment>
  <threadedComment ref="A16" dT="2022-10-11T05:55:54.33" personId="{0CF57073-34A5-414D-98BB-AAC443D07575}" id="{40AE5F80-C307-41CF-8D1D-5D7E410CB5F5}" parentId="{7E09B71C-A68F-48A8-ADA4-283E18E3C5D0}">
    <text>Wird im Planungswunsch 2.0 berücksichtigt. In Version 1.0 noch nicht</text>
  </threadedComment>
</ThreadedComments>
</file>

<file path=xl/threadedComments/threadedComment4.xml><?xml version="1.0" encoding="utf-8"?>
<ThreadedComments xmlns="http://schemas.microsoft.com/office/spreadsheetml/2018/threadedcomments" xmlns:x="http://schemas.openxmlformats.org/spreadsheetml/2006/main">
  <threadedComment ref="F2" dT="2022-10-03T16:06:59.36" personId="{A74F0B81-6ACB-8D46-A053-26161FF55584}" id="{25E53D01-BBAC-4DD8-89A3-D7CB8E699386}">
    <text>@Reinhard:
Ist das eine Abmachung (fix "kein Frühdienst am Donnerstag") oder eine Präferenz (wenn möglich "kein Frühdienst am Donnerstag")?</text>
  </threadedComment>
  <threadedComment ref="F2" dT="2022-10-03T18:12:33.02" personId="{0CDD2DBB-4711-1F41-B5C2-BE7F90A7B51F}" id="{867571E9-B110-4C90-B92A-5B1D3F26B5BE}" parentId="{25E53D01-BBAC-4DD8-89A3-D7CB8E699386}">
    <text xml:space="preserve">Verbot = verbot, d.h. Planer gibt das ein. Ok für euch? </text>
  </threadedComment>
  <threadedComment ref="U2" dT="2022-09-20T14:19:06.29" personId="{A74F0B81-6ACB-8D46-A053-26161FF55584}" id="{0B6CCD2D-EBA5-4086-B6F7-F4CA70561074}">
    <text xml:space="preserve">Müsste hier der Bereich nicht optLow und optHigh sein? </text>
  </threadedComment>
  <threadedComment ref="U2" dT="2022-09-20T14:40:46.59" personId="{0CDD2DBB-4711-1F41-B5C2-BE7F90A7B51F}" id="{2CB2BFF0-32AD-D04D-B7C6-DBA94987DB84}" parentId="{0B6CCD2D-EBA5-4086-B6F7-F4CA70561074}">
    <text xml:space="preserve">Meines Erachtens nein. Idee: Planer definiert max. (1. Wert). MA definiert „opt“ = optHigh. Min + optLow würde ich immer als 0 interpretieren, d.h. am liebsten keine WE.
Macht das Sinn?
</text>
  </threadedComment>
  <threadedComment ref="U2" dT="2022-10-03T18:06:55.21" personId="{A74F0B81-6ACB-8D46-A053-26161FF55584}" id="{51400F3F-9716-4425-A0A2-87CD359E4F70}" parentId="{0B6CCD2D-EBA5-4086-B6F7-F4CA70561074}">
    <text>Ja, das macht Sinn, danke!</text>
  </threadedComment>
  <threadedComment ref="K4" dT="2022-11-22T15:50:37.57" personId="{0CF57073-34A5-414D-98BB-AAC443D07575}" id="{EE32E801-A485-4F1B-AB04-8F76E8E4349C}">
    <text>24-48</text>
  </threadedComment>
  <threadedComment ref="T4" dT="2023-02-23T16:09:33.81" personId="{0CF57073-34A5-414D-98BB-AAC443D07575}" id="{08DEC01A-0E68-4572-B9A8-DB0742DA0672}">
    <text>wenn neutral = 3 - 2, wenn wichtig = 2 - 1, unwichtig wird nicht auf WE geachtet.
Leer = neutral</text>
  </threadedComment>
  <threadedComment ref="T4" dT="2023-05-11T09:18:51.15" personId="{A74F0B81-6ACB-8D46-A053-26161FF55584}" id="{8FDA6831-A0E1-4D8D-B280-9FE4AD5F0DA7}" parentId="{08DEC01A-0E68-4572-B9A8-DB0742DA0672}">
    <text>nur in Ausnahmefällen werden 3 WE verteilt, deshalb max auf 2 gesetzt.</text>
  </threadedComment>
  <threadedComment ref="B5" dT="2023-01-26T08:14:29.81" personId="{A74F0B81-6ACB-8D46-A053-26161FF55584}" id="{4783FC6E-D9CB-46B8-808D-CA9EA8DA034B}">
    <text>70</text>
  </threadedComment>
  <threadedComment ref="C5" dT="2022-11-15T15:11:46.92" personId="{0CF57073-34A5-414D-98BB-AAC443D07575}" id="{A11447F0-CE45-40AD-BE33-A4A2EFE1CF39}">
    <text>Mi, Do - 13:00 - 24:00</text>
  </threadedComment>
  <threadedComment ref="I5" dT="2022-09-20T16:27:38.73" personId="{A74F0B81-6ACB-8D46-A053-26161FF55584}" id="{DDEAEEF3-2AAD-46B0-9B2F-88772A049AAE}">
    <text>Falls nötig, hier pro Monat einstellen, z.B. Januar 23:
B2 : 14 - 9, B2M : 4 - 0
"Büro-Regel Monika" bereits gelöst mittels:
- Bedarfe
- Un-/Beliebte Dienste
- live-daten (Abmachungen)</text>
  </threadedComment>
  <threadedComment ref="K5" dT="2023-01-24T08:57:38.65" personId="{A74F0B81-6ACB-8D46-A053-26161FF55584}" id="{FA526BE6-6D61-4F0D-9762-6D88FE637609}">
    <text>war leer</text>
  </threadedComment>
  <threadedComment ref="T5" dT="2022-09-21T08:21:31.63" personId="{A74F0B81-6ACB-8D46-A053-26161FF55584}" id="{19728A74-03C8-476B-B435-07DAC7501430}">
    <text>Gem. MA-Profil: Bereit, 2 WE zu arbeiten
Nach Rücksprache: kein WE einplanen. Sie plant sich dann selbst ein, wo es sie braucht oder wenn jemand krank wird, springt sie ein.</text>
  </threadedComment>
  <threadedComment ref="B6" dT="2023-01-26T08:14:35.75" personId="{A74F0B81-6ACB-8D46-A053-26161FF55584}" id="{FCF251BD-D27F-4F81-BC09-8D3276BE1794}">
    <text>90</text>
  </threadedComment>
  <threadedComment ref="J6" dT="2022-12-02T22:24:33.47" personId="{A74F0B81-6ACB-8D46-A053-26161FF55584}" id="{FC7D798C-98E9-4971-B670-E78BF4F85EBC}">
    <text>war 3 - 5</text>
  </threadedComment>
  <threadedComment ref="K6" dT="2022-11-22T15:51:13.71" personId="{0CF57073-34A5-414D-98BB-AAC443D07575}" id="{CBEFF0E7-4B91-4D6D-AFB9-EF156CB5AA7F}">
    <text>24-72</text>
  </threadedComment>
  <threadedComment ref="T6" dT="2022-10-03T17:39:41.00" personId="{A74F0B81-6ACB-8D46-A053-26161FF55584}" id="{E6EC6261-0B97-4006-81DE-9C359AE81AA1}">
    <text>Bereit, 2 WE zu arbeiten</text>
  </threadedComment>
  <threadedComment ref="B7" dT="2023-01-26T08:14:41.82" personId="{A74F0B81-6ACB-8D46-A053-26161FF55584}" id="{13AA3D54-012E-4CD0-9EDA-F8A7BFCE1209}">
    <text>60</text>
  </threadedComment>
  <threadedComment ref="J7" dT="2023-03-02T07:48:32.68" personId="{A74F0B81-6ACB-8D46-A053-26161FF55584}" id="{975EEF6F-94D2-4249-8E84-698C47BDC4E4}">
    <text>soll max. 4er Blöcke machen, sie ist schon 64 Jahre alt, ist zu streng.</text>
  </threadedComment>
  <threadedComment ref="T7" dT="2022-10-03T17:38:22.75" personId="{A74F0B81-6ACB-8D46-A053-26161FF55584}" id="{66ED8BC8-CB1D-4DBD-A433-E946FAAB6607}">
    <text>Bereit, 2-3 WE zu arbeiten</text>
  </threadedComment>
  <threadedComment ref="B8" dT="2023-01-26T08:14:46.52" personId="{A74F0B81-6ACB-8D46-A053-26161FF55584}" id="{699D9CB2-58FA-41EB-B6F5-19759161CF61}">
    <text>90</text>
  </threadedComment>
  <threadedComment ref="G8" dT="2022-11-24T10:36:54.65" personId="{A74F0B81-6ACB-8D46-A053-26161FF55584}" id="{9EEC97AD-6F7D-4EDB-9854-53F2A67C8705}">
    <text>F, S2 von uns hinzugefügt, um G noch unbeliebter zu machen?</text>
  </threadedComment>
  <threadedComment ref="J8" dT="2023-01-24T09:49:07.96" personId="{A74F0B81-6ACB-8D46-A053-26161FF55584}" id="{052B9747-5F06-4377-BDAF-5E8063E73E71}">
    <text>war leer</text>
  </threadedComment>
  <threadedComment ref="K8" dT="2022-11-22T15:51:13.71" personId="{0CF57073-34A5-414D-98BB-AAC443D07575}" id="{116B9C13-B2A0-4B74-B79F-22AECE7F7FDC}">
    <text>24-72</text>
  </threadedComment>
  <threadedComment ref="L8" dT="2023-01-26T18:01:49.01" personId="{A74F0B81-6ACB-8D46-A053-26161FF55584}" id="{C0395729-4E0F-46EA-9F10-8B05280D50B9}">
    <text>war G : 3 - 2</text>
  </threadedComment>
  <threadedComment ref="T8" dT="2022-10-03T17:39:41.00" personId="{A74F0B81-6ACB-8D46-A053-26161FF55584}" id="{A9ECF1E1-D4DF-4D40-A09D-D5847E715C9E}">
    <text>Bereit, 2 WE zu arbeiten</text>
  </threadedComment>
  <threadedComment ref="B9" dT="2023-01-26T08:14:58.95" personId="{A74F0B81-6ACB-8D46-A053-26161FF55584}" id="{D6FBA118-E0AF-4B2F-8E16-8BAE89DF2049}">
    <text>30</text>
  </threadedComment>
  <threadedComment ref="H9" dT="2022-10-28T11:05:25.85" personId="{A74F0B81-6ACB-8D46-A053-26161FF55584}" id="{51842F7D-2203-4932-BFEE-38C6BAB478E1}">
    <text>Dienstgruppe vormittag erstellen, erst ab 16 Uhr für alle anderen Tage
wird immer Donnerstag und WE geplant (dann ist S unbeliebt), reicht für Arbeitsstunden eigentlich schon aus.
D.h., Mo, Di, Mi, Fr wenn dann nur abend (ab 16 Uhr) Dienste planen.
Gelöst über Dienstgruppe PFvor16 = unbeliebt (alle Dienste, die vor 16 Uhr starten)</text>
  </threadedComment>
  <threadedComment ref="H9" dT="2022-12-01T11:53:50.21" personId="{A74F0B81-6ACB-8D46-A053-26161FF55584}" id="{EFB13705-3927-4055-93A5-3640ECD16EF9}" parentId="{51842F7D-2203-4932-BFEE-38C6BAB478E1}">
    <text>aktuell verbieten wir diese Wochentage -&gt; falls später wieder nötig: PFvor16 - Mo Di Mi Fr</text>
  </threadedComment>
  <threadedComment ref="J9" dT="2023-02-22T19:19:44.05" personId="{A74F0B81-6ACB-8D46-A053-26161FF55584}" id="{92A500B3-739D-4B3D-8BB7-1D460388C100}">
    <text>4 - 4 - 1</text>
  </threadedComment>
  <threadedComment ref="K9" dT="2023-01-24T08:55:23.42" personId="{A74F0B81-6ACB-8D46-A053-26161FF55584}" id="{881FDCEE-692F-4F7B-B30E-38C3AF77903E}">
    <text>war leer</text>
  </threadedComment>
  <threadedComment ref="T9" dT="2022-10-03T17:46:35.95" personId="{A74F0B81-6ACB-8D46-A053-26161FF55584}" id="{23DD3B85-DDC3-43B2-BD44-0B229851BCFE}">
    <text>Bereit, 2/4 oder 3/5 zu arbeiten</text>
  </threadedComment>
  <threadedComment ref="B10" dT="2023-01-26T08:15:05.14" personId="{A74F0B81-6ACB-8D46-A053-26161FF55584}" id="{923BF334-89DC-444A-950F-15C182BDD004}">
    <text>70</text>
  </threadedComment>
  <threadedComment ref="C10" dT="2022-11-15T15:11:56.23" personId="{0CF57073-34A5-414D-98BB-AAC443D07575}" id="{9E050493-9DAF-402E-B66C-60BD7F19A0DA}">
    <text>Mo, Di -16:00 - 24:00, Do - 13:00 - 24:00</text>
  </threadedComment>
  <threadedComment ref="J10" dT="2022-11-23T17:16:28.04" personId="{A74F0B81-6ACB-8D46-A053-26161FF55584}" id="{4409BBC2-D332-4820-8268-BEB217CC77BF}">
    <text>6 - 4 - 1</text>
  </threadedComment>
  <threadedComment ref="K10" dT="2023-01-24T08:54:45.46" personId="{A74F0B81-6ACB-8D46-A053-26161FF55584}" id="{75ECE491-8D22-43C9-AFE5-22771BDC1F96}">
    <text>war leer</text>
  </threadedComment>
  <threadedComment ref="T10" dT="2022-10-03T17:46:35.95" personId="{A74F0B81-6ACB-8D46-A053-26161FF55584}" id="{1147671D-92F1-457F-9CDB-8AAD0712BD74}">
    <text>Bereit, 2/4 oder 3/5 zu arbeiten</text>
  </threadedComment>
  <threadedComment ref="B11" dT="2023-01-26T08:15:15.83" personId="{A74F0B81-6ACB-8D46-A053-26161FF55584}" id="{51A436E9-C312-4653-A234-B316DB8B1602}">
    <text>80</text>
  </threadedComment>
  <threadedComment ref="K11" dT="2022-11-22T15:51:13.71" personId="{0CF57073-34A5-414D-98BB-AAC443D07575}" id="{FA99DE55-B716-4523-9120-69DF1B91A569}">
    <text>24-72</text>
  </threadedComment>
  <threadedComment ref="L11" dT="2022-12-02T22:30:51.20" personId="{A74F0B81-6ACB-8D46-A053-26161FF55584}" id="{2AECD62A-02FD-4238-AA5F-6F3E9C53770A}">
    <text>war S : 5 - 1</text>
  </threadedComment>
  <threadedComment ref="T11" dT="2022-10-03T17:39:41.00" personId="{A74F0B81-6ACB-8D46-A053-26161FF55584}" id="{7826FE1D-2B88-411A-BBC3-4F9A0E0375A3}">
    <text>Bereit, 2 WE zu arbeiten</text>
  </threadedComment>
  <threadedComment ref="B12" dT="2023-01-26T08:15:21.42" personId="{A74F0B81-6ACB-8D46-A053-26161FF55584}" id="{2B638F03-3FE2-4164-A509-E99D5CB5E8B5}">
    <text>50</text>
  </threadedComment>
  <threadedComment ref="T12" dT="2022-10-03T17:39:41.00" personId="{A74F0B81-6ACB-8D46-A053-26161FF55584}" id="{7ECBB0B6-8065-46E3-BC2A-F6ED45A069B3}">
    <text>Bereit, 2 WE zu arbeiten</text>
  </threadedComment>
  <threadedComment ref="B13" dT="2023-01-26T08:16:06.33" personId="{A74F0B81-6ACB-8D46-A053-26161FF55584}" id="{CBED3272-381B-4339-9A04-54EB7DA84DDE}">
    <text>Ab 1.2. 30 % 
Arbeitet nur Dienstag und Wochenende</text>
  </threadedComment>
  <threadedComment ref="J13" dT="2023-02-22T19:19:58.56" personId="{A74F0B81-6ACB-8D46-A053-26161FF55584}" id="{B56E303B-A0FA-430A-9EF1-6148B685604B}">
    <text>5 - 4 - 1</text>
  </threadedComment>
  <threadedComment ref="K13" dT="2023-01-24T08:54:55.39" personId="{A74F0B81-6ACB-8D46-A053-26161FF55584}" id="{E8B985B5-63FC-459B-BD54-758866BAAA98}">
    <text>war leer</text>
  </threadedComment>
  <threadedComment ref="T13" dT="2022-10-03T17:49:52.55" personId="{A74F0B81-6ACB-8D46-A053-26161FF55584}" id="{E0EF3543-8F51-42A5-BD0D-C1D47DC1B5CC}">
    <text>Abgemacht, max. 1 WE zu arbeiten</text>
  </threadedComment>
  <threadedComment ref="B14" dT="2023-01-26T08:16:35.90" personId="{A74F0B81-6ACB-8D46-A053-26161FF55584}" id="{6FFD9BDB-BBBF-4CB8-ACF2-1C5CD97E063D}">
    <text>0% seit Februar (Mutterschaft)</text>
  </threadedComment>
  <threadedComment ref="C14" dT="2022-12-01T09:08:58.76" personId="{A74F0B81-6ACB-8D46-A053-26161FF55584}" id="{D23BCD2E-5139-4702-9773-38BF83D9CB91}">
    <text>Mo, Di, Mi, Do - 13:00 - 24:00, Fr - 13:00 - 24:00, Sa - 13:00 - 24:00, So - 13:00 - 24:00</text>
  </threadedComment>
  <threadedComment ref="J14" dT="2023-02-22T19:20:04.05" personId="{A74F0B81-6ACB-8D46-A053-26161FF55584}" id="{C7087E31-EEC4-41E5-B43B-AB6C44BEAB41}">
    <text>5 - 4 - 1</text>
  </threadedComment>
  <threadedComment ref="T14" dT="2022-10-03T17:39:41.00" personId="{A74F0B81-6ACB-8D46-A053-26161FF55584}" id="{B04B3110-FE0A-4A31-9400-D98C739192CB}">
    <text>Bereit, 2 WE zu arbeiten</text>
  </threadedComment>
  <threadedComment ref="B15" dT="2023-01-26T08:17:04.97" personId="{A74F0B81-6ACB-8D46-A053-26161FF55584}" id="{37CBDC00-6D13-4D83-869A-D2CCE27F5206}">
    <text>90
Darf aber aktuell 100 eingeplant werden, auch 6er Schichten wenn nötig</text>
  </threadedComment>
  <threadedComment ref="K15" dT="2023-01-24T13:15:56.40" personId="{A74F0B81-6ACB-8D46-A053-26161FF55584}" id="{CFE58327-3966-45A2-9D85-6D03F2AEB0BA}">
    <text>1 Tag frei zwischen 2 Blöcken möglich!</text>
  </threadedComment>
  <threadedComment ref="T15" dT="2022-10-03T17:39:41.00" personId="{A74F0B81-6ACB-8D46-A053-26161FF55584}" id="{BABACD12-E242-4D20-B8F3-D8B2F6AB7434}">
    <text>Bereit, 2 WE zu arbeiten</text>
  </threadedComment>
  <threadedComment ref="B16" dT="2023-01-26T08:17:15.98" personId="{A74F0B81-6ACB-8D46-A053-26161FF55584}" id="{AF12AA66-7816-4479-8B5B-81724AB998C2}">
    <text>90</text>
  </threadedComment>
  <threadedComment ref="T16" dT="2022-10-03T17:39:41.00" personId="{A74F0B81-6ACB-8D46-A053-26161FF55584}" id="{9315C8E9-2CF7-404B-B551-90E8BC4D6079}">
    <text>Bereit, 2 WE zu arbeiten</text>
  </threadedComment>
  <threadedComment ref="B17" dT="2023-01-26T08:17:20.73" personId="{A74F0B81-6ACB-8D46-A053-26161FF55584}" id="{9758509A-EB58-4FF5-832B-B8E3535B6D8E}">
    <text>50</text>
  </threadedComment>
  <threadedComment ref="I17" dT="2023-01-25T09:54:53.40" personId="{A74F0B81-6ACB-8D46-A053-26161FF55584}" id="{D2976F3B-B737-4AA4-9924-639392D186B2}">
    <text>war A5 : 2
wurde geändert wegen Bedarfsregeln für Almas (jeder 3x A3+A6)</text>
  </threadedComment>
  <threadedComment ref="K17" dT="2022-11-22T15:51:17.02" personId="{0CF57073-34A5-414D-98BB-AAC443D07575}" id="{EEC5766D-213F-4F53-97B8-C1E14803CB58}">
    <text>24-72</text>
  </threadedComment>
  <threadedComment ref="L17" dT="2023-01-26T18:00:33.05" personId="{A74F0B81-6ACB-8D46-A053-26161FF55584}" id="{75FEE6D1-972E-463D-9E96-645A6D81EE77}">
    <text>war A5 : 5 - 2</text>
  </threadedComment>
  <threadedComment ref="T17" dT="2022-10-03T17:39:41.00" personId="{A74F0B81-6ACB-8D46-A053-26161FF55584}" id="{AC534E3D-6A46-4C4D-AC47-0FB85E96BF5F}">
    <text>Gem. MA-Profil: Bereit, 2 WE zu arbeiten
Gem. Monika: arbeitet gerne an WE, Roswitha mehr WE einplanen, Heidi weniger.</text>
  </threadedComment>
  <threadedComment ref="B18" dT="2023-01-26T08:17:24.80" personId="{A74F0B81-6ACB-8D46-A053-26161FF55584}" id="{652C0B13-36B6-407F-BE03-E74138F7B6AB}">
    <text>80</text>
  </threadedComment>
  <threadedComment ref="G18" dT="2023-01-27T00:02:08.03" personId="{A74F0B81-6ACB-8D46-A053-26161FF55584}" id="{B12594FB-F092-4FBA-A299-DC9246D2665D}">
    <text>war A1 - Fr Sa So Mo</text>
  </threadedComment>
  <threadedComment ref="I18" dT="2023-01-25T09:56:15.83" personId="{A74F0B81-6ACB-8D46-A053-26161FF55584}" id="{E788BA75-9918-4069-9E09-FA3C975F97BD}">
    <text>war A6 : 2
wurde geändert wegen Bedarfsregeln für Almas (jeder 3x A3)</text>
  </threadedComment>
  <threadedComment ref="T18" dT="2022-10-03T17:39:41.00" personId="{A74F0B81-6ACB-8D46-A053-26161FF55584}" id="{AA676958-90DB-4558-B0B7-37CF51E6DE92}">
    <text>Gem. MA-Profil: Bereit, 2 WE zu arbeiten
Gem. Monika: arbeitet gerne an WE, Roswitha mehr WE einplanen, Heidi weniger.</text>
  </threadedComment>
  <threadedComment ref="B19" dT="2023-01-26T08:17:31.46" personId="{A74F0B81-6ACB-8D46-A053-26161FF55584}" id="{7A7E9D34-61CB-4676-B649-C3093F4EC204}">
    <text>100</text>
  </threadedComment>
  <threadedComment ref="B20" dT="2023-01-26T08:17:36.85" personId="{A74F0B81-6ACB-8D46-A053-26161FF55584}" id="{D3BC07B6-EDBA-4969-99D8-7810287A94DD}">
    <text>100</text>
  </threadedComment>
  <threadedComment ref="B21" dT="2023-01-26T08:17:43.02" personId="{A74F0B81-6ACB-8D46-A053-26161FF55584}" id="{9ED01BF7-0C58-4942-9061-12C200CEA3D7}">
    <text>100</text>
  </threadedComment>
</ThreadedComments>
</file>

<file path=xl/threadedComments/threadedComment5.xml><?xml version="1.0" encoding="utf-8"?>
<ThreadedComments xmlns="http://schemas.microsoft.com/office/spreadsheetml/2018/threadedcomments" xmlns:x="http://schemas.openxmlformats.org/spreadsheetml/2006/main">
  <threadedComment ref="A9" dT="2022-09-13T15:34:47.46" personId="{A74F0B81-6ACB-8D46-A053-26161FF55584}" id="{CB1BE913-4951-42C1-A645-0B320D57D684}">
    <text>Alltagsmanagement (nur spezifische MA)</text>
  </threadedComment>
  <threadedComment ref="C11" dT="2023-01-25T11:06:48.48" personId="{A74F0B81-6ACB-8D46-A053-26161FF55584}" id="{13039ACE-9722-4BE4-A31D-CD115E691D06}">
    <text>geht eig. nur bis 16:00.
Da Kombi A3 und A5 als Min-Abdeckung gilt, welche besagt, dass zw. 7:30 und 18:45 1 Person da sein muss, und A5 erst um 16:15 startet, wurde hier 15 min hinzugerechnet. Wird aber bei den anrechenbaren Arbeitsstunden nicht berücksichtigt.</text>
  </threadedComment>
</ThreadedComments>
</file>

<file path=xl/threadedComments/threadedComment6.xml><?xml version="1.0" encoding="utf-8"?>
<ThreadedComments xmlns="http://schemas.microsoft.com/office/spreadsheetml/2018/threadedcomments" xmlns:x="http://schemas.openxmlformats.org/spreadsheetml/2006/main">
  <threadedComment ref="B5" dT="2023-03-20T09:01:06.59" personId="{A74F0B81-6ACB-8D46-A053-26161FF55584}" id="{201B2347-F0F6-4298-9B32-50F1D3A0EC2E}">
    <text>70</text>
  </threadedComment>
  <threadedComment ref="B6" dT="2023-03-20T09:16:19.15" personId="{A74F0B81-6ACB-8D46-A053-26161FF55584}" id="{3B959140-7754-4F94-B6D6-F037E6D453BE}">
    <text>90</text>
  </threadedComment>
  <threadedComment ref="J6" dT="2023-05-16T15:26:08.26" personId="{0CF57073-34A5-414D-98BB-AAC443D07575}" id="{E7625322-5053-491B-91DA-4F8A95F13257}">
    <text>K2_Doku	G2	K2	F1	F1</text>
  </threadedComment>
  <threadedComment ref="B7" dT="2023-03-20T09:20:40.74" personId="{A74F0B81-6ACB-8D46-A053-26161FF55584}" id="{03F34EBB-2ABF-488F-B144-CAF8E6ACA51E}">
    <text>60</text>
  </threadedComment>
  <threadedComment ref="B8" dT="2023-03-20T09:20:52.05" personId="{A74F0B81-6ACB-8D46-A053-26161FF55584}" id="{9A7E9D65-7BF1-47DA-A029-44230768C228}">
    <text>90</text>
  </threadedComment>
  <threadedComment ref="B9" dT="2023-03-20T20:31:59.40" personId="{A74F0B81-6ACB-8D46-A053-26161FF55584}" id="{176E516D-D8D1-4FA2-9758-50E4407C45E3}">
    <text>30</text>
  </threadedComment>
  <threadedComment ref="B10" dT="2023-03-20T20:31:49.71" personId="{A74F0B81-6ACB-8D46-A053-26161FF55584}" id="{0763B358-F1B9-43F4-85F8-80D589DBE19B}">
    <text>70</text>
  </threadedComment>
  <threadedComment ref="B11" dT="2023-03-20T20:32:09.39" personId="{A74F0B81-6ACB-8D46-A053-26161FF55584}" id="{5E0DB4C4-A694-438E-BF34-A9B042F5427A}">
    <text>80</text>
  </threadedComment>
  <threadedComment ref="B12" dT="2023-03-20T20:32:21.62" personId="{A74F0B81-6ACB-8D46-A053-26161FF55584}" id="{91F36B68-EC87-468A-A353-90366D70F416}">
    <text>50</text>
  </threadedComment>
  <threadedComment ref="B13" dT="2023-03-20T20:32:33.48" personId="{A74F0B81-6ACB-8D46-A053-26161FF55584}" id="{2DF7F63F-0B1C-46DA-A318-D410404F4628}">
    <text>30</text>
  </threadedComment>
  <threadedComment ref="B15" dT="2023-03-20T20:33:01.73" personId="{A74F0B81-6ACB-8D46-A053-26161FF55584}" id="{54A72BCC-C138-43E4-91BC-8FCC623F18C5}">
    <text>90</text>
  </threadedComment>
  <threadedComment ref="B16" dT="2023-03-20T20:34:05.03" personId="{A74F0B81-6ACB-8D46-A053-26161FF55584}" id="{C50E2600-7692-435E-9269-6A9FE9BB9956}">
    <text>90</text>
  </threadedComment>
  <threadedComment ref="B17" dT="2023-03-20T20:34:09.09" personId="{A74F0B81-6ACB-8D46-A053-26161FF55584}" id="{4FD089DF-3709-4BEC-8BC6-48C0B00EDD4B}">
    <text>50</text>
  </threadedComment>
  <threadedComment ref="B18" dT="2023-03-20T20:34:15.38" personId="{A74F0B81-6ACB-8D46-A053-26161FF55584}" id="{D8A72647-1060-4BCB-9F8C-5396D2735870}">
    <text>80</text>
  </threadedComment>
</ThreadedComments>
</file>

<file path=xl/threadedComments/threadedComment7.xml><?xml version="1.0" encoding="utf-8"?>
<ThreadedComments xmlns="http://schemas.microsoft.com/office/spreadsheetml/2018/threadedcomments" xmlns:x="http://schemas.openxmlformats.org/spreadsheetml/2006/main">
  <threadedComment ref="C3" dT="2022-11-30T16:42:32.81" personId="{A74F0B81-6ACB-8D46-A053-26161FF55584}" id="{925E9545-B943-4682-B8AB-3D4D0E1FEFA7}">
    <text>Du kannst die Demands nun einfacher eingeben mit: KAT1 KAT2 … - SHIFT_TYPE_GROUP 
siehe KSA</text>
  </threadedComment>
  <threadedComment ref="W3" dT="2023-02-23T01:09:12.89" personId="{A74F0B81-6ACB-8D46-A053-26161FF55584}" id="{0A4CF072-4A68-418A-A5DD-F3FEB545C2BC}">
    <text>ist diese Regel so streng? Generiert riesige Kosten...</text>
  </threadedComment>
  <threadedComment ref="W3" dT="2023-02-23T12:29:43.71" personId="{A74F0B81-6ACB-8D46-A053-26161FF55584}" id="{420C389C-0D01-47BE-AEDC-0C7CEC464938}" parentId="{0A4CF072-4A68-418A-A5DD-F3FEB545C2BC}">
    <text>war 0</text>
  </threadedComment>
  <threadedComment ref="W6" dT="2023-05-23T20:27:31.18" personId="{A74F0B81-6ACB-8D46-A053-26161FF55584}" id="{AA3EECED-93BC-4C0D-B2FC-5188E1043189}">
    <text>1</text>
  </threadedComment>
  <threadedComment ref="W7" dT="2023-05-23T20:27:38.72" personId="{A74F0B81-6ACB-8D46-A053-26161FF55584}" id="{9CCD5C7E-B493-44C4-B773-4D19C533216F}">
    <text>1</text>
  </threadedComment>
  <threadedComment ref="W8" dT="2023-05-23T20:28:12.55" personId="{A74F0B81-6ACB-8D46-A053-26161FF55584}" id="{E178F71C-293D-4DE3-BD9F-FFBB96A65123}">
    <text>1</text>
  </threadedComment>
  <threadedComment ref="W10" dT="2023-05-23T20:28:36.23" personId="{A74F0B81-6ACB-8D46-A053-26161FF55584}" id="{EBBFB65C-DE30-455C-82F6-4729E6E9C50A}">
    <text>1</text>
  </threadedComment>
  <threadedComment ref="W16" dT="2023-01-25T19:03:40.31" personId="{A74F0B81-6ACB-8D46-A053-26161FF55584}" id="{0207A5FF-0A28-4570-A385-C6B45DE1CC7D}">
    <text>Obergrenze bei der Bedarfsabdeckung (3 wäre ok ab 13 Uhr) -&gt; gilt für alle roten oben</text>
  </threadedComment>
  <threadedComment ref="W17" dT="2022-12-02T21:29:13.71" personId="{A74F0B81-6ACB-8D46-A053-26161FF55584}" id="{2A2BE023-9F07-4DF9-A7CF-5525E7F5F6D5}">
    <text>max. 2 aus Pflege -&gt; wenn 3. Person, dann Lernende</text>
  </threadedComment>
  <threadedComment ref="W17" dT="2023-01-26T15:36:28.74" personId="{A74F0B81-6ACB-8D46-A053-26161FF55584}" id="{4CF99DFD-E18D-4390-97A6-684FD4142744}" parentId="{2A2BE023-9F07-4DF9-A7CF-5525E7F5F6D5}">
    <text>war 0, aber dann kommen die Leute nicht auf ihre Stunden</text>
  </threadedComment>
  <threadedComment ref="W18" dT="2022-12-02T11:16:03.73" personId="{A74F0B81-6ACB-8D46-A053-26161FF55584}" id="{57E088F6-7B73-4C01-A2ED-EAFD81ED71A1}">
    <text>nicht 2 Leute bis halb 9</text>
  </threadedComment>
  <threadedComment ref="W19" dT="2023-05-24T10:30:00.05" personId="{A74F0B81-6ACB-8D46-A053-26161FF55584}" id="{3308B317-6CEA-4648-B432-61FB8ECCC3AC}">
    <text>2</text>
  </threadedComment>
  <threadedComment ref="W28" dT="2023-01-25T15:43:40.96" personId="{A74F0B81-6ACB-8D46-A053-26161FF55584}" id="{0CEF8ED3-8F87-493D-89C6-95A6B97248CF}">
    <text>jeder MA 2-3x im Monat. Wird begrenzt über Monatslimiten. -&gt; überprüfen, ob das klappt.</text>
  </threadedComment>
  <threadedComment ref="W28" dT="2023-01-26T19:04:07.11" personId="{A74F0B81-6ACB-8D46-A053-26161FF55584}" id="{39BCEC19-0BAB-47C6-BEA3-1E51E2F33168}" parentId="{0CEF8ED3-8F87-493D-89C6-95A6B97248CF}">
    <text>aktuell über 1x pro Woche gelöst</text>
  </threadedComment>
  <threadedComment ref="B31" dT="2022-11-23T11:47:15.70" personId="{A74F0B81-6ACB-8D46-A053-26161FF55584}" id="{1AF99646-5436-4137-A67E-955F8614BAFA}">
    <text>Bedarfsprofil für WE hat andere Zeiten, nicht nur andere Bedarfe, deshalb hier separat definiert.</text>
  </threadedComment>
  <threadedComment ref="A34" dT="2022-12-24T00:09:38.19" personId="{A74F0B81-6ACB-8D46-A053-26161FF55584}" id="{4B4554BD-751B-45EF-8746-94B6BC560860}">
    <text>Diese Demands wurden erstellt, um zu verhindern, dass alle Lehrlinge an einem Tag dieselben Dienste bekommen. Gem. Monika sollen nicht alle gleichzeitig da sein, sondern über den Tag verteilt.
Richtige Einstellung wäre eigentlich: min: 0, optLow: 0, optHigh: 2, max: 2
Lässt sich aber so nicht einstellen (0, 0), weil dann der Demand gar nicht erst berücksichtigt wird in den planning-data.  
Deshalb wurde als Workaround opt (=optLow) auf 1 gestellt und IMPORTANCE auf sehr tief.</text>
  </threadedComment>
</ThreadedComments>
</file>

<file path=xl/threadedComments/threadedComment8.xml><?xml version="1.0" encoding="utf-8"?>
<ThreadedComments xmlns="http://schemas.microsoft.com/office/spreadsheetml/2018/threadedcomments" xmlns:x="http://schemas.openxmlformats.org/spreadsheetml/2006/main">
  <threadedComment ref="A10" dT="2023-01-25T10:59:53.35" personId="{A74F0B81-6ACB-8D46-A053-26161FF55584}" id="{47893A64-01D2-4E91-87AB-CB3EF7739E7B}">
    <text>Bedarf eigentlich definiert über: A2 und A6, darf aber teilweise unter- oder überdeckt werden.
Erlaubte Kombis:
A3+A5 (optimal)
A2+A6 (Überlappung tlw. nötig)
A2+A4 (Überlappung tlw. nötig)
A3+A6 (jeder MA 2-3x im Mt.; Ämtli)
A1 (Bedarf WE)</text>
  </threadedComment>
  <threadedComment ref="A32" dT="2023-01-25T10:59:53.35" personId="{A74F0B81-6ACB-8D46-A053-26161FF55584}" id="{EC7992D8-8A60-4C63-B729-1B22A0758277}">
    <text>Bedarf eigentlich definiert über: A2 und A6, darf aber teilweise unter- oder überdeckt werden.
Erlaubte Kombis:
A3+A5 (optimal)
A2+A6 (Überlappung tlw. nötig)
A2+A4 (Überlappung tlw. nötig)
A3+A6 (jeder MA 2-3x im Mt.; Ämtli)
A1 (Bedarf WE)</text>
  </threadedComment>
  <threadedComment ref="A57" dT="2023-01-25T10:59:53.35" personId="{A74F0B81-6ACB-8D46-A053-26161FF55584}" id="{04360D36-24F5-4370-817D-9EC4B901AD1C}">
    <text>Bedarf eigentlich definiert über: A2 und A6, darf aber teilweise unter- oder überdeckt werden.
Erlaubte Kombis:
A3+A5 (optimal)
A2+A6 (Überlappung tlw. nötig)
A2+A4 (Überlappung tlw. nötig)
A3+A6 (jeder MA 2-3x im Mt.; Ämtli)
A1 (Bedarf WE)</text>
  </threadedComment>
  <threadedComment ref="A63" dT="2023-01-25T10:59:53.35" personId="{A74F0B81-6ACB-8D46-A053-26161FF55584}" id="{034A6706-FBF0-4D3B-BF7E-2E5AB9252C02}">
    <text>Bedarf eigentlich definiert über: A2 und A6, darf aber teilweise unter- oder überdeckt werden.
Erlaubte Kombis:
A3+A5 (optimal)
A2+A6 (Überlappung tlw. nötig)
A2+A4 (Überlappung tlw. nötig)
A3+A6 (jeder MA 2-3x im Mt.; Ämtli)
A1 (Bedarf WE)</text>
  </threadedComment>
  <threadedComment ref="A70" dT="2023-01-25T10:59:53.35" personId="{A74F0B81-6ACB-8D46-A053-26161FF55584}" id="{DF19F831-CABE-4ED9-821C-E061F4D150E7}">
    <text>Bedarf eigentlich definiert über: A2 und A6, darf aber teilweise unter- oder überdeckt werden.
Erlaubte Kombis:
A3+A5 (optimal)
A2+A6 (Überlappung tlw. nötig)
A2+A4 (Überlappung tlw. nötig)
A3+A6 (jeder MA 2-3x im Mt.; Ämtli)
A1 (Bedarf WE)</text>
  </threadedComment>
</ThreadedComments>
</file>

<file path=xl/threadedComments/threadedComment9.xml><?xml version="1.0" encoding="utf-8"?>
<ThreadedComments xmlns="http://schemas.microsoft.com/office/spreadsheetml/2018/threadedcomments" xmlns:x="http://schemas.openxmlformats.org/spreadsheetml/2006/main">
  <threadedComment ref="J2" dT="2022-09-21T12:17:08.10" personId="{A74F0B81-6ACB-8D46-A053-26161FF55584}" id="{2E6604F4-B906-4428-B1B0-69E2CECF9BBA}">
    <text>Nur zur Kontrolle:
Überall Ruhezeit so einstellen, dass früheste Schicht möglich ist = 07:00 (F1, K2)</text>
  </threadedComment>
  <threadedComment ref="A3" dT="2022-09-21T12:14:25.01" personId="{A74F0B81-6ACB-8D46-A053-26161FF55584}" id="{E268E56C-4528-47FB-9F5C-792A056B65C6}">
    <text>B2: 08:00 - 12:00, 13:00 - 16:00
Doku: ?</text>
  </threadedComment>
  <threadedComment ref="A3" dT="2022-10-28T08:42:28.82" personId="{A74F0B81-6ACB-8D46-A053-26161FF55584}" id="{EC11FAAD-CF36-4704-A6EB-274A39624ECD}" parentId="{E268E56C-4528-47FB-9F5C-792A056B65C6}">
    <text>Doku wird immer nachträglich eingeplant, nicht relevant für uns</text>
  </threadedComment>
  <threadedComment ref="A4" dT="2022-09-21T12:14:47.13" personId="{A74F0B81-6ACB-8D46-A053-26161FF55584}" id="{98D58D65-2C7A-43C6-B6A1-7489395E2744}">
    <text>K2: 07:00 - 13:00
-&gt;: ?</text>
  </threadedComment>
  <threadedComment ref="A4" dT="2022-10-28T08:42:00.54" personId="{A74F0B81-6ACB-8D46-A053-26161FF55584}" id="{87B3331B-C6CA-43EC-ACAB-4D878744A8FA}" parentId="{98D58D65-2C7A-43C6-B6A1-7489395E2744}">
    <text>-&gt; meistens so dass insgesamt 8:24 ergibt
Bedarf nur K2</text>
  </threadedComment>
  <threadedComment ref="A5" dT="2022-09-21T12:13:40.11" personId="{A74F0B81-6ACB-8D46-A053-26161FF55584}" id="{693264EF-BCD8-4B6A-90B6-5E48A9C9D62E}">
    <text>K2: 07:00 - 13:00
Doku: ?</text>
  </threadedComment>
  <threadedComment ref="A6" dT="2022-09-21T12:13:17.23" personId="{A74F0B81-6ACB-8D46-A053-26161FF55584}" id="{CA92F11B-42B2-41D4-B10E-EE60A6DB8629}">
    <text>A2: 07:30 - 13:15
Doku: ?</text>
  </threadedComment>
  <threadedComment ref="A7" dT="2022-09-21T12:11:46.70" personId="{A74F0B81-6ACB-8D46-A053-26161FF55584}" id="{2E936B59-93B3-47E9-A989-4E3E5E32972C}">
    <text>Doku: ?
S2: 11:30 - 13:00, 13:45 - 20:30</text>
  </threadedComment>
</ThreadedComment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5.xml"/><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 Id="rId4" Type="http://schemas.microsoft.com/office/2017/10/relationships/threadedComment" Target="../threadedComments/threadedComment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microsoft.com/office/2017/10/relationships/threadedComment" Target="../threadedComments/threadedComment7.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7.bin"/><Relationship Id="rId4" Type="http://schemas.microsoft.com/office/2017/10/relationships/threadedComment" Target="../threadedComments/threadedComment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8.bin"/><Relationship Id="rId4" Type="http://schemas.microsoft.com/office/2017/10/relationships/threadedComment" Target="../threadedComments/threadedComment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67A2C-6D15-6841-ADFC-1B869FCD6D81}">
  <sheetPr codeName="Tabelle3"/>
  <dimension ref="A1:C15"/>
  <sheetViews>
    <sheetView zoomScaleNormal="100" workbookViewId="0">
      <selection activeCell="B9" sqref="B9"/>
    </sheetView>
  </sheetViews>
  <sheetFormatPr baseColWidth="10" defaultColWidth="11.453125" defaultRowHeight="12.5"/>
  <cols>
    <col min="2" max="2" width="32" customWidth="1"/>
  </cols>
  <sheetData>
    <row r="1" spans="1:3" ht="13">
      <c r="A1" s="56" t="s">
        <v>211</v>
      </c>
      <c r="B1" s="57"/>
    </row>
    <row r="2" spans="1:3" ht="13">
      <c r="A2" s="107" t="s">
        <v>0</v>
      </c>
      <c r="B2" s="107" t="s">
        <v>1</v>
      </c>
      <c r="C2" s="56" t="s">
        <v>172</v>
      </c>
    </row>
    <row r="3" spans="1:3">
      <c r="A3" s="108" t="s">
        <v>199</v>
      </c>
      <c r="B3" s="109" t="s">
        <v>212</v>
      </c>
      <c r="C3" t="s">
        <v>200</v>
      </c>
    </row>
    <row r="4" spans="1:3">
      <c r="A4" s="40" t="s">
        <v>202</v>
      </c>
      <c r="B4" s="1" t="s">
        <v>213</v>
      </c>
      <c r="C4" t="s">
        <v>200</v>
      </c>
    </row>
    <row r="5" spans="1:3">
      <c r="A5" s="40" t="s">
        <v>207</v>
      </c>
      <c r="B5" s="1" t="s">
        <v>214</v>
      </c>
      <c r="C5" t="s">
        <v>201</v>
      </c>
    </row>
    <row r="6" spans="1:3">
      <c r="A6" s="40" t="s">
        <v>215</v>
      </c>
      <c r="B6" s="1" t="s">
        <v>216</v>
      </c>
      <c r="C6" t="s">
        <v>173</v>
      </c>
    </row>
    <row r="7" spans="1:3">
      <c r="A7" s="40" t="s">
        <v>217</v>
      </c>
      <c r="B7" s="1" t="s">
        <v>218</v>
      </c>
      <c r="C7" t="s">
        <v>203</v>
      </c>
    </row>
    <row r="8" spans="1:3">
      <c r="A8" s="40" t="s">
        <v>498</v>
      </c>
      <c r="B8" s="1" t="s">
        <v>499</v>
      </c>
      <c r="C8" t="s">
        <v>500</v>
      </c>
    </row>
    <row r="10" spans="1:3" ht="13">
      <c r="B10" s="68" t="s">
        <v>2</v>
      </c>
    </row>
    <row r="11" spans="1:3">
      <c r="B11" s="46"/>
    </row>
    <row r="12" spans="1:3" ht="13">
      <c r="B12" s="68"/>
      <c r="C12" s="12"/>
    </row>
    <row r="13" spans="1:3">
      <c r="C13" s="12"/>
    </row>
    <row r="14" spans="1:3">
      <c r="C14" s="12"/>
    </row>
    <row r="15" spans="1:3">
      <c r="C15" s="12"/>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26"/>
  <sheetViews>
    <sheetView zoomScaleNormal="100" workbookViewId="0">
      <selection activeCell="D7" sqref="D7"/>
    </sheetView>
  </sheetViews>
  <sheetFormatPr baseColWidth="10" defaultColWidth="11.453125" defaultRowHeight="12.5"/>
  <cols>
    <col min="1" max="1" width="7.81640625" customWidth="1"/>
    <col min="2" max="2" width="30.453125" customWidth="1"/>
    <col min="3" max="3" width="12.6328125" customWidth="1"/>
    <col min="4" max="4" width="13.6328125" customWidth="1"/>
    <col min="5" max="5" width="22.1796875" customWidth="1"/>
    <col min="6" max="6" width="8.81640625" bestFit="1" customWidth="1"/>
    <col min="7" max="7" width="6.1796875" bestFit="1" customWidth="1"/>
    <col min="8" max="8" width="5.1796875" bestFit="1" customWidth="1"/>
    <col min="9" max="9" width="48.54296875" style="283" customWidth="1"/>
  </cols>
  <sheetData>
    <row r="1" spans="1:9" ht="13">
      <c r="A1" s="13" t="s">
        <v>3</v>
      </c>
      <c r="B1" s="14"/>
      <c r="C1" s="15"/>
      <c r="D1" s="15"/>
      <c r="E1" s="15"/>
      <c r="F1" s="579" t="s">
        <v>4</v>
      </c>
      <c r="G1" s="580"/>
      <c r="H1" s="580"/>
    </row>
    <row r="2" spans="1:9" ht="13">
      <c r="A2" s="16" t="s">
        <v>0</v>
      </c>
      <c r="B2" s="17" t="s">
        <v>5</v>
      </c>
      <c r="C2" s="15" t="s">
        <v>6</v>
      </c>
      <c r="D2" s="15" t="s">
        <v>7</v>
      </c>
      <c r="E2" s="15" t="s">
        <v>8</v>
      </c>
      <c r="F2" s="41" t="s">
        <v>283</v>
      </c>
      <c r="G2" s="41" t="s">
        <v>285</v>
      </c>
      <c r="H2" s="281" t="s">
        <v>36</v>
      </c>
    </row>
    <row r="3" spans="1:9">
      <c r="A3" s="66" t="s">
        <v>9</v>
      </c>
      <c r="B3" s="279" t="s">
        <v>358</v>
      </c>
      <c r="C3" s="6">
        <v>70</v>
      </c>
      <c r="D3" s="37" t="s">
        <v>199</v>
      </c>
      <c r="E3" s="37">
        <v>1</v>
      </c>
      <c r="F3" s="484"/>
      <c r="G3" s="6" t="s">
        <v>312</v>
      </c>
      <c r="H3" s="486" t="s">
        <v>312</v>
      </c>
      <c r="I3" s="284" t="s">
        <v>375</v>
      </c>
    </row>
    <row r="4" spans="1:9">
      <c r="A4" s="67" t="s">
        <v>10</v>
      </c>
      <c r="B4" s="489" t="s">
        <v>359</v>
      </c>
      <c r="C4" s="318">
        <v>90</v>
      </c>
      <c r="D4" s="38" t="s">
        <v>199</v>
      </c>
      <c r="E4" s="38">
        <v>2</v>
      </c>
      <c r="F4" s="40"/>
      <c r="G4" s="318" t="s">
        <v>312</v>
      </c>
      <c r="H4" s="106"/>
      <c r="I4" s="284" t="s">
        <v>376</v>
      </c>
    </row>
    <row r="5" spans="1:9">
      <c r="A5" s="67" t="s">
        <v>11</v>
      </c>
      <c r="B5" s="489" t="s">
        <v>360</v>
      </c>
      <c r="C5" s="318">
        <v>60</v>
      </c>
      <c r="D5" s="38" t="s">
        <v>202</v>
      </c>
      <c r="E5" s="38">
        <v>3</v>
      </c>
      <c r="F5" s="40"/>
      <c r="G5" s="318" t="s">
        <v>312</v>
      </c>
      <c r="H5" s="106"/>
    </row>
    <row r="6" spans="1:9">
      <c r="A6" s="67" t="s">
        <v>12</v>
      </c>
      <c r="B6" s="489" t="s">
        <v>361</v>
      </c>
      <c r="C6" s="318">
        <v>90</v>
      </c>
      <c r="D6" s="38" t="s">
        <v>202</v>
      </c>
      <c r="E6" s="38">
        <v>4</v>
      </c>
      <c r="F6" s="40"/>
      <c r="G6" s="318" t="s">
        <v>312</v>
      </c>
      <c r="H6" s="106"/>
    </row>
    <row r="7" spans="1:9">
      <c r="A7" s="67" t="s">
        <v>13</v>
      </c>
      <c r="B7" s="489" t="s">
        <v>362</v>
      </c>
      <c r="C7" s="318">
        <v>30</v>
      </c>
      <c r="D7" s="38" t="s">
        <v>202</v>
      </c>
      <c r="E7" s="38">
        <v>5</v>
      </c>
      <c r="F7" s="40"/>
      <c r="G7" s="318" t="s">
        <v>312</v>
      </c>
      <c r="H7" s="106"/>
    </row>
    <row r="8" spans="1:9">
      <c r="A8" s="67" t="s">
        <v>14</v>
      </c>
      <c r="B8" s="489" t="s">
        <v>363</v>
      </c>
      <c r="C8" s="318">
        <v>70</v>
      </c>
      <c r="D8" s="38" t="s">
        <v>207</v>
      </c>
      <c r="E8" s="38">
        <v>6</v>
      </c>
      <c r="F8" s="40"/>
      <c r="G8" s="318" t="s">
        <v>312</v>
      </c>
      <c r="H8" s="106"/>
    </row>
    <row r="9" spans="1:9">
      <c r="A9" s="67" t="s">
        <v>15</v>
      </c>
      <c r="B9" s="489" t="s">
        <v>364</v>
      </c>
      <c r="C9" s="318">
        <v>80</v>
      </c>
      <c r="D9" s="38" t="s">
        <v>207</v>
      </c>
      <c r="E9" s="38">
        <v>7</v>
      </c>
      <c r="F9" s="40"/>
      <c r="G9" s="318" t="s">
        <v>312</v>
      </c>
      <c r="H9" s="106"/>
    </row>
    <row r="10" spans="1:9">
      <c r="A10" s="67" t="s">
        <v>16</v>
      </c>
      <c r="B10" s="489" t="s">
        <v>365</v>
      </c>
      <c r="C10" s="318">
        <v>50</v>
      </c>
      <c r="D10" s="38" t="s">
        <v>215</v>
      </c>
      <c r="E10" s="38">
        <v>8</v>
      </c>
      <c r="F10" s="40"/>
      <c r="G10" s="318" t="s">
        <v>312</v>
      </c>
      <c r="H10" s="106"/>
    </row>
    <row r="11" spans="1:9">
      <c r="A11" s="67" t="s">
        <v>17</v>
      </c>
      <c r="B11" s="489" t="s">
        <v>366</v>
      </c>
      <c r="C11" s="318">
        <v>30</v>
      </c>
      <c r="D11" s="38" t="s">
        <v>215</v>
      </c>
      <c r="E11" s="38">
        <v>9</v>
      </c>
      <c r="F11" s="40"/>
      <c r="G11" s="318" t="s">
        <v>312</v>
      </c>
      <c r="H11" s="106"/>
    </row>
    <row r="12" spans="1:9">
      <c r="A12" s="67" t="s">
        <v>18</v>
      </c>
      <c r="B12" s="473" t="s">
        <v>367</v>
      </c>
      <c r="C12" s="320">
        <v>0</v>
      </c>
      <c r="D12" s="38" t="s">
        <v>215</v>
      </c>
      <c r="E12" s="38">
        <v>10</v>
      </c>
      <c r="F12" s="40"/>
      <c r="G12" s="318" t="s">
        <v>312</v>
      </c>
      <c r="H12" s="106"/>
      <c r="I12" s="284"/>
    </row>
    <row r="13" spans="1:9">
      <c r="A13" s="67" t="s">
        <v>19</v>
      </c>
      <c r="B13" s="489" t="s">
        <v>368</v>
      </c>
      <c r="C13" s="320">
        <v>100</v>
      </c>
      <c r="D13" s="38" t="s">
        <v>215</v>
      </c>
      <c r="E13" s="38">
        <v>11</v>
      </c>
      <c r="F13" s="40"/>
      <c r="G13" s="318" t="s">
        <v>312</v>
      </c>
      <c r="H13" s="106"/>
      <c r="I13" s="284" t="s">
        <v>377</v>
      </c>
    </row>
    <row r="14" spans="1:9">
      <c r="A14" s="67" t="s">
        <v>20</v>
      </c>
      <c r="B14" s="489" t="s">
        <v>369</v>
      </c>
      <c r="C14" s="318">
        <v>90</v>
      </c>
      <c r="D14" s="38" t="s">
        <v>215</v>
      </c>
      <c r="E14" s="38">
        <v>12</v>
      </c>
      <c r="F14" s="40" t="s">
        <v>312</v>
      </c>
      <c r="G14" s="318"/>
      <c r="H14" s="106"/>
    </row>
    <row r="15" spans="1:9">
      <c r="A15" s="67" t="s">
        <v>21</v>
      </c>
      <c r="B15" s="489" t="s">
        <v>370</v>
      </c>
      <c r="C15" s="318">
        <v>50</v>
      </c>
      <c r="D15" s="38" t="s">
        <v>215</v>
      </c>
      <c r="E15" s="38">
        <v>13</v>
      </c>
      <c r="F15" s="40" t="s">
        <v>312</v>
      </c>
      <c r="G15" s="318"/>
      <c r="H15" s="106"/>
    </row>
    <row r="16" spans="1:9">
      <c r="A16" s="67" t="s">
        <v>22</v>
      </c>
      <c r="B16" s="489" t="s">
        <v>371</v>
      </c>
      <c r="C16" s="318">
        <v>80</v>
      </c>
      <c r="D16" s="38" t="s">
        <v>215</v>
      </c>
      <c r="E16" s="38">
        <v>14</v>
      </c>
      <c r="F16" s="40" t="s">
        <v>312</v>
      </c>
      <c r="G16" s="318"/>
      <c r="H16" s="106"/>
    </row>
    <row r="17" spans="1:9" s="129" customFormat="1">
      <c r="A17" s="67" t="s">
        <v>208</v>
      </c>
      <c r="B17" s="490" t="s">
        <v>372</v>
      </c>
      <c r="C17" s="328">
        <v>100</v>
      </c>
      <c r="D17" s="90" t="s">
        <v>217</v>
      </c>
      <c r="E17" s="38">
        <v>15</v>
      </c>
      <c r="F17" s="324"/>
      <c r="G17" s="328" t="s">
        <v>312</v>
      </c>
      <c r="H17" s="282"/>
      <c r="I17" s="325" t="s">
        <v>378</v>
      </c>
    </row>
    <row r="18" spans="1:9" s="129" customFormat="1">
      <c r="A18" s="67" t="s">
        <v>23</v>
      </c>
      <c r="B18" s="490" t="s">
        <v>373</v>
      </c>
      <c r="C18" s="328">
        <v>100</v>
      </c>
      <c r="D18" s="90" t="s">
        <v>217</v>
      </c>
      <c r="E18" s="38">
        <v>16</v>
      </c>
      <c r="F18" s="324"/>
      <c r="G18" s="328" t="s">
        <v>312</v>
      </c>
      <c r="H18" s="282"/>
      <c r="I18" s="325" t="s">
        <v>379</v>
      </c>
    </row>
    <row r="19" spans="1:9" s="129" customFormat="1">
      <c r="A19" s="67" t="s">
        <v>24</v>
      </c>
      <c r="B19" s="490" t="s">
        <v>374</v>
      </c>
      <c r="C19" s="328">
        <v>100</v>
      </c>
      <c r="D19" s="90" t="s">
        <v>217</v>
      </c>
      <c r="E19" s="38">
        <v>17</v>
      </c>
      <c r="F19" s="324"/>
      <c r="G19" s="328" t="s">
        <v>312</v>
      </c>
      <c r="H19" s="282"/>
      <c r="I19" s="325" t="s">
        <v>379</v>
      </c>
    </row>
    <row r="20" spans="1:9" s="129" customFormat="1">
      <c r="A20" s="491" t="s">
        <v>502</v>
      </c>
      <c r="B20" s="492" t="s">
        <v>501</v>
      </c>
      <c r="C20" s="224">
        <v>20</v>
      </c>
      <c r="D20" s="488" t="s">
        <v>498</v>
      </c>
      <c r="E20" s="485">
        <v>18</v>
      </c>
      <c r="F20" s="487" t="s">
        <v>312</v>
      </c>
      <c r="G20" s="224" t="s">
        <v>312</v>
      </c>
      <c r="H20" s="488"/>
    </row>
    <row r="21" spans="1:9" s="318" customFormat="1">
      <c r="I21" s="326"/>
    </row>
    <row r="22" spans="1:9" s="318" customFormat="1">
      <c r="B22" s="327"/>
      <c r="F22" s="320"/>
      <c r="I22" s="326"/>
    </row>
    <row r="24" spans="1:9">
      <c r="B24" s="12" t="s">
        <v>25</v>
      </c>
      <c r="D24" s="12" t="s">
        <v>26</v>
      </c>
      <c r="E24" s="12"/>
    </row>
    <row r="25" spans="1:9" ht="13">
      <c r="D25" s="12" t="s">
        <v>27</v>
      </c>
      <c r="E25" s="12"/>
      <c r="F25" s="31" t="s">
        <v>28</v>
      </c>
    </row>
    <row r="26" spans="1:9">
      <c r="D26" s="12"/>
      <c r="E26" s="12"/>
    </row>
  </sheetData>
  <sortState xmlns:xlrd2="http://schemas.microsoft.com/office/spreadsheetml/2017/richdata2" ref="A3:F20">
    <sortCondition ref="E3:E20"/>
  </sortState>
  <mergeCells count="1">
    <mergeCell ref="F1:H1"/>
  </mergeCells>
  <phoneticPr fontId="21" type="noConversion"/>
  <conditionalFormatting sqref="D3:D18">
    <cfRule type="expression" dxfId="408" priority="5" stopIfTrue="1">
      <formula>D$3="So"</formula>
    </cfRule>
    <cfRule type="expression" dxfId="407" priority="6">
      <formula>D$3="Sa"</formula>
    </cfRule>
  </conditionalFormatting>
  <conditionalFormatting sqref="D19">
    <cfRule type="expression" dxfId="406" priority="3" stopIfTrue="1">
      <formula>D$3="So"</formula>
    </cfRule>
    <cfRule type="expression" dxfId="405" priority="4">
      <formula>D$3="Sa"</formula>
    </cfRule>
  </conditionalFormatting>
  <conditionalFormatting sqref="D20">
    <cfRule type="expression" dxfId="404" priority="1" stopIfTrue="1">
      <formula>D$3="So"</formula>
    </cfRule>
    <cfRule type="expression" dxfId="403" priority="2">
      <formula>D$3="Sa"</formula>
    </cfRule>
  </conditionalFormatting>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7391B-0CC6-C94E-BCFC-9E618C4C5A4D}">
  <sheetPr codeName="Tabelle2"/>
  <dimension ref="A1:M44"/>
  <sheetViews>
    <sheetView zoomScaleNormal="100" workbookViewId="0">
      <selection activeCell="B24" sqref="B24"/>
    </sheetView>
  </sheetViews>
  <sheetFormatPr baseColWidth="10" defaultColWidth="11.453125" defaultRowHeight="12.5"/>
  <cols>
    <col min="1" max="1" width="11.08984375" bestFit="1" customWidth="1"/>
    <col min="2" max="2" width="35.453125" bestFit="1" customWidth="1"/>
    <col min="3" max="3" width="18.6328125" customWidth="1"/>
    <col min="4" max="5" width="14.453125" customWidth="1"/>
    <col min="6" max="6" width="17.36328125" customWidth="1"/>
    <col min="7" max="7" width="28.90625" bestFit="1" customWidth="1"/>
    <col min="8" max="8" width="14.7265625" bestFit="1" customWidth="1"/>
  </cols>
  <sheetData>
    <row r="1" spans="1:13" ht="13">
      <c r="A1" s="13" t="s">
        <v>29</v>
      </c>
      <c r="B1" s="32"/>
      <c r="C1" s="32"/>
      <c r="D1" s="32"/>
      <c r="E1" s="32"/>
      <c r="F1" s="33"/>
      <c r="G1" s="17" t="s">
        <v>219</v>
      </c>
      <c r="M1" s="30"/>
    </row>
    <row r="2" spans="1:13" ht="13.5" thickBot="1">
      <c r="A2" s="13" t="s">
        <v>0</v>
      </c>
      <c r="B2" s="32" t="s">
        <v>1</v>
      </c>
      <c r="C2" s="32" t="s">
        <v>30</v>
      </c>
      <c r="D2" s="32" t="s">
        <v>31</v>
      </c>
      <c r="E2" s="32" t="s">
        <v>32</v>
      </c>
      <c r="F2" s="33" t="s">
        <v>33</v>
      </c>
      <c r="G2" s="17" t="s">
        <v>220</v>
      </c>
      <c r="H2" s="110" t="s">
        <v>69</v>
      </c>
      <c r="M2" s="30"/>
    </row>
    <row r="3" spans="1:13" ht="13">
      <c r="A3" s="364" t="s">
        <v>221</v>
      </c>
      <c r="B3" s="365" t="s">
        <v>222</v>
      </c>
      <c r="C3" s="366">
        <v>0.33333333333333331</v>
      </c>
      <c r="D3" s="366">
        <v>0.33333333333333331</v>
      </c>
      <c r="E3" s="366">
        <v>0.29166666666666669</v>
      </c>
      <c r="F3" s="366">
        <v>0.29166666666666669</v>
      </c>
      <c r="G3" s="365"/>
      <c r="H3" s="367"/>
      <c r="M3" s="30"/>
    </row>
    <row r="4" spans="1:13" ht="13">
      <c r="A4" s="368" t="s">
        <v>424</v>
      </c>
      <c r="B4" s="319" t="s">
        <v>426</v>
      </c>
      <c r="C4" s="322">
        <v>0.33333333333333331</v>
      </c>
      <c r="D4" s="322">
        <v>0.16666666666666666</v>
      </c>
      <c r="E4" s="322">
        <v>0.16666666666666666</v>
      </c>
      <c r="F4" s="322">
        <v>0.29166666666666669</v>
      </c>
      <c r="G4" s="319"/>
      <c r="H4" s="369" t="s">
        <v>223</v>
      </c>
      <c r="M4" s="30"/>
    </row>
    <row r="5" spans="1:13">
      <c r="A5" s="370" t="s">
        <v>428</v>
      </c>
      <c r="B5" s="116" t="s">
        <v>427</v>
      </c>
      <c r="C5" s="117">
        <v>0.54166666666666663</v>
      </c>
      <c r="D5" s="118">
        <v>0.125</v>
      </c>
      <c r="E5" s="118">
        <v>0.125</v>
      </c>
      <c r="F5" s="118">
        <v>0.29166666666666669</v>
      </c>
      <c r="G5" s="116"/>
      <c r="H5" s="371"/>
    </row>
    <row r="6" spans="1:13">
      <c r="A6" s="372" t="s">
        <v>204</v>
      </c>
      <c r="B6" s="313" t="s">
        <v>224</v>
      </c>
      <c r="C6" s="315">
        <v>0.29166666666666669</v>
      </c>
      <c r="D6" s="315">
        <v>0.38125000000000003</v>
      </c>
      <c r="E6" s="315">
        <v>0.35000000000000003</v>
      </c>
      <c r="F6" s="315">
        <v>0.29166666666666669</v>
      </c>
      <c r="G6" s="313"/>
      <c r="H6" s="369"/>
    </row>
    <row r="7" spans="1:13" ht="13">
      <c r="A7" s="373" t="s">
        <v>225</v>
      </c>
      <c r="B7" s="314" t="s">
        <v>226</v>
      </c>
      <c r="C7" s="316">
        <v>0.3125</v>
      </c>
      <c r="D7" s="316">
        <v>0.47500000000000003</v>
      </c>
      <c r="E7" s="316">
        <v>0.35000000000000003</v>
      </c>
      <c r="F7" s="315">
        <v>0.29166666666666669</v>
      </c>
      <c r="G7" s="314" t="s">
        <v>227</v>
      </c>
      <c r="H7" s="369"/>
      <c r="M7" s="30"/>
    </row>
    <row r="8" spans="1:13" ht="13">
      <c r="A8" s="368" t="s">
        <v>425</v>
      </c>
      <c r="B8" s="319" t="s">
        <v>228</v>
      </c>
      <c r="C8" s="322">
        <v>0.3125</v>
      </c>
      <c r="D8" s="322">
        <v>0.22916666666666666</v>
      </c>
      <c r="E8" s="322">
        <v>0.22916666666666666</v>
      </c>
      <c r="F8" s="322">
        <v>0.29166666666666669</v>
      </c>
      <c r="G8" s="319"/>
      <c r="H8" s="369" t="s">
        <v>223</v>
      </c>
      <c r="M8" s="30"/>
    </row>
    <row r="9" spans="1:13" ht="13">
      <c r="A9" s="374" t="s">
        <v>433</v>
      </c>
      <c r="B9" s="319" t="s">
        <v>229</v>
      </c>
      <c r="C9" s="322">
        <v>0.66666666666666663</v>
      </c>
      <c r="D9" s="322">
        <v>0.12083333333333333</v>
      </c>
      <c r="E9" s="322">
        <v>0.12083333333333333</v>
      </c>
      <c r="F9" s="322">
        <v>0.29166666666666669</v>
      </c>
      <c r="G9" s="319"/>
      <c r="H9" s="369" t="s">
        <v>223</v>
      </c>
      <c r="M9" s="30"/>
    </row>
    <row r="10" spans="1:13" ht="13">
      <c r="A10" s="373" t="s">
        <v>230</v>
      </c>
      <c r="B10" s="314" t="s">
        <v>231</v>
      </c>
      <c r="C10" s="316">
        <v>0.3125</v>
      </c>
      <c r="D10" s="316">
        <v>0.54166666666666663</v>
      </c>
      <c r="E10" s="316">
        <v>0.34375</v>
      </c>
      <c r="F10" s="316">
        <v>0.29166666666666669</v>
      </c>
      <c r="G10" s="314" t="s">
        <v>232</v>
      </c>
      <c r="H10" s="369"/>
      <c r="M10" s="30"/>
    </row>
    <row r="11" spans="1:13">
      <c r="A11" s="374" t="s">
        <v>436</v>
      </c>
      <c r="B11" s="319" t="s">
        <v>233</v>
      </c>
      <c r="C11" s="322">
        <v>0.3125</v>
      </c>
      <c r="D11" s="322">
        <v>0.15625</v>
      </c>
      <c r="E11" s="322">
        <v>0.15625</v>
      </c>
      <c r="F11" s="322">
        <v>0.29166666666666669</v>
      </c>
      <c r="G11" s="319"/>
      <c r="H11" s="369" t="s">
        <v>223</v>
      </c>
    </row>
    <row r="12" spans="1:13" ht="13">
      <c r="A12" s="374" t="s">
        <v>437</v>
      </c>
      <c r="B12" s="319" t="s">
        <v>234</v>
      </c>
      <c r="C12" s="322">
        <v>0.66666666666666663</v>
      </c>
      <c r="D12" s="322">
        <v>0.1875</v>
      </c>
      <c r="E12" s="322">
        <v>0.1875</v>
      </c>
      <c r="F12" s="322">
        <v>0.29166666666666669</v>
      </c>
      <c r="G12" s="319"/>
      <c r="H12" s="369" t="s">
        <v>223</v>
      </c>
      <c r="M12" s="30"/>
    </row>
    <row r="13" spans="1:13" ht="13">
      <c r="A13" s="373" t="s">
        <v>235</v>
      </c>
      <c r="B13" s="314" t="s">
        <v>236</v>
      </c>
      <c r="C13" s="316">
        <v>0.29166666666666669</v>
      </c>
      <c r="D13" s="316">
        <v>0.25</v>
      </c>
      <c r="E13" s="316">
        <v>0.25</v>
      </c>
      <c r="F13" s="316">
        <v>0.29166666666666669</v>
      </c>
      <c r="G13" s="314"/>
      <c r="H13" s="369"/>
      <c r="M13" s="30"/>
    </row>
    <row r="14" spans="1:13" ht="13">
      <c r="A14" s="375" t="s">
        <v>237</v>
      </c>
      <c r="B14" s="323" t="s">
        <v>238</v>
      </c>
      <c r="C14" s="118">
        <v>0.47916666666666669</v>
      </c>
      <c r="D14" s="118">
        <v>0.375</v>
      </c>
      <c r="E14" s="118">
        <v>0.34375</v>
      </c>
      <c r="F14" s="118">
        <v>0.29166666666666669</v>
      </c>
      <c r="G14" s="323"/>
      <c r="H14" s="371"/>
      <c r="M14" s="30"/>
    </row>
    <row r="15" spans="1:13">
      <c r="A15" s="373" t="s">
        <v>239</v>
      </c>
      <c r="B15" s="314" t="s">
        <v>240</v>
      </c>
      <c r="C15" s="316">
        <v>0.3125</v>
      </c>
      <c r="D15" s="316">
        <v>0.46875</v>
      </c>
      <c r="E15" s="316">
        <v>0.34375</v>
      </c>
      <c r="F15" s="315">
        <v>0.29166666666666669</v>
      </c>
      <c r="G15" s="314" t="s">
        <v>241</v>
      </c>
      <c r="H15" s="369"/>
    </row>
    <row r="16" spans="1:13" ht="13">
      <c r="A16" s="373" t="s">
        <v>242</v>
      </c>
      <c r="B16" s="314" t="s">
        <v>243</v>
      </c>
      <c r="C16" s="316">
        <v>0.3125</v>
      </c>
      <c r="D16" s="322">
        <v>0.29166666666666669</v>
      </c>
      <c r="E16" s="316">
        <v>0.23958333333333334</v>
      </c>
      <c r="F16" s="316">
        <v>0.29166666666666669</v>
      </c>
      <c r="G16" s="314"/>
      <c r="H16" s="369"/>
      <c r="M16" s="30"/>
    </row>
    <row r="17" spans="1:13" ht="13">
      <c r="A17" s="373" t="s">
        <v>244</v>
      </c>
      <c r="B17" s="313" t="s">
        <v>245</v>
      </c>
      <c r="C17" s="315">
        <v>0.3125</v>
      </c>
      <c r="D17" s="315">
        <v>0.35416666666666669</v>
      </c>
      <c r="E17" s="315">
        <v>0.32291666666666669</v>
      </c>
      <c r="F17" s="315">
        <v>0.29166666666666669</v>
      </c>
      <c r="G17" s="313"/>
      <c r="H17" s="369"/>
      <c r="M17" s="30"/>
    </row>
    <row r="18" spans="1:13" ht="13">
      <c r="A18" s="372" t="s">
        <v>246</v>
      </c>
      <c r="B18" s="313" t="s">
        <v>247</v>
      </c>
      <c r="C18" s="315">
        <v>0.42708333333333331</v>
      </c>
      <c r="D18" s="315">
        <v>0.35416666666666669</v>
      </c>
      <c r="E18" s="315">
        <v>0.33333333333333331</v>
      </c>
      <c r="F18" s="315">
        <v>0.29166666666666669</v>
      </c>
      <c r="G18" s="313"/>
      <c r="H18" s="369"/>
      <c r="M18" s="30"/>
    </row>
    <row r="19" spans="1:13" ht="13">
      <c r="A19" s="372" t="s">
        <v>480</v>
      </c>
      <c r="B19" s="313" t="s">
        <v>469</v>
      </c>
      <c r="C19" s="315">
        <v>0.42708333333333331</v>
      </c>
      <c r="D19" s="315">
        <v>0.35416666666666669</v>
      </c>
      <c r="E19" s="315">
        <v>0.33333333333333331</v>
      </c>
      <c r="F19" s="315">
        <v>0.29166666666666669</v>
      </c>
      <c r="G19" s="313"/>
      <c r="H19" s="369"/>
      <c r="M19" s="30"/>
    </row>
    <row r="20" spans="1:13" ht="13">
      <c r="A20" s="372" t="s">
        <v>248</v>
      </c>
      <c r="B20" s="313" t="s">
        <v>249</v>
      </c>
      <c r="C20" s="322">
        <v>0.67708333333333337</v>
      </c>
      <c r="D20" s="322">
        <v>0.29166666666666669</v>
      </c>
      <c r="E20" s="315">
        <v>0.10416666666666667</v>
      </c>
      <c r="F20" s="315">
        <v>0.29166666666666669</v>
      </c>
      <c r="G20" s="313"/>
      <c r="H20" s="369"/>
      <c r="M20" s="30"/>
    </row>
    <row r="21" spans="1:13" ht="13">
      <c r="A21" s="372" t="s">
        <v>479</v>
      </c>
      <c r="B21" s="313" t="s">
        <v>478</v>
      </c>
      <c r="C21" s="439">
        <v>0.47916666666666669</v>
      </c>
      <c r="D21" s="439">
        <v>0.3125</v>
      </c>
      <c r="E21" s="440">
        <v>0.29166666666666669</v>
      </c>
      <c r="F21" s="439">
        <v>0.29166666666666669</v>
      </c>
      <c r="G21" s="313"/>
      <c r="H21" s="369"/>
      <c r="M21" s="30"/>
    </row>
    <row r="22" spans="1:13" ht="13">
      <c r="A22" s="372" t="s">
        <v>250</v>
      </c>
      <c r="B22" s="313" t="s">
        <v>251</v>
      </c>
      <c r="C22" s="315">
        <v>0.48958333333333331</v>
      </c>
      <c r="D22" s="315">
        <v>0.29166666666666669</v>
      </c>
      <c r="E22" s="315">
        <v>0.26041666666666669</v>
      </c>
      <c r="F22" s="315">
        <v>0.29166666666666669</v>
      </c>
      <c r="G22" s="313"/>
      <c r="H22" s="369"/>
      <c r="M22" s="30"/>
    </row>
    <row r="23" spans="1:13" ht="13">
      <c r="A23" s="376" t="s">
        <v>408</v>
      </c>
      <c r="B23" s="120" t="s">
        <v>432</v>
      </c>
      <c r="C23" s="121">
        <v>0.29166666666666669</v>
      </c>
      <c r="D23" s="121">
        <v>0.38125000000000003</v>
      </c>
      <c r="E23" s="121">
        <v>0.35000000000000003</v>
      </c>
      <c r="F23" s="112">
        <v>0.29166666666666669</v>
      </c>
      <c r="G23" s="120"/>
      <c r="H23" s="377" t="s">
        <v>252</v>
      </c>
      <c r="M23" s="30"/>
    </row>
    <row r="24" spans="1:13" ht="13">
      <c r="A24" s="476" t="s">
        <v>482</v>
      </c>
      <c r="B24" s="314" t="s">
        <v>487</v>
      </c>
      <c r="C24" s="316">
        <v>0.3125</v>
      </c>
      <c r="D24" s="316">
        <v>0.54166666666666663</v>
      </c>
      <c r="E24" s="316">
        <v>0.34375</v>
      </c>
      <c r="F24" s="316">
        <v>0.29166666666666669</v>
      </c>
      <c r="G24" s="314" t="s">
        <v>232</v>
      </c>
      <c r="H24" s="378" t="s">
        <v>252</v>
      </c>
      <c r="M24" s="30"/>
    </row>
    <row r="25" spans="1:13" ht="13">
      <c r="A25" s="373" t="s">
        <v>416</v>
      </c>
      <c r="B25" s="314" t="s">
        <v>417</v>
      </c>
      <c r="C25" s="316">
        <v>0.29166666666666669</v>
      </c>
      <c r="D25" s="316">
        <v>0.38125000000000003</v>
      </c>
      <c r="E25" s="316">
        <v>0.35000000000000003</v>
      </c>
      <c r="F25" s="315">
        <v>0.29166666666666669</v>
      </c>
      <c r="G25" s="314"/>
      <c r="H25" s="378" t="s">
        <v>252</v>
      </c>
      <c r="M25" s="30"/>
    </row>
    <row r="26" spans="1:13" ht="13">
      <c r="A26" s="373" t="s">
        <v>418</v>
      </c>
      <c r="B26" s="314" t="s">
        <v>419</v>
      </c>
      <c r="C26" s="316">
        <v>0.29166666666666669</v>
      </c>
      <c r="D26" s="316">
        <v>0.38125000000000003</v>
      </c>
      <c r="E26" s="316">
        <v>0.35000000000000003</v>
      </c>
      <c r="F26" s="315">
        <v>0.29166666666666669</v>
      </c>
      <c r="G26" s="314"/>
      <c r="H26" s="378" t="s">
        <v>252</v>
      </c>
      <c r="M26" s="30"/>
    </row>
    <row r="27" spans="1:13">
      <c r="A27" s="372" t="s">
        <v>423</v>
      </c>
      <c r="B27" s="313" t="s">
        <v>423</v>
      </c>
      <c r="C27" s="316">
        <v>0.29166666666666669</v>
      </c>
      <c r="D27" s="316">
        <v>0.38125000000000003</v>
      </c>
      <c r="E27" s="316">
        <v>0.35000000000000003</v>
      </c>
      <c r="F27" s="315">
        <v>0.29166666666666669</v>
      </c>
      <c r="G27" s="313"/>
      <c r="H27" s="378" t="s">
        <v>252</v>
      </c>
    </row>
    <row r="28" spans="1:13">
      <c r="A28" s="372" t="s">
        <v>445</v>
      </c>
      <c r="B28" s="313" t="s">
        <v>449</v>
      </c>
      <c r="C28" s="321">
        <v>0.54166666666666663</v>
      </c>
      <c r="D28" s="321">
        <v>0.17500000000000002</v>
      </c>
      <c r="E28" s="321">
        <v>0.17500000000000002</v>
      </c>
      <c r="F28" s="321">
        <v>0.29166666666666669</v>
      </c>
      <c r="G28" s="318"/>
      <c r="H28" s="378" t="s">
        <v>252</v>
      </c>
    </row>
    <row r="29" spans="1:13">
      <c r="A29" s="372" t="s">
        <v>467</v>
      </c>
      <c r="B29" s="313" t="s">
        <v>468</v>
      </c>
      <c r="C29" s="316">
        <v>0.29166666666666669</v>
      </c>
      <c r="D29" s="316">
        <v>0.38125000000000003</v>
      </c>
      <c r="E29" s="316">
        <v>0.35000000000000003</v>
      </c>
      <c r="F29" s="315">
        <v>0.29166666666666669</v>
      </c>
      <c r="G29" s="313"/>
      <c r="H29" s="378" t="s">
        <v>252</v>
      </c>
    </row>
    <row r="30" spans="1:13" ht="13">
      <c r="A30" s="373" t="s">
        <v>410</v>
      </c>
      <c r="B30" s="314" t="s">
        <v>414</v>
      </c>
      <c r="C30" s="315">
        <v>0.33333333333333331</v>
      </c>
      <c r="D30" s="315">
        <v>0.33333333333333331</v>
      </c>
      <c r="E30" s="315">
        <v>0.29166666666666669</v>
      </c>
      <c r="F30" s="315">
        <v>0.29166666666666669</v>
      </c>
      <c r="G30" s="314"/>
      <c r="H30" s="378" t="s">
        <v>252</v>
      </c>
      <c r="M30" s="30"/>
    </row>
    <row r="31" spans="1:13" ht="13">
      <c r="A31" s="373" t="s">
        <v>413</v>
      </c>
      <c r="B31" s="314" t="s">
        <v>415</v>
      </c>
      <c r="C31" s="322">
        <v>0.3125</v>
      </c>
      <c r="D31" s="322">
        <v>0.47500000000000003</v>
      </c>
      <c r="E31" s="322">
        <v>0.35000000000000003</v>
      </c>
      <c r="F31" s="322">
        <v>0.29166666666666669</v>
      </c>
      <c r="G31" s="319" t="s">
        <v>241</v>
      </c>
      <c r="H31" s="378" t="s">
        <v>252</v>
      </c>
      <c r="M31" s="30"/>
    </row>
    <row r="32" spans="1:13" s="318" customFormat="1" ht="13">
      <c r="A32" s="220" t="s">
        <v>420</v>
      </c>
      <c r="B32" s="318" t="s">
        <v>421</v>
      </c>
      <c r="C32" s="316">
        <v>0.47916666666666669</v>
      </c>
      <c r="D32" s="316">
        <v>0.375</v>
      </c>
      <c r="E32" s="316">
        <v>0.34375</v>
      </c>
      <c r="F32" s="316">
        <v>0.29166666666666669</v>
      </c>
      <c r="H32" s="255" t="s">
        <v>252</v>
      </c>
      <c r="M32" s="363"/>
    </row>
    <row r="33" spans="1:13">
      <c r="A33" s="372" t="s">
        <v>411</v>
      </c>
      <c r="B33" s="313" t="s">
        <v>411</v>
      </c>
      <c r="C33" s="316">
        <v>0.29166666666666669</v>
      </c>
      <c r="D33" s="316">
        <v>0.38125000000000003</v>
      </c>
      <c r="E33" s="316">
        <v>0.35000000000000003</v>
      </c>
      <c r="F33" s="315">
        <v>0.29166666666666669</v>
      </c>
      <c r="G33" s="313"/>
      <c r="H33" s="378" t="s">
        <v>252</v>
      </c>
    </row>
    <row r="34" spans="1:13">
      <c r="A34" s="372" t="s">
        <v>447</v>
      </c>
      <c r="B34" s="313" t="s">
        <v>450</v>
      </c>
      <c r="C34" s="321">
        <v>0.29166666666666669</v>
      </c>
      <c r="D34" s="321">
        <v>0.17500000000000002</v>
      </c>
      <c r="E34" s="321">
        <v>0.17500000000000002</v>
      </c>
      <c r="F34" s="321">
        <v>0.41666666666666669</v>
      </c>
      <c r="G34" s="318"/>
      <c r="H34" s="378" t="s">
        <v>252</v>
      </c>
    </row>
    <row r="35" spans="1:13" ht="13">
      <c r="A35" s="373" t="s">
        <v>412</v>
      </c>
      <c r="B35" s="328" t="s">
        <v>422</v>
      </c>
      <c r="C35" s="321">
        <v>0.54166666666666663</v>
      </c>
      <c r="D35" s="321">
        <v>0.17500000000000002</v>
      </c>
      <c r="E35" s="321">
        <v>0.17500000000000002</v>
      </c>
      <c r="F35" s="321">
        <v>0.20833333333333334</v>
      </c>
      <c r="G35" s="318"/>
      <c r="H35" s="378" t="s">
        <v>252</v>
      </c>
      <c r="M35" s="30"/>
    </row>
    <row r="36" spans="1:13" ht="13">
      <c r="A36" s="379" t="s">
        <v>253</v>
      </c>
      <c r="B36" s="111" t="s">
        <v>254</v>
      </c>
      <c r="C36" s="112">
        <v>0.29166666666666669</v>
      </c>
      <c r="D36" s="112">
        <v>0.35416666666666669</v>
      </c>
      <c r="E36" s="112">
        <v>0.33333333333333331</v>
      </c>
      <c r="F36" s="112">
        <v>0.29166666666666669</v>
      </c>
      <c r="G36" s="111"/>
      <c r="H36" s="380"/>
      <c r="M36" s="30"/>
    </row>
    <row r="37" spans="1:13" ht="13">
      <c r="A37" s="372" t="s">
        <v>255</v>
      </c>
      <c r="B37" s="313" t="s">
        <v>256</v>
      </c>
      <c r="C37" s="315">
        <v>0.4375</v>
      </c>
      <c r="D37" s="315">
        <v>0.35416666666666669</v>
      </c>
      <c r="E37" s="315">
        <v>0.33333333333333331</v>
      </c>
      <c r="F37" s="315">
        <v>0.29166666666666669</v>
      </c>
      <c r="G37" s="313"/>
      <c r="H37" s="381"/>
      <c r="M37" s="30"/>
    </row>
    <row r="38" spans="1:13" ht="13">
      <c r="A38" s="372" t="s">
        <v>407</v>
      </c>
      <c r="B38" s="313" t="s">
        <v>409</v>
      </c>
      <c r="C38" s="316">
        <v>0.29166666666666669</v>
      </c>
      <c r="D38" s="316">
        <v>0.20833333333333334</v>
      </c>
      <c r="E38" s="316">
        <v>0.20833333333333334</v>
      </c>
      <c r="F38" s="316">
        <v>0.29166666666666669</v>
      </c>
      <c r="G38" s="313"/>
      <c r="H38" s="381" t="s">
        <v>252</v>
      </c>
      <c r="M38" s="30"/>
    </row>
    <row r="39" spans="1:13">
      <c r="A39" s="372" t="s">
        <v>257</v>
      </c>
      <c r="B39" s="313" t="s">
        <v>258</v>
      </c>
      <c r="C39" s="315">
        <v>0.29166666666666669</v>
      </c>
      <c r="D39" s="315">
        <v>0.35416666666666669</v>
      </c>
      <c r="E39" s="315">
        <v>0.33333333333333331</v>
      </c>
      <c r="F39" s="315">
        <v>0.29166666666666669</v>
      </c>
      <c r="G39" s="313"/>
      <c r="H39" s="378" t="s">
        <v>252</v>
      </c>
    </row>
    <row r="40" spans="1:13">
      <c r="A40" s="372" t="s">
        <v>448</v>
      </c>
      <c r="B40" s="313" t="s">
        <v>451</v>
      </c>
      <c r="C40" s="315">
        <v>0.54166666666666663</v>
      </c>
      <c r="D40" s="315">
        <v>0.16666666666666666</v>
      </c>
      <c r="E40" s="315">
        <v>0.16666666666666666</v>
      </c>
      <c r="F40" s="315">
        <v>0.29166666666666669</v>
      </c>
      <c r="G40" s="313"/>
      <c r="H40" s="378"/>
    </row>
    <row r="41" spans="1:13" ht="13">
      <c r="A41" s="382" t="s">
        <v>439</v>
      </c>
      <c r="B41" s="314" t="s">
        <v>441</v>
      </c>
      <c r="C41" s="315">
        <v>0.29166666666666669</v>
      </c>
      <c r="D41" s="315">
        <v>0.35416666666666669</v>
      </c>
      <c r="E41" s="315">
        <v>0.33333333333333331</v>
      </c>
      <c r="F41" s="315">
        <v>0.29166666666666669</v>
      </c>
      <c r="G41" s="313"/>
      <c r="H41" s="378" t="s">
        <v>252</v>
      </c>
      <c r="M41" s="30"/>
    </row>
    <row r="42" spans="1:13" ht="13.5" thickBot="1">
      <c r="A42" s="383" t="s">
        <v>440</v>
      </c>
      <c r="B42" s="384" t="s">
        <v>459</v>
      </c>
      <c r="C42" s="385">
        <v>0.29166666666666669</v>
      </c>
      <c r="D42" s="385">
        <v>0.35416666666666669</v>
      </c>
      <c r="E42" s="385">
        <v>0.33333333333333331</v>
      </c>
      <c r="F42" s="385">
        <v>0.29166666666666669</v>
      </c>
      <c r="G42" s="386"/>
      <c r="H42" s="387" t="s">
        <v>252</v>
      </c>
      <c r="M42" s="30"/>
    </row>
    <row r="43" spans="1:13" ht="13">
      <c r="M43" s="30"/>
    </row>
    <row r="44" spans="1:13" ht="13">
      <c r="M44" s="30"/>
    </row>
  </sheetData>
  <phoneticPr fontId="21" type="noConversion"/>
  <pageMargins left="0.7" right="0.7" top="0.78740157499999996" bottom="0.78740157499999996" header="0.3" footer="0.3"/>
  <pageSetup paperSize="9" orientation="portrait" horizontalDpi="200" verticalDpi="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C275D8-143E-5346-AAF3-2C0BDF8C71C4}">
  <sheetPr codeName="Tabelle4"/>
  <dimension ref="A1:K20"/>
  <sheetViews>
    <sheetView zoomScale="120" zoomScaleNormal="120" workbookViewId="0">
      <selection activeCell="A12" sqref="A12"/>
    </sheetView>
  </sheetViews>
  <sheetFormatPr baseColWidth="10" defaultColWidth="11.453125" defaultRowHeight="12.5"/>
  <cols>
    <col min="1" max="1" width="8.6328125" customWidth="1"/>
    <col min="2" max="2" width="13" customWidth="1"/>
    <col min="8" max="8" width="15.6328125" customWidth="1"/>
  </cols>
  <sheetData>
    <row r="1" spans="1:11" ht="13">
      <c r="A1" s="13" t="s">
        <v>37</v>
      </c>
      <c r="B1" s="32"/>
      <c r="C1" s="32"/>
      <c r="D1" s="32"/>
      <c r="E1" s="32"/>
      <c r="F1" s="33"/>
    </row>
    <row r="2" spans="1:11" ht="13">
      <c r="A2" s="34" t="s">
        <v>0</v>
      </c>
      <c r="B2" s="35" t="s">
        <v>1</v>
      </c>
      <c r="C2" s="35" t="s">
        <v>29</v>
      </c>
      <c r="D2" s="35"/>
      <c r="E2" s="35"/>
      <c r="F2" s="36"/>
    </row>
    <row r="3" spans="1:11">
      <c r="A3" s="128" t="s">
        <v>35</v>
      </c>
      <c r="B3" s="128" t="s">
        <v>36</v>
      </c>
      <c r="C3" s="129" t="s">
        <v>221</v>
      </c>
      <c r="D3" s="129" t="s">
        <v>424</v>
      </c>
      <c r="E3" s="129" t="s">
        <v>428</v>
      </c>
      <c r="F3" s="12"/>
      <c r="G3" s="129"/>
      <c r="H3" s="129"/>
      <c r="I3" s="129"/>
      <c r="J3" s="129"/>
      <c r="K3" s="129"/>
    </row>
    <row r="4" spans="1:11">
      <c r="A4" s="128" t="s">
        <v>205</v>
      </c>
      <c r="B4" s="128" t="s">
        <v>277</v>
      </c>
      <c r="C4" s="129" t="s">
        <v>204</v>
      </c>
      <c r="D4" s="129"/>
      <c r="E4" s="129"/>
      <c r="F4" s="129"/>
      <c r="G4" s="129"/>
      <c r="H4" s="129"/>
      <c r="I4" s="129"/>
      <c r="J4" s="129"/>
      <c r="K4" s="129"/>
    </row>
    <row r="5" spans="1:11">
      <c r="A5" s="128" t="s">
        <v>278</v>
      </c>
      <c r="B5" s="128" t="s">
        <v>279</v>
      </c>
      <c r="C5" s="129" t="s">
        <v>225</v>
      </c>
      <c r="D5" s="129" t="s">
        <v>230</v>
      </c>
      <c r="E5" s="12" t="s">
        <v>433</v>
      </c>
      <c r="F5" s="12" t="s">
        <v>437</v>
      </c>
      <c r="G5" s="129"/>
      <c r="H5" s="129"/>
      <c r="J5" s="129"/>
      <c r="K5" s="129"/>
    </row>
    <row r="6" spans="1:11">
      <c r="A6" s="128" t="s">
        <v>280</v>
      </c>
      <c r="B6" s="128" t="s">
        <v>281</v>
      </c>
      <c r="C6" s="129" t="s">
        <v>235</v>
      </c>
      <c r="D6" s="129"/>
      <c r="E6" s="129"/>
      <c r="F6" s="129"/>
      <c r="G6" s="129"/>
      <c r="H6" s="129"/>
      <c r="I6" s="129"/>
      <c r="J6" s="129"/>
      <c r="K6" s="129"/>
    </row>
    <row r="7" spans="1:11">
      <c r="A7" s="128" t="s">
        <v>34</v>
      </c>
      <c r="B7" s="128" t="s">
        <v>206</v>
      </c>
      <c r="C7" s="129" t="s">
        <v>237</v>
      </c>
      <c r="D7" s="129"/>
      <c r="E7" s="129"/>
      <c r="F7" s="129"/>
      <c r="G7" s="129"/>
      <c r="H7" s="129"/>
      <c r="I7" s="129"/>
      <c r="J7" s="129"/>
      <c r="K7" s="129"/>
    </row>
    <row r="8" spans="1:11">
      <c r="A8" s="128" t="s">
        <v>282</v>
      </c>
      <c r="B8" s="128" t="s">
        <v>283</v>
      </c>
      <c r="C8" s="129" t="s">
        <v>239</v>
      </c>
      <c r="D8" s="129" t="s">
        <v>242</v>
      </c>
      <c r="E8" s="129" t="s">
        <v>244</v>
      </c>
      <c r="F8" s="129" t="s">
        <v>246</v>
      </c>
      <c r="G8" s="129" t="s">
        <v>248</v>
      </c>
      <c r="H8" s="129" t="s">
        <v>250</v>
      </c>
      <c r="I8" s="129"/>
      <c r="J8" s="129"/>
      <c r="K8" s="129"/>
    </row>
    <row r="9" spans="1:11">
      <c r="A9" s="128" t="s">
        <v>284</v>
      </c>
      <c r="B9" s="128" t="s">
        <v>285</v>
      </c>
      <c r="C9" s="129" t="s">
        <v>204</v>
      </c>
      <c r="D9" s="129" t="s">
        <v>225</v>
      </c>
      <c r="E9" s="129" t="s">
        <v>230</v>
      </c>
      <c r="F9" s="129" t="s">
        <v>235</v>
      </c>
      <c r="G9" s="129" t="s">
        <v>237</v>
      </c>
      <c r="H9" s="12" t="s">
        <v>425</v>
      </c>
      <c r="I9" s="12" t="s">
        <v>433</v>
      </c>
      <c r="J9" s="12" t="s">
        <v>436</v>
      </c>
      <c r="K9" s="12" t="s">
        <v>437</v>
      </c>
    </row>
    <row r="10" spans="1:11">
      <c r="A10" s="128" t="s">
        <v>286</v>
      </c>
      <c r="B10" s="128" t="s">
        <v>287</v>
      </c>
      <c r="C10" s="129" t="s">
        <v>204</v>
      </c>
      <c r="D10" s="129" t="s">
        <v>225</v>
      </c>
      <c r="E10" s="129" t="s">
        <v>230</v>
      </c>
      <c r="F10" s="129" t="s">
        <v>235</v>
      </c>
      <c r="G10" s="129" t="s">
        <v>237</v>
      </c>
      <c r="H10" s="12" t="s">
        <v>425</v>
      </c>
      <c r="I10" s="12" t="s">
        <v>436</v>
      </c>
    </row>
    <row r="11" spans="1:11">
      <c r="A11" s="128" t="s">
        <v>288</v>
      </c>
      <c r="B11" s="128" t="s">
        <v>289</v>
      </c>
      <c r="C11" s="129" t="s">
        <v>230</v>
      </c>
      <c r="D11" s="129" t="s">
        <v>237</v>
      </c>
      <c r="E11" s="12" t="s">
        <v>437</v>
      </c>
      <c r="I11" s="129"/>
      <c r="J11" s="129"/>
      <c r="K11" s="129"/>
    </row>
    <row r="12" spans="1:11">
      <c r="A12" s="128" t="s">
        <v>290</v>
      </c>
      <c r="B12" s="128" t="s">
        <v>291</v>
      </c>
      <c r="C12" s="129" t="s">
        <v>204</v>
      </c>
      <c r="D12" s="129" t="s">
        <v>235</v>
      </c>
      <c r="E12" s="12"/>
      <c r="I12" s="129"/>
      <c r="J12" s="129"/>
      <c r="K12" s="129"/>
    </row>
    <row r="13" spans="1:11">
      <c r="A13" s="128" t="s">
        <v>292</v>
      </c>
      <c r="B13" s="128" t="s">
        <v>293</v>
      </c>
      <c r="C13" s="129" t="s">
        <v>225</v>
      </c>
      <c r="D13" s="129" t="s">
        <v>230</v>
      </c>
      <c r="E13" s="12" t="s">
        <v>237</v>
      </c>
      <c r="I13" s="129"/>
      <c r="J13" s="129"/>
      <c r="K13" s="129"/>
    </row>
    <row r="14" spans="1:11">
      <c r="A14" s="128" t="s">
        <v>294</v>
      </c>
      <c r="B14" s="129" t="s">
        <v>295</v>
      </c>
      <c r="C14" s="129" t="s">
        <v>230</v>
      </c>
      <c r="D14" s="129" t="s">
        <v>237</v>
      </c>
      <c r="E14" s="12" t="s">
        <v>437</v>
      </c>
      <c r="G14" s="129"/>
      <c r="H14" s="129"/>
      <c r="I14" s="129"/>
      <c r="J14" s="129"/>
      <c r="K14" s="129"/>
    </row>
    <row r="15" spans="1:11">
      <c r="A15" s="129" t="s">
        <v>296</v>
      </c>
      <c r="B15" s="129" t="s">
        <v>297</v>
      </c>
      <c r="C15" s="129" t="s">
        <v>204</v>
      </c>
      <c r="D15" s="129" t="s">
        <v>235</v>
      </c>
      <c r="E15" s="129"/>
      <c r="F15" s="129"/>
      <c r="G15" s="129"/>
      <c r="H15" s="129"/>
      <c r="I15" s="129"/>
      <c r="J15" s="129"/>
      <c r="K15" s="129"/>
    </row>
    <row r="16" spans="1:11">
      <c r="A16" s="128" t="s">
        <v>298</v>
      </c>
      <c r="B16" s="128" t="s">
        <v>299</v>
      </c>
      <c r="C16" s="129" t="s">
        <v>204</v>
      </c>
      <c r="D16" s="129" t="s">
        <v>225</v>
      </c>
      <c r="E16" s="129"/>
      <c r="F16" s="129"/>
      <c r="G16" s="129"/>
      <c r="H16" s="129"/>
      <c r="I16" s="129"/>
      <c r="J16" s="129"/>
      <c r="K16" s="129"/>
    </row>
    <row r="17" spans="1:6">
      <c r="A17" s="11" t="s">
        <v>300</v>
      </c>
      <c r="B17" s="11" t="s">
        <v>301</v>
      </c>
      <c r="C17" s="12" t="s">
        <v>425</v>
      </c>
      <c r="D17" s="12" t="s">
        <v>433</v>
      </c>
      <c r="E17" s="12" t="s">
        <v>436</v>
      </c>
      <c r="F17" s="12" t="s">
        <v>437</v>
      </c>
    </row>
    <row r="18" spans="1:6">
      <c r="A18" s="128" t="s">
        <v>302</v>
      </c>
      <c r="B18" t="s">
        <v>303</v>
      </c>
      <c r="C18" s="129" t="s">
        <v>253</v>
      </c>
      <c r="D18" s="129" t="s">
        <v>255</v>
      </c>
      <c r="E18" s="129" t="s">
        <v>407</v>
      </c>
    </row>
    <row r="19" spans="1:6">
      <c r="A19" s="128" t="s">
        <v>403</v>
      </c>
      <c r="B19" t="s">
        <v>404</v>
      </c>
      <c r="C19" s="129" t="s">
        <v>204</v>
      </c>
      <c r="D19" s="129" t="s">
        <v>225</v>
      </c>
      <c r="E19" s="129" t="s">
        <v>230</v>
      </c>
    </row>
    <row r="20" spans="1:6">
      <c r="A20" s="128"/>
      <c r="C20" s="129"/>
      <c r="D20" s="129"/>
      <c r="E20" s="129"/>
      <c r="F20" s="129"/>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7B0DAE-D38A-2046-8298-D27E79A5D7A2}">
  <sheetPr codeName="Tabelle5"/>
  <dimension ref="A1:Y52"/>
  <sheetViews>
    <sheetView tabSelected="1" zoomScale="90" zoomScaleNormal="90" workbookViewId="0">
      <pane xSplit="2" ySplit="3" topLeftCell="N4" activePane="bottomRight" state="frozen"/>
      <selection pane="topRight" activeCell="C1" sqref="C1"/>
      <selection pane="bottomLeft" activeCell="A4" sqref="A4"/>
      <selection pane="bottomRight" activeCell="S39" sqref="S39"/>
    </sheetView>
  </sheetViews>
  <sheetFormatPr baseColWidth="10" defaultColWidth="11.453125" defaultRowHeight="15" customHeight="1"/>
  <cols>
    <col min="1" max="1" width="12.1796875" bestFit="1" customWidth="1"/>
    <col min="2" max="2" width="27.6328125" bestFit="1" customWidth="1"/>
    <col min="3" max="3" width="33.54296875" customWidth="1"/>
    <col min="4" max="4" width="19.1796875" customWidth="1"/>
    <col min="5" max="5" width="19.453125" customWidth="1"/>
    <col min="6" max="6" width="23.1796875" customWidth="1"/>
    <col min="7" max="7" width="29.36328125" customWidth="1"/>
    <col min="8" max="8" width="32.1796875" customWidth="1"/>
    <col min="9" max="9" width="39.81640625" customWidth="1"/>
    <col min="10" max="10" width="38.1796875" customWidth="1"/>
    <col min="11" max="11" width="27" customWidth="1"/>
    <col min="12" max="12" width="19.453125" customWidth="1"/>
    <col min="13" max="13" width="19.6328125" customWidth="1"/>
    <col min="14" max="14" width="33" customWidth="1"/>
    <col min="15" max="15" width="18.453125" customWidth="1"/>
    <col min="16" max="16" width="16.36328125" customWidth="1"/>
    <col min="17" max="17" width="19.6328125" style="22" customWidth="1"/>
    <col min="18" max="18" width="25.6328125" customWidth="1"/>
    <col min="19" max="19" width="17.6328125" customWidth="1"/>
    <col min="20" max="20" width="26.453125" customWidth="1"/>
    <col min="21" max="21" width="23" customWidth="1"/>
    <col min="23" max="23" width="20.36328125" customWidth="1"/>
    <col min="24" max="24" width="22.1796875" customWidth="1"/>
  </cols>
  <sheetData>
    <row r="1" spans="1:25" ht="15" customHeight="1">
      <c r="A1" s="13"/>
      <c r="B1" s="14"/>
      <c r="C1" s="581" t="s">
        <v>38</v>
      </c>
      <c r="D1" s="582"/>
      <c r="E1" s="582"/>
      <c r="F1" s="73" t="s">
        <v>176</v>
      </c>
      <c r="G1" s="584" t="s">
        <v>175</v>
      </c>
      <c r="H1" s="585"/>
      <c r="I1" s="27" t="s">
        <v>39</v>
      </c>
      <c r="J1" s="581" t="s">
        <v>40</v>
      </c>
      <c r="K1" s="582"/>
      <c r="L1" s="582"/>
      <c r="M1" s="582"/>
      <c r="N1" s="582"/>
      <c r="O1" s="27" t="s">
        <v>41</v>
      </c>
      <c r="P1" s="77"/>
      <c r="Q1" s="45" t="s">
        <v>42</v>
      </c>
      <c r="R1" s="39"/>
      <c r="S1" s="44"/>
      <c r="T1" s="581" t="s">
        <v>43</v>
      </c>
      <c r="U1" s="583"/>
      <c r="X1" s="54"/>
    </row>
    <row r="2" spans="1:25" ht="15" customHeight="1">
      <c r="A2" s="16"/>
      <c r="B2" s="17"/>
      <c r="C2" s="23" t="s">
        <v>44</v>
      </c>
      <c r="D2" s="24" t="s">
        <v>45</v>
      </c>
      <c r="E2" s="24" t="s">
        <v>46</v>
      </c>
      <c r="F2" s="74" t="s">
        <v>47</v>
      </c>
      <c r="G2" s="24" t="s">
        <v>48</v>
      </c>
      <c r="H2" s="25" t="s">
        <v>49</v>
      </c>
      <c r="I2" s="23" t="s">
        <v>50</v>
      </c>
      <c r="J2" s="23" t="s">
        <v>51</v>
      </c>
      <c r="K2" s="24" t="s">
        <v>52</v>
      </c>
      <c r="L2" s="24" t="s">
        <v>53</v>
      </c>
      <c r="M2" s="24" t="s">
        <v>54</v>
      </c>
      <c r="N2" s="24" t="s">
        <v>163</v>
      </c>
      <c r="O2" s="81" t="s">
        <v>184</v>
      </c>
      <c r="P2" s="24" t="s">
        <v>55</v>
      </c>
      <c r="Q2" s="24" t="s">
        <v>56</v>
      </c>
      <c r="R2" s="24" t="s">
        <v>178</v>
      </c>
      <c r="S2" s="25" t="s">
        <v>57</v>
      </c>
      <c r="T2" s="81" t="s">
        <v>540</v>
      </c>
      <c r="U2" s="25" t="s">
        <v>58</v>
      </c>
      <c r="X2" s="55" t="s">
        <v>59</v>
      </c>
    </row>
    <row r="3" spans="1:25" ht="15" customHeight="1">
      <c r="A3" s="16" t="s">
        <v>60</v>
      </c>
      <c r="B3" s="21" t="s">
        <v>61</v>
      </c>
      <c r="C3" s="26" t="s">
        <v>62</v>
      </c>
      <c r="D3" s="8" t="s">
        <v>63</v>
      </c>
      <c r="E3" s="8" t="s">
        <v>64</v>
      </c>
      <c r="F3" s="38" t="s">
        <v>62</v>
      </c>
      <c r="G3" s="8" t="s">
        <v>65</v>
      </c>
      <c r="H3" s="2" t="s">
        <v>66</v>
      </c>
      <c r="I3" s="26" t="s">
        <v>64</v>
      </c>
      <c r="J3" s="26" t="s">
        <v>106</v>
      </c>
      <c r="K3" s="8" t="s">
        <v>64</v>
      </c>
      <c r="L3" s="8" t="s">
        <v>64</v>
      </c>
      <c r="M3" s="8" t="s">
        <v>64</v>
      </c>
      <c r="N3" s="8" t="s">
        <v>66</v>
      </c>
      <c r="O3" s="26" t="s">
        <v>65</v>
      </c>
      <c r="P3" s="8" t="s">
        <v>68</v>
      </c>
      <c r="Q3" s="8" t="s">
        <v>63</v>
      </c>
      <c r="R3" s="8" t="s">
        <v>68</v>
      </c>
      <c r="S3" s="2" t="s">
        <v>68</v>
      </c>
      <c r="T3" s="2" t="s">
        <v>68</v>
      </c>
      <c r="U3" s="2" t="s">
        <v>65</v>
      </c>
      <c r="W3" t="s">
        <v>69</v>
      </c>
      <c r="X3" s="55" t="s">
        <v>70</v>
      </c>
      <c r="Y3" t="s">
        <v>167</v>
      </c>
    </row>
    <row r="4" spans="1:25" ht="15" customHeight="1">
      <c r="A4" s="16" t="s">
        <v>0</v>
      </c>
      <c r="B4" s="17" t="s">
        <v>71</v>
      </c>
      <c r="C4" s="493" t="s">
        <v>72</v>
      </c>
      <c r="D4" s="493" t="s">
        <v>72</v>
      </c>
      <c r="E4" s="493" t="s">
        <v>73</v>
      </c>
      <c r="F4" s="494" t="s">
        <v>74</v>
      </c>
      <c r="G4" s="495" t="s">
        <v>73</v>
      </c>
      <c r="H4" s="496" t="s">
        <v>75</v>
      </c>
      <c r="I4" s="289" t="s">
        <v>389</v>
      </c>
      <c r="J4" s="438" t="s">
        <v>395</v>
      </c>
      <c r="K4" s="497" t="s">
        <v>470</v>
      </c>
      <c r="L4" s="497" t="s">
        <v>398</v>
      </c>
      <c r="M4" s="498"/>
      <c r="N4" s="498" t="s">
        <v>466</v>
      </c>
      <c r="O4" s="438"/>
      <c r="P4" s="498"/>
      <c r="Q4" s="498" t="s">
        <v>76</v>
      </c>
      <c r="R4" s="498"/>
      <c r="S4" s="499"/>
      <c r="T4" s="438" t="s">
        <v>542</v>
      </c>
      <c r="U4" s="500" t="s">
        <v>77</v>
      </c>
      <c r="V4" s="484"/>
      <c r="W4" s="6"/>
      <c r="X4" s="54" t="s">
        <v>78</v>
      </c>
      <c r="Y4" s="501" t="s">
        <v>62</v>
      </c>
    </row>
    <row r="5" spans="1:25" s="6" customFormat="1" ht="15" customHeight="1">
      <c r="A5" s="286" t="s">
        <v>9</v>
      </c>
      <c r="B5" s="279" t="s">
        <v>358</v>
      </c>
      <c r="C5" s="438" t="s">
        <v>380</v>
      </c>
      <c r="D5" s="502"/>
      <c r="E5" s="502"/>
      <c r="F5" s="438" t="s">
        <v>456</v>
      </c>
      <c r="G5" s="438" t="s">
        <v>434</v>
      </c>
      <c r="H5" s="503" t="s">
        <v>284</v>
      </c>
      <c r="I5" s="290" t="s">
        <v>406</v>
      </c>
      <c r="J5" s="498" t="s">
        <v>405</v>
      </c>
      <c r="K5" s="504"/>
      <c r="L5" s="497"/>
      <c r="M5" s="505"/>
      <c r="N5" s="499"/>
      <c r="O5" s="506"/>
      <c r="P5" s="507"/>
      <c r="Q5" s="508"/>
      <c r="R5" s="507"/>
      <c r="S5" s="509"/>
      <c r="T5" s="289" t="s">
        <v>541</v>
      </c>
      <c r="U5" s="503"/>
      <c r="W5" s="510"/>
      <c r="X5" s="54" t="s">
        <v>78</v>
      </c>
      <c r="Y5" s="455">
        <v>1</v>
      </c>
    </row>
    <row r="6" spans="1:25" s="318" customFormat="1" ht="15" customHeight="1">
      <c r="A6" s="285" t="s">
        <v>10</v>
      </c>
      <c r="B6" s="489" t="s">
        <v>359</v>
      </c>
      <c r="C6" s="93"/>
      <c r="D6" s="511"/>
      <c r="E6" s="511"/>
      <c r="F6" s="93" t="s">
        <v>302</v>
      </c>
      <c r="G6" s="93" t="s">
        <v>290</v>
      </c>
      <c r="H6" s="79" t="s">
        <v>278</v>
      </c>
      <c r="I6" s="291" t="s">
        <v>463</v>
      </c>
      <c r="J6" s="512" t="s">
        <v>210</v>
      </c>
      <c r="K6" s="513"/>
      <c r="L6" s="512" t="s">
        <v>399</v>
      </c>
      <c r="M6" s="514"/>
      <c r="N6" s="293" t="s">
        <v>460</v>
      </c>
      <c r="O6" s="297"/>
      <c r="P6" s="515"/>
      <c r="Q6" s="516"/>
      <c r="R6" s="517"/>
      <c r="S6" s="518"/>
      <c r="T6" s="88" t="s">
        <v>542</v>
      </c>
      <c r="U6" s="87"/>
      <c r="W6" s="519"/>
      <c r="X6" s="55" t="s">
        <v>78</v>
      </c>
      <c r="Y6" s="458">
        <v>2</v>
      </c>
    </row>
    <row r="7" spans="1:25" s="318" customFormat="1" ht="15" customHeight="1">
      <c r="A7" s="285" t="s">
        <v>11</v>
      </c>
      <c r="B7" s="489" t="s">
        <v>360</v>
      </c>
      <c r="C7" s="72" t="s">
        <v>81</v>
      </c>
      <c r="D7" s="520"/>
      <c r="E7" s="520"/>
      <c r="F7" s="93" t="s">
        <v>302</v>
      </c>
      <c r="G7" s="72"/>
      <c r="H7" s="79" t="s">
        <v>237</v>
      </c>
      <c r="I7" s="291" t="s">
        <v>465</v>
      </c>
      <c r="J7" s="327" t="s">
        <v>444</v>
      </c>
      <c r="K7" s="513"/>
      <c r="L7" s="327"/>
      <c r="M7" s="514"/>
      <c r="N7" s="294"/>
      <c r="O7" s="297"/>
      <c r="P7" s="515"/>
      <c r="Q7" s="516"/>
      <c r="R7" s="517"/>
      <c r="S7" s="518"/>
      <c r="T7" s="88" t="s">
        <v>542</v>
      </c>
      <c r="U7" s="87"/>
      <c r="W7" s="519"/>
      <c r="X7" s="55" t="s">
        <v>78</v>
      </c>
      <c r="Y7" s="458">
        <v>3</v>
      </c>
    </row>
    <row r="8" spans="1:25" s="318" customFormat="1" ht="15" customHeight="1">
      <c r="A8" s="285" t="s">
        <v>12</v>
      </c>
      <c r="B8" s="489" t="s">
        <v>361</v>
      </c>
      <c r="C8" s="93"/>
      <c r="D8" s="511"/>
      <c r="E8" s="511"/>
      <c r="F8" s="93" t="s">
        <v>302</v>
      </c>
      <c r="G8" s="88" t="s">
        <v>290</v>
      </c>
      <c r="H8" s="87" t="s">
        <v>278</v>
      </c>
      <c r="I8" s="291" t="s">
        <v>464</v>
      </c>
      <c r="J8" s="327" t="s">
        <v>210</v>
      </c>
      <c r="K8" s="513"/>
      <c r="L8" s="512"/>
      <c r="M8" s="514"/>
      <c r="N8" s="293" t="s">
        <v>458</v>
      </c>
      <c r="O8" s="297"/>
      <c r="P8" s="515"/>
      <c r="Q8" s="516"/>
      <c r="R8" s="517"/>
      <c r="S8" s="518"/>
      <c r="T8" s="88" t="s">
        <v>542</v>
      </c>
      <c r="U8" s="87" t="s">
        <v>401</v>
      </c>
      <c r="W8" s="519"/>
      <c r="X8" s="55" t="s">
        <v>78</v>
      </c>
      <c r="Y8" s="458">
        <v>4</v>
      </c>
    </row>
    <row r="9" spans="1:25" s="8" customFormat="1" ht="15" customHeight="1">
      <c r="A9" s="521" t="s">
        <v>13</v>
      </c>
      <c r="B9" s="522" t="s">
        <v>362</v>
      </c>
      <c r="C9" s="548" t="s">
        <v>141</v>
      </c>
      <c r="D9" s="524"/>
      <c r="E9" s="524"/>
      <c r="F9" s="523" t="s">
        <v>302</v>
      </c>
      <c r="G9" s="537" t="s">
        <v>384</v>
      </c>
      <c r="H9" s="538" t="s">
        <v>387</v>
      </c>
      <c r="I9" s="526" t="s">
        <v>390</v>
      </c>
      <c r="J9" s="527" t="s">
        <v>444</v>
      </c>
      <c r="K9" s="528"/>
      <c r="L9" s="529"/>
      <c r="M9" s="530"/>
      <c r="N9" s="531"/>
      <c r="O9" s="532"/>
      <c r="P9" s="533"/>
      <c r="Q9" s="534"/>
      <c r="R9" s="535"/>
      <c r="S9" s="536"/>
      <c r="T9" s="537" t="s">
        <v>542</v>
      </c>
      <c r="U9" s="538"/>
      <c r="W9" s="539"/>
      <c r="X9" s="540" t="s">
        <v>78</v>
      </c>
      <c r="Y9" s="464">
        <v>5</v>
      </c>
    </row>
    <row r="10" spans="1:25" s="318" customFormat="1" ht="15" customHeight="1">
      <c r="A10" s="285" t="s">
        <v>14</v>
      </c>
      <c r="B10" s="489" t="s">
        <v>363</v>
      </c>
      <c r="C10" s="93" t="s">
        <v>381</v>
      </c>
      <c r="D10" s="511"/>
      <c r="E10" s="511"/>
      <c r="F10" s="93" t="s">
        <v>302</v>
      </c>
      <c r="G10" s="93"/>
      <c r="H10" s="79" t="s">
        <v>237</v>
      </c>
      <c r="I10" s="291" t="s">
        <v>464</v>
      </c>
      <c r="J10" s="512" t="s">
        <v>396</v>
      </c>
      <c r="K10" s="513"/>
      <c r="L10" s="512" t="s">
        <v>400</v>
      </c>
      <c r="M10" s="514"/>
      <c r="N10" s="83"/>
      <c r="O10" s="297"/>
      <c r="P10" s="515"/>
      <c r="Q10" s="516"/>
      <c r="R10" s="517"/>
      <c r="S10" s="518"/>
      <c r="T10" s="88" t="s">
        <v>542</v>
      </c>
      <c r="U10" s="87"/>
      <c r="W10" s="519"/>
      <c r="X10" s="55" t="s">
        <v>78</v>
      </c>
      <c r="Y10" s="458">
        <v>6</v>
      </c>
    </row>
    <row r="11" spans="1:25" s="8" customFormat="1" ht="15" customHeight="1">
      <c r="A11" s="521" t="s">
        <v>15</v>
      </c>
      <c r="B11" s="522" t="s">
        <v>364</v>
      </c>
      <c r="C11" s="523"/>
      <c r="D11" s="524"/>
      <c r="E11" s="524"/>
      <c r="F11" s="523" t="s">
        <v>302</v>
      </c>
      <c r="G11" s="523"/>
      <c r="H11" s="525" t="s">
        <v>237</v>
      </c>
      <c r="I11" s="526" t="s">
        <v>471</v>
      </c>
      <c r="J11" s="527" t="s">
        <v>210</v>
      </c>
      <c r="K11" s="528"/>
      <c r="L11" s="529"/>
      <c r="M11" s="530"/>
      <c r="N11" s="531"/>
      <c r="O11" s="532"/>
      <c r="P11" s="533"/>
      <c r="Q11" s="534"/>
      <c r="R11" s="535"/>
      <c r="S11" s="536"/>
      <c r="T11" s="537" t="s">
        <v>542</v>
      </c>
      <c r="U11" s="538"/>
      <c r="W11" s="539"/>
      <c r="X11" s="540" t="s">
        <v>78</v>
      </c>
      <c r="Y11" s="464">
        <v>7</v>
      </c>
    </row>
    <row r="12" spans="1:25" s="6" customFormat="1" ht="15" customHeight="1">
      <c r="A12" s="286" t="s">
        <v>16</v>
      </c>
      <c r="B12" s="279" t="s">
        <v>365</v>
      </c>
      <c r="C12" s="438"/>
      <c r="D12" s="502"/>
      <c r="E12" s="502"/>
      <c r="F12" s="438" t="s">
        <v>456</v>
      </c>
      <c r="G12" s="438"/>
      <c r="H12" s="500"/>
      <c r="I12" s="290" t="s">
        <v>391</v>
      </c>
      <c r="J12" s="498" t="s">
        <v>396</v>
      </c>
      <c r="K12" s="504"/>
      <c r="L12" s="497"/>
      <c r="M12" s="505"/>
      <c r="N12" s="499"/>
      <c r="O12" s="541"/>
      <c r="P12" s="542"/>
      <c r="Q12" s="508"/>
      <c r="R12" s="507"/>
      <c r="S12" s="543"/>
      <c r="T12" s="544" t="s">
        <v>542</v>
      </c>
      <c r="U12" s="503"/>
      <c r="W12" s="545"/>
      <c r="X12" s="54" t="s">
        <v>78</v>
      </c>
      <c r="Y12" s="455">
        <v>8</v>
      </c>
    </row>
    <row r="13" spans="1:25" s="318" customFormat="1" ht="15" customHeight="1">
      <c r="A13" s="285" t="s">
        <v>17</v>
      </c>
      <c r="B13" s="473" t="s">
        <v>366</v>
      </c>
      <c r="C13" s="442" t="s">
        <v>481</v>
      </c>
      <c r="D13" s="511"/>
      <c r="E13" s="511"/>
      <c r="F13" s="93" t="s">
        <v>456</v>
      </c>
      <c r="G13" s="93"/>
      <c r="H13" s="79" t="s">
        <v>235</v>
      </c>
      <c r="I13" s="291" t="s">
        <v>390</v>
      </c>
      <c r="J13" s="327" t="s">
        <v>396</v>
      </c>
      <c r="K13" s="513"/>
      <c r="L13" s="512"/>
      <c r="M13" s="514"/>
      <c r="N13" s="83"/>
      <c r="O13" s="297"/>
      <c r="P13" s="518"/>
      <c r="Q13" s="516"/>
      <c r="R13" s="517"/>
      <c r="S13" s="518"/>
      <c r="T13" s="72" t="s">
        <v>541</v>
      </c>
      <c r="U13" s="87"/>
      <c r="W13" s="519"/>
      <c r="X13" s="55" t="s">
        <v>78</v>
      </c>
      <c r="Y13" s="458">
        <v>9</v>
      </c>
    </row>
    <row r="14" spans="1:25" s="318" customFormat="1" ht="15" customHeight="1">
      <c r="A14" s="285" t="s">
        <v>18</v>
      </c>
      <c r="B14" s="473" t="s">
        <v>367</v>
      </c>
      <c r="C14" s="88"/>
      <c r="D14" s="511"/>
      <c r="E14" s="511"/>
      <c r="F14" s="93" t="s">
        <v>456</v>
      </c>
      <c r="G14" s="93"/>
      <c r="H14" s="79"/>
      <c r="I14" s="291"/>
      <c r="J14" s="327" t="s">
        <v>396</v>
      </c>
      <c r="K14" s="513"/>
      <c r="L14" s="512"/>
      <c r="M14" s="514"/>
      <c r="N14" s="83"/>
      <c r="O14" s="297"/>
      <c r="P14" s="300"/>
      <c r="Q14" s="516"/>
      <c r="R14" s="517"/>
      <c r="S14" s="546"/>
      <c r="T14" s="88" t="s">
        <v>542</v>
      </c>
      <c r="U14" s="87" t="s">
        <v>401</v>
      </c>
      <c r="W14" s="519"/>
      <c r="X14" s="55" t="s">
        <v>78</v>
      </c>
      <c r="Y14" s="458">
        <v>10</v>
      </c>
    </row>
    <row r="15" spans="1:25" s="8" customFormat="1" ht="15" customHeight="1">
      <c r="A15" s="521" t="s">
        <v>19</v>
      </c>
      <c r="B15" s="522" t="s">
        <v>368</v>
      </c>
      <c r="C15" s="547"/>
      <c r="D15" s="524"/>
      <c r="E15" s="524"/>
      <c r="F15" s="523" t="s">
        <v>456</v>
      </c>
      <c r="G15" s="523"/>
      <c r="H15" s="525" t="s">
        <v>235</v>
      </c>
      <c r="I15" s="526" t="s">
        <v>472</v>
      </c>
      <c r="J15" s="527" t="s">
        <v>397</v>
      </c>
      <c r="K15" s="528"/>
      <c r="L15" s="529"/>
      <c r="M15" s="530"/>
      <c r="N15" s="531"/>
      <c r="O15" s="532"/>
      <c r="P15" s="533"/>
      <c r="Q15" s="534"/>
      <c r="R15" s="535"/>
      <c r="S15" s="536"/>
      <c r="T15" s="537" t="s">
        <v>542</v>
      </c>
      <c r="U15" s="538"/>
      <c r="W15" s="539"/>
      <c r="X15" s="540" t="s">
        <v>78</v>
      </c>
      <c r="Y15" s="464">
        <v>11</v>
      </c>
    </row>
    <row r="16" spans="1:25" ht="15" customHeight="1">
      <c r="A16" s="285" t="s">
        <v>20</v>
      </c>
      <c r="B16" s="280" t="s">
        <v>369</v>
      </c>
      <c r="C16" s="93"/>
      <c r="D16" s="89"/>
      <c r="E16" s="89"/>
      <c r="F16" s="93" t="s">
        <v>302</v>
      </c>
      <c r="G16" s="93" t="s">
        <v>385</v>
      </c>
      <c r="H16" s="79" t="s">
        <v>246</v>
      </c>
      <c r="I16" s="291"/>
      <c r="J16" s="78" t="s">
        <v>210</v>
      </c>
      <c r="K16" s="307"/>
      <c r="L16" s="80"/>
      <c r="M16" s="292"/>
      <c r="N16" s="83"/>
      <c r="O16" s="297"/>
      <c r="P16" s="298"/>
      <c r="Q16" s="296"/>
      <c r="R16" s="295"/>
      <c r="S16" s="299"/>
      <c r="T16" s="88" t="s">
        <v>542</v>
      </c>
      <c r="U16" s="87"/>
      <c r="W16" s="11"/>
      <c r="X16" s="55" t="s">
        <v>78</v>
      </c>
      <c r="Y16" s="70">
        <v>12</v>
      </c>
    </row>
    <row r="17" spans="1:25" ht="15" customHeight="1">
      <c r="A17" s="285" t="s">
        <v>21</v>
      </c>
      <c r="B17" s="280" t="s">
        <v>370</v>
      </c>
      <c r="C17" s="93"/>
      <c r="D17" s="89"/>
      <c r="E17" s="89"/>
      <c r="F17" s="288" t="s">
        <v>302</v>
      </c>
      <c r="G17" s="72" t="s">
        <v>386</v>
      </c>
      <c r="H17" s="79"/>
      <c r="I17" s="291" t="s">
        <v>392</v>
      </c>
      <c r="J17" s="78" t="s">
        <v>396</v>
      </c>
      <c r="K17" s="307"/>
      <c r="L17" s="80"/>
      <c r="M17" s="292"/>
      <c r="N17" s="83"/>
      <c r="O17" s="297"/>
      <c r="P17" s="298"/>
      <c r="Q17" s="296"/>
      <c r="R17" s="295"/>
      <c r="S17" s="299"/>
      <c r="T17" s="72" t="s">
        <v>541</v>
      </c>
      <c r="U17" s="87"/>
      <c r="W17" s="11"/>
      <c r="X17" s="55" t="s">
        <v>78</v>
      </c>
      <c r="Y17" s="70">
        <v>13</v>
      </c>
    </row>
    <row r="18" spans="1:25" ht="15" customHeight="1">
      <c r="A18" s="285" t="s">
        <v>22</v>
      </c>
      <c r="B18" s="280" t="s">
        <v>371</v>
      </c>
      <c r="C18" s="93"/>
      <c r="D18" s="89"/>
      <c r="E18" s="89"/>
      <c r="F18" s="93" t="s">
        <v>302</v>
      </c>
      <c r="G18" s="72" t="s">
        <v>386</v>
      </c>
      <c r="H18" s="79"/>
      <c r="I18" s="291"/>
      <c r="J18" s="78" t="s">
        <v>395</v>
      </c>
      <c r="K18" s="307"/>
      <c r="L18" s="80"/>
      <c r="M18" s="292"/>
      <c r="N18" s="83"/>
      <c r="O18" s="297"/>
      <c r="P18" s="298"/>
      <c r="Q18" s="296"/>
      <c r="R18" s="295"/>
      <c r="S18" s="299"/>
      <c r="T18" s="72" t="s">
        <v>543</v>
      </c>
      <c r="U18" s="87"/>
      <c r="W18" s="11"/>
      <c r="X18" s="55" t="s">
        <v>78</v>
      </c>
      <c r="Y18" s="70">
        <v>14</v>
      </c>
    </row>
    <row r="19" spans="1:25" ht="15" customHeight="1">
      <c r="A19" s="285" t="s">
        <v>208</v>
      </c>
      <c r="B19" s="287" t="s">
        <v>372</v>
      </c>
      <c r="C19" t="s">
        <v>382</v>
      </c>
      <c r="D19" s="89"/>
      <c r="E19" s="89"/>
      <c r="F19" t="s">
        <v>457</v>
      </c>
      <c r="G19" s="40"/>
      <c r="H19" s="1" t="s">
        <v>388</v>
      </c>
      <c r="I19" s="38" t="s">
        <v>393</v>
      </c>
      <c r="J19" s="78" t="s">
        <v>395</v>
      </c>
      <c r="K19" s="308"/>
      <c r="L19" s="80"/>
      <c r="M19" s="292"/>
      <c r="N19" s="25"/>
      <c r="O19" s="297"/>
      <c r="P19" s="298"/>
      <c r="Q19" s="296"/>
      <c r="R19" s="295"/>
      <c r="S19" s="299"/>
      <c r="T19" s="72" t="s">
        <v>541</v>
      </c>
      <c r="U19" s="87" t="s">
        <v>402</v>
      </c>
      <c r="W19" s="11"/>
      <c r="X19" s="55" t="s">
        <v>78</v>
      </c>
      <c r="Y19" s="70">
        <v>15</v>
      </c>
    </row>
    <row r="20" spans="1:25" ht="15" customHeight="1">
      <c r="A20" s="285" t="s">
        <v>23</v>
      </c>
      <c r="B20" s="287" t="s">
        <v>373</v>
      </c>
      <c r="C20" t="s">
        <v>383</v>
      </c>
      <c r="D20" s="89"/>
      <c r="E20" s="89"/>
      <c r="F20" t="s">
        <v>457</v>
      </c>
      <c r="G20" s="93"/>
      <c r="H20" s="1" t="s">
        <v>435</v>
      </c>
      <c r="I20" s="38" t="s">
        <v>394</v>
      </c>
      <c r="J20" s="78" t="s">
        <v>395</v>
      </c>
      <c r="K20" s="308"/>
      <c r="M20" s="292"/>
      <c r="N20" s="25"/>
      <c r="O20" s="297"/>
      <c r="P20" s="298"/>
      <c r="Q20" s="296"/>
      <c r="R20" s="295"/>
      <c r="S20" s="299"/>
      <c r="T20" s="72" t="s">
        <v>541</v>
      </c>
      <c r="U20" s="87" t="s">
        <v>402</v>
      </c>
      <c r="W20" s="11"/>
      <c r="X20" s="55" t="s">
        <v>78</v>
      </c>
      <c r="Y20" s="70">
        <v>16</v>
      </c>
    </row>
    <row r="21" spans="1:25" ht="15" customHeight="1">
      <c r="A21" s="285" t="s">
        <v>24</v>
      </c>
      <c r="B21" s="287" t="s">
        <v>374</v>
      </c>
      <c r="C21" t="s">
        <v>383</v>
      </c>
      <c r="D21" s="89"/>
      <c r="E21" s="89"/>
      <c r="F21" t="s">
        <v>457</v>
      </c>
      <c r="G21" s="93"/>
      <c r="H21" s="1" t="s">
        <v>435</v>
      </c>
      <c r="I21" s="38" t="s">
        <v>394</v>
      </c>
      <c r="J21" s="78" t="s">
        <v>395</v>
      </c>
      <c r="K21" s="308"/>
      <c r="M21" s="292"/>
      <c r="N21" s="25"/>
      <c r="O21" s="297"/>
      <c r="P21" s="298"/>
      <c r="Q21" s="296"/>
      <c r="R21" s="295"/>
      <c r="S21" s="299"/>
      <c r="T21" s="72" t="s">
        <v>541</v>
      </c>
      <c r="U21" s="87" t="s">
        <v>402</v>
      </c>
      <c r="W21" s="11"/>
      <c r="X21" s="55" t="s">
        <v>78</v>
      </c>
      <c r="Y21" s="70">
        <v>17</v>
      </c>
    </row>
    <row r="22" spans="1:25" ht="15" customHeight="1">
      <c r="A22" s="67"/>
      <c r="T22" t="s">
        <v>197</v>
      </c>
    </row>
    <row r="23" spans="1:25" ht="15" customHeight="1">
      <c r="C23" t="s">
        <v>82</v>
      </c>
      <c r="N23" t="s">
        <v>164</v>
      </c>
      <c r="W23" s="12"/>
    </row>
    <row r="24" spans="1:25" ht="15" customHeight="1">
      <c r="C24" t="s">
        <v>83</v>
      </c>
      <c r="F24" t="s">
        <v>177</v>
      </c>
      <c r="G24" t="s">
        <v>177</v>
      </c>
      <c r="I24" t="s">
        <v>84</v>
      </c>
      <c r="L24" t="s">
        <v>179</v>
      </c>
      <c r="N24" t="s">
        <v>165</v>
      </c>
      <c r="P24" t="s">
        <v>85</v>
      </c>
      <c r="T24" t="s">
        <v>185</v>
      </c>
      <c r="W24" s="12"/>
    </row>
    <row r="25" spans="1:25" ht="15" customHeight="1">
      <c r="C25" t="s">
        <v>86</v>
      </c>
      <c r="D25" t="s">
        <v>87</v>
      </c>
      <c r="E25" t="s">
        <v>87</v>
      </c>
      <c r="N25" t="s">
        <v>166</v>
      </c>
      <c r="T25" t="s">
        <v>186</v>
      </c>
    </row>
    <row r="26" spans="1:25" ht="15" customHeight="1">
      <c r="B26" s="12" t="s">
        <v>88</v>
      </c>
      <c r="F26" s="31" t="s">
        <v>89</v>
      </c>
      <c r="K26" s="309" t="s">
        <v>198</v>
      </c>
    </row>
    <row r="27" spans="1:25" ht="15" customHeight="1">
      <c r="C27" t="s">
        <v>90</v>
      </c>
      <c r="D27" s="18" t="s">
        <v>91</v>
      </c>
      <c r="E27" s="18" t="s">
        <v>91</v>
      </c>
      <c r="G27" s="18" t="s">
        <v>91</v>
      </c>
      <c r="H27" s="18" t="s">
        <v>91</v>
      </c>
      <c r="I27" s="18" t="s">
        <v>174</v>
      </c>
      <c r="N27" s="12" t="s">
        <v>91</v>
      </c>
    </row>
    <row r="28" spans="1:25" ht="15" customHeight="1">
      <c r="C28" t="s">
        <v>92</v>
      </c>
    </row>
    <row r="29" spans="1:25" ht="15" customHeight="1">
      <c r="C29" t="s">
        <v>93</v>
      </c>
      <c r="Q29"/>
    </row>
    <row r="31" spans="1:25" ht="15" customHeight="1">
      <c r="B31" s="69"/>
    </row>
    <row r="44" spans="20:20" ht="15" customHeight="1">
      <c r="T44" t="s">
        <v>187</v>
      </c>
    </row>
    <row r="45" spans="20:20" ht="15" customHeight="1">
      <c r="T45" t="s">
        <v>188</v>
      </c>
    </row>
    <row r="46" spans="20:20" ht="15" customHeight="1">
      <c r="T46" t="s">
        <v>189</v>
      </c>
    </row>
    <row r="47" spans="20:20" ht="15" customHeight="1">
      <c r="T47" t="s">
        <v>190</v>
      </c>
    </row>
    <row r="48" spans="20:20" ht="15" customHeight="1">
      <c r="T48" t="s">
        <v>192</v>
      </c>
    </row>
    <row r="49" spans="20:20" ht="15" customHeight="1">
      <c r="T49" t="s">
        <v>193</v>
      </c>
    </row>
    <row r="50" spans="20:20" ht="15" customHeight="1">
      <c r="T50" t="s">
        <v>191</v>
      </c>
    </row>
    <row r="51" spans="20:20" ht="15" customHeight="1">
      <c r="T51" t="s">
        <v>194</v>
      </c>
    </row>
    <row r="52" spans="20:20" ht="15" customHeight="1">
      <c r="T52" t="s">
        <v>195</v>
      </c>
    </row>
  </sheetData>
  <sortState xmlns:xlrd2="http://schemas.microsoft.com/office/spreadsheetml/2017/richdata2" ref="A5:Z21">
    <sortCondition ref="B5:B21"/>
  </sortState>
  <mergeCells count="4">
    <mergeCell ref="C1:E1"/>
    <mergeCell ref="J1:N1"/>
    <mergeCell ref="T1:U1"/>
    <mergeCell ref="G1:H1"/>
  </mergeCells>
  <phoneticPr fontId="21" type="noConversion"/>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CEDF62C2-FA69-F245-8FA6-02C3C17F9FB0}">
          <x14:formula1>
            <xm:f>qualitativeGewichte!$A$2:$A$9</xm:f>
          </x14:formula1>
          <xm:sqref>C3:I3 K3:S3 U3</xm:sqref>
        </x14:dataValidation>
        <x14:dataValidation type="list" allowBlank="1" showInputMessage="1" showErrorMessage="1" xr:uid="{EA29DDE2-048F-A74C-AAC4-FD0EF1747E86}">
          <x14:formula1>
            <xm:f>qualitativeGewichte!$C$2:$C$9</xm:f>
          </x14:formula1>
          <xm:sqref>J3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5B00C-8463-4015-957B-406D179BB3E1}">
  <sheetPr codeName="Tabelle9">
    <tabColor theme="0" tint="-0.249977111117893"/>
  </sheetPr>
  <dimension ref="A1:D14"/>
  <sheetViews>
    <sheetView workbookViewId="0">
      <selection activeCell="E24" sqref="E24"/>
    </sheetView>
  </sheetViews>
  <sheetFormatPr baseColWidth="10" defaultRowHeight="12.5"/>
  <cols>
    <col min="1" max="1" width="8.36328125" bestFit="1" customWidth="1"/>
    <col min="2" max="2" width="13.36328125" bestFit="1" customWidth="1"/>
    <col min="3" max="3" width="24.6328125" bestFit="1" customWidth="1"/>
    <col min="4" max="4" width="13.36328125" bestFit="1" customWidth="1"/>
  </cols>
  <sheetData>
    <row r="1" spans="1:4" ht="26.5" thickBot="1">
      <c r="A1" s="122" t="s">
        <v>1</v>
      </c>
      <c r="B1" s="122" t="s">
        <v>259</v>
      </c>
      <c r="C1" s="122" t="s">
        <v>260</v>
      </c>
      <c r="D1" s="122" t="s">
        <v>261</v>
      </c>
    </row>
    <row r="2" spans="1:4" ht="13">
      <c r="A2" s="123" t="s">
        <v>222</v>
      </c>
      <c r="B2" s="124" t="s">
        <v>262</v>
      </c>
      <c r="C2" s="125" t="s">
        <v>263</v>
      </c>
      <c r="D2" s="125">
        <v>0.29166666666666669</v>
      </c>
    </row>
    <row r="3" spans="1:4" ht="13">
      <c r="A3" s="126" t="s">
        <v>224</v>
      </c>
      <c r="B3" s="86" t="s">
        <v>262</v>
      </c>
      <c r="C3" s="86" t="s">
        <v>264</v>
      </c>
      <c r="D3" s="127">
        <v>0.35000000000000003</v>
      </c>
    </row>
    <row r="4" spans="1:4" ht="13">
      <c r="A4" s="126" t="s">
        <v>226</v>
      </c>
      <c r="B4" s="86" t="s">
        <v>262</v>
      </c>
      <c r="C4" s="86" t="s">
        <v>265</v>
      </c>
      <c r="D4" s="127">
        <v>0.35000000000000003</v>
      </c>
    </row>
    <row r="5" spans="1:4" ht="13">
      <c r="A5" s="126" t="s">
        <v>231</v>
      </c>
      <c r="B5" s="86" t="s">
        <v>262</v>
      </c>
      <c r="C5" s="86" t="s">
        <v>266</v>
      </c>
      <c r="D5" s="127">
        <v>0.34375</v>
      </c>
    </row>
    <row r="6" spans="1:4">
      <c r="A6" s="86" t="s">
        <v>236</v>
      </c>
      <c r="B6" s="86" t="s">
        <v>262</v>
      </c>
      <c r="C6" s="86" t="s">
        <v>267</v>
      </c>
      <c r="D6" s="127">
        <v>0.25</v>
      </c>
    </row>
    <row r="7" spans="1:4">
      <c r="A7" s="86" t="s">
        <v>238</v>
      </c>
      <c r="B7" s="86" t="s">
        <v>262</v>
      </c>
      <c r="C7" s="86" t="s">
        <v>268</v>
      </c>
      <c r="D7" s="127">
        <v>0.34375</v>
      </c>
    </row>
    <row r="8" spans="1:4">
      <c r="A8" s="86" t="s">
        <v>269</v>
      </c>
      <c r="B8" s="86" t="s">
        <v>262</v>
      </c>
      <c r="C8" s="86" t="s">
        <v>270</v>
      </c>
      <c r="D8" s="127">
        <v>0.34375</v>
      </c>
    </row>
    <row r="9" spans="1:4" ht="13">
      <c r="A9" s="126" t="s">
        <v>240</v>
      </c>
      <c r="B9" s="86" t="s">
        <v>262</v>
      </c>
      <c r="C9" s="127" t="s">
        <v>271</v>
      </c>
      <c r="D9" s="127">
        <v>0.34375</v>
      </c>
    </row>
    <row r="10" spans="1:4" ht="13">
      <c r="A10" s="126" t="s">
        <v>243</v>
      </c>
      <c r="B10" s="86" t="s">
        <v>262</v>
      </c>
      <c r="C10" s="86" t="s">
        <v>272</v>
      </c>
      <c r="D10" s="127">
        <v>0.23958333333333334</v>
      </c>
    </row>
    <row r="11" spans="1:4">
      <c r="A11" s="86" t="s">
        <v>245</v>
      </c>
      <c r="B11" s="86" t="s">
        <v>262</v>
      </c>
      <c r="C11" s="86" t="s">
        <v>273</v>
      </c>
      <c r="D11" s="127">
        <v>0.32291666666666669</v>
      </c>
    </row>
    <row r="12" spans="1:4">
      <c r="A12" s="86" t="s">
        <v>247</v>
      </c>
      <c r="B12" s="86" t="s">
        <v>262</v>
      </c>
      <c r="C12" s="86" t="s">
        <v>274</v>
      </c>
      <c r="D12" s="127">
        <v>0.33333333333333331</v>
      </c>
    </row>
    <row r="13" spans="1:4">
      <c r="A13" s="86" t="s">
        <v>249</v>
      </c>
      <c r="B13" s="86" t="s">
        <v>262</v>
      </c>
      <c r="C13" s="86" t="s">
        <v>275</v>
      </c>
      <c r="D13" s="127">
        <v>0.10416666666666667</v>
      </c>
    </row>
    <row r="14" spans="1:4">
      <c r="A14" s="86" t="s">
        <v>251</v>
      </c>
      <c r="B14" s="86" t="s">
        <v>262</v>
      </c>
      <c r="C14" s="86" t="s">
        <v>276</v>
      </c>
      <c r="D14" s="127">
        <v>0.26041666666666669</v>
      </c>
    </row>
  </sheetData>
  <pageMargins left="0.7" right="0.7" top="0.78740157499999996" bottom="0.78740157499999996"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045DC-767B-D642-8CAF-8BEAD6EAC972}">
  <sheetPr codeName="Tabelle6"/>
  <dimension ref="A1:BE42"/>
  <sheetViews>
    <sheetView zoomScaleNormal="100" workbookViewId="0">
      <pane xSplit="2" ySplit="4" topLeftCell="S5" activePane="bottomRight" state="frozen"/>
      <selection pane="topRight" activeCell="C1" sqref="C1"/>
      <selection pane="bottomLeft" activeCell="A5" sqref="A5"/>
      <selection pane="bottomRight" activeCell="AD18" sqref="AD18"/>
    </sheetView>
  </sheetViews>
  <sheetFormatPr baseColWidth="10" defaultColWidth="11.453125" defaultRowHeight="12.5"/>
  <cols>
    <col min="1" max="1" width="5.1796875" customWidth="1"/>
    <col min="2" max="2" width="19.36328125" customWidth="1"/>
    <col min="3" max="3" width="6.81640625" customWidth="1"/>
    <col min="4" max="41" width="5.453125" customWidth="1"/>
    <col min="42" max="45" width="5.1796875" customWidth="1"/>
    <col min="46" max="47" width="5.81640625" customWidth="1"/>
    <col min="48" max="48" width="11.6328125" customWidth="1"/>
    <col min="49" max="49" width="10" customWidth="1"/>
    <col min="50" max="50" width="31.36328125" customWidth="1"/>
    <col min="51" max="51" width="11.6328125" customWidth="1"/>
    <col min="52" max="52" width="15.453125" customWidth="1"/>
    <col min="53" max="53" width="11" customWidth="1"/>
    <col min="54" max="54" width="13.453125" customWidth="1"/>
    <col min="55" max="55" width="10" customWidth="1"/>
    <col min="56" max="57" width="6" customWidth="1"/>
  </cols>
  <sheetData>
    <row r="1" spans="1:57" ht="13">
      <c r="A1" s="3" t="s">
        <v>94</v>
      </c>
      <c r="B1" s="9"/>
      <c r="C1" s="4"/>
      <c r="D1" s="28" t="s">
        <v>95</v>
      </c>
      <c r="E1" s="28"/>
      <c r="F1" s="586">
        <v>45108</v>
      </c>
      <c r="G1" s="587"/>
      <c r="H1" t="s">
        <v>96</v>
      </c>
      <c r="L1" s="18" t="s">
        <v>97</v>
      </c>
      <c r="M1" s="18"/>
      <c r="N1" s="58">
        <v>7</v>
      </c>
      <c r="O1" s="59" t="s">
        <v>98</v>
      </c>
      <c r="P1" s="59"/>
      <c r="Q1" s="59"/>
      <c r="R1" s="59"/>
      <c r="S1" s="59"/>
      <c r="T1" s="59"/>
      <c r="U1" s="59"/>
      <c r="V1" s="59"/>
      <c r="W1" s="59"/>
      <c r="X1" s="59"/>
      <c r="Y1" s="59"/>
      <c r="Z1" s="59"/>
      <c r="AA1" s="59"/>
      <c r="AB1" s="59"/>
      <c r="AC1" s="59"/>
      <c r="AD1" s="59"/>
      <c r="AE1" s="59"/>
      <c r="AF1" s="59"/>
      <c r="AG1" s="59"/>
      <c r="AH1" s="59"/>
      <c r="AI1" s="59"/>
      <c r="AJ1" s="59"/>
      <c r="AK1" s="59"/>
      <c r="AL1" s="59"/>
      <c r="AM1" s="59"/>
      <c r="AN1" s="59"/>
      <c r="AO1" s="59"/>
      <c r="AP1" s="59"/>
      <c r="AQ1" s="59"/>
      <c r="AR1" s="59"/>
      <c r="AS1" s="59"/>
      <c r="AT1" s="70" t="s">
        <v>209</v>
      </c>
      <c r="AU1" s="59"/>
      <c r="AV1" s="52" t="s">
        <v>168</v>
      </c>
      <c r="AW1" s="50">
        <v>31</v>
      </c>
      <c r="AX1" s="64" t="s">
        <v>99</v>
      </c>
      <c r="AY1" s="59"/>
      <c r="AZ1" s="59"/>
      <c r="BA1" s="59"/>
      <c r="BB1" s="63"/>
      <c r="BC1" s="59"/>
      <c r="BD1" s="59"/>
      <c r="BE1" s="59"/>
    </row>
    <row r="2" spans="1:57" ht="13">
      <c r="A2" s="7" t="s">
        <v>100</v>
      </c>
      <c r="B2" s="10"/>
      <c r="C2" s="19"/>
      <c r="D2" s="4" t="s">
        <v>101</v>
      </c>
      <c r="E2" s="18"/>
      <c r="F2" s="586">
        <v>45139</v>
      </c>
      <c r="G2" s="587"/>
      <c r="H2" t="s">
        <v>102</v>
      </c>
      <c r="L2" s="18" t="s">
        <v>103</v>
      </c>
      <c r="M2" s="18"/>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3" t="s">
        <v>169</v>
      </c>
      <c r="AW2" s="51">
        <v>10</v>
      </c>
      <c r="AX2" s="49" t="s">
        <v>492</v>
      </c>
      <c r="AY2" s="59"/>
      <c r="AZ2" s="59"/>
      <c r="BA2" s="59"/>
      <c r="BB2" s="46" t="s">
        <v>104</v>
      </c>
    </row>
    <row r="3" spans="1:57" ht="13">
      <c r="A3" s="7"/>
      <c r="B3" s="19"/>
      <c r="C3" s="19"/>
      <c r="D3" s="419" t="str">
        <f>LEFT(TEXT(WEEKDAY(D4),"TTTT"),2)</f>
        <v>Sa</v>
      </c>
      <c r="E3" s="420" t="str">
        <f t="shared" ref="E3:AS3" si="0">LEFT(TEXT(WEEKDAY(E4),"TTTT"),2)</f>
        <v>So</v>
      </c>
      <c r="F3" s="420" t="str">
        <f t="shared" si="0"/>
        <v>Mo</v>
      </c>
      <c r="G3" s="420" t="str">
        <f t="shared" si="0"/>
        <v>Di</v>
      </c>
      <c r="H3" s="420" t="str">
        <f t="shared" si="0"/>
        <v>Mi</v>
      </c>
      <c r="I3" s="420" t="str">
        <f t="shared" si="0"/>
        <v>Do</v>
      </c>
      <c r="J3" s="421" t="str">
        <f t="shared" si="0"/>
        <v>Fr</v>
      </c>
      <c r="K3" s="428" t="str">
        <f t="shared" si="0"/>
        <v>Sa</v>
      </c>
      <c r="L3" s="420" t="str">
        <f t="shared" si="0"/>
        <v>So</v>
      </c>
      <c r="M3" s="420" t="str">
        <f t="shared" si="0"/>
        <v>Mo</v>
      </c>
      <c r="N3" s="420" t="str">
        <f t="shared" si="0"/>
        <v>Di</v>
      </c>
      <c r="O3" s="420" t="str">
        <f t="shared" si="0"/>
        <v>Mi</v>
      </c>
      <c r="P3" s="420" t="str">
        <f t="shared" si="0"/>
        <v>Do</v>
      </c>
      <c r="Q3" s="420" t="str">
        <f t="shared" si="0"/>
        <v>Fr</v>
      </c>
      <c r="R3" s="420" t="str">
        <f t="shared" si="0"/>
        <v>Sa</v>
      </c>
      <c r="S3" s="420" t="str">
        <f t="shared" si="0"/>
        <v>So</v>
      </c>
      <c r="T3" s="420" t="str">
        <f t="shared" si="0"/>
        <v>Mo</v>
      </c>
      <c r="U3" s="420" t="str">
        <f t="shared" si="0"/>
        <v>Di</v>
      </c>
      <c r="V3" s="420" t="str">
        <f t="shared" si="0"/>
        <v>Mi</v>
      </c>
      <c r="W3" s="420" t="str">
        <f t="shared" si="0"/>
        <v>Do</v>
      </c>
      <c r="X3" s="420" t="str">
        <f t="shared" si="0"/>
        <v>Fr</v>
      </c>
      <c r="Y3" s="420" t="str">
        <f t="shared" si="0"/>
        <v>Sa</v>
      </c>
      <c r="Z3" s="420" t="str">
        <f t="shared" si="0"/>
        <v>So</v>
      </c>
      <c r="AA3" s="420" t="str">
        <f t="shared" si="0"/>
        <v>Mo</v>
      </c>
      <c r="AB3" s="420" t="str">
        <f t="shared" si="0"/>
        <v>Di</v>
      </c>
      <c r="AC3" s="420" t="str">
        <f t="shared" si="0"/>
        <v>Mi</v>
      </c>
      <c r="AD3" s="420" t="str">
        <f t="shared" si="0"/>
        <v>Do</v>
      </c>
      <c r="AE3" s="420" t="str">
        <f t="shared" si="0"/>
        <v>Fr</v>
      </c>
      <c r="AF3" s="420" t="str">
        <f t="shared" si="0"/>
        <v>Sa</v>
      </c>
      <c r="AG3" s="420" t="str">
        <f t="shared" si="0"/>
        <v>So</v>
      </c>
      <c r="AH3" s="420" t="str">
        <f t="shared" si="0"/>
        <v>Mo</v>
      </c>
      <c r="AI3" s="420" t="str">
        <f t="shared" si="0"/>
        <v>Di</v>
      </c>
      <c r="AJ3" s="420" t="str">
        <f t="shared" si="0"/>
        <v>Mi</v>
      </c>
      <c r="AK3" s="420" t="str">
        <f t="shared" si="0"/>
        <v>Do</v>
      </c>
      <c r="AL3" s="420" t="str">
        <f t="shared" si="0"/>
        <v>Fr</v>
      </c>
      <c r="AM3" s="429" t="str">
        <f t="shared" si="0"/>
        <v>Sa</v>
      </c>
      <c r="AN3" s="421" t="str">
        <f t="shared" si="0"/>
        <v>So</v>
      </c>
      <c r="AO3" s="419" t="str">
        <f t="shared" si="0"/>
        <v>Mo</v>
      </c>
      <c r="AP3" s="420" t="str">
        <f t="shared" si="0"/>
        <v>Di</v>
      </c>
      <c r="AQ3" s="420" t="str">
        <f t="shared" si="0"/>
        <v>Mi</v>
      </c>
      <c r="AR3" s="420" t="str">
        <f t="shared" si="0"/>
        <v>Do</v>
      </c>
      <c r="AS3" s="421" t="str">
        <f t="shared" si="0"/>
        <v>Fr</v>
      </c>
      <c r="AT3" s="59"/>
      <c r="AU3" s="59"/>
      <c r="AV3" s="18"/>
      <c r="AW3" s="65" t="s">
        <v>105</v>
      </c>
      <c r="AX3" s="49" t="s">
        <v>106</v>
      </c>
      <c r="AY3" s="85" t="s">
        <v>196</v>
      </c>
      <c r="AZ3" s="29" t="s">
        <v>107</v>
      </c>
      <c r="BA3" s="59"/>
      <c r="BB3" s="47"/>
      <c r="BC3" s="47"/>
      <c r="BD3" s="47"/>
    </row>
    <row r="4" spans="1:57" s="129" customFormat="1" ht="13">
      <c r="A4" s="413" t="s">
        <v>0</v>
      </c>
      <c r="B4" s="414" t="s">
        <v>5</v>
      </c>
      <c r="C4" s="414" t="s">
        <v>108</v>
      </c>
      <c r="D4" s="422">
        <f>$F$1-N1</f>
        <v>45101</v>
      </c>
      <c r="E4" s="412">
        <f>IF(D4+1&gt;=$F$2,"",D4+1)</f>
        <v>45102</v>
      </c>
      <c r="F4" s="412">
        <f t="shared" ref="F4:AN4" si="1">E4+1</f>
        <v>45103</v>
      </c>
      <c r="G4" s="412">
        <f t="shared" si="1"/>
        <v>45104</v>
      </c>
      <c r="H4" s="418">
        <f t="shared" si="1"/>
        <v>45105</v>
      </c>
      <c r="I4" s="418">
        <f t="shared" si="1"/>
        <v>45106</v>
      </c>
      <c r="J4" s="423">
        <f t="shared" si="1"/>
        <v>45107</v>
      </c>
      <c r="K4" s="430">
        <f t="shared" si="1"/>
        <v>45108</v>
      </c>
      <c r="L4" s="412">
        <f t="shared" si="1"/>
        <v>45109</v>
      </c>
      <c r="M4" s="412">
        <f t="shared" si="1"/>
        <v>45110</v>
      </c>
      <c r="N4" s="412">
        <f t="shared" si="1"/>
        <v>45111</v>
      </c>
      <c r="O4" s="412">
        <f t="shared" si="1"/>
        <v>45112</v>
      </c>
      <c r="P4" s="412">
        <f t="shared" si="1"/>
        <v>45113</v>
      </c>
      <c r="Q4" s="412">
        <f t="shared" si="1"/>
        <v>45114</v>
      </c>
      <c r="R4" s="412">
        <f t="shared" si="1"/>
        <v>45115</v>
      </c>
      <c r="S4" s="412">
        <f t="shared" si="1"/>
        <v>45116</v>
      </c>
      <c r="T4" s="412">
        <f t="shared" si="1"/>
        <v>45117</v>
      </c>
      <c r="U4" s="412">
        <f t="shared" si="1"/>
        <v>45118</v>
      </c>
      <c r="V4" s="412">
        <f t="shared" si="1"/>
        <v>45119</v>
      </c>
      <c r="W4" s="412">
        <f t="shared" si="1"/>
        <v>45120</v>
      </c>
      <c r="X4" s="412">
        <f t="shared" si="1"/>
        <v>45121</v>
      </c>
      <c r="Y4" s="412">
        <f t="shared" si="1"/>
        <v>45122</v>
      </c>
      <c r="Z4" s="412">
        <f t="shared" si="1"/>
        <v>45123</v>
      </c>
      <c r="AA4" s="412">
        <f t="shared" si="1"/>
        <v>45124</v>
      </c>
      <c r="AB4" s="412">
        <f t="shared" si="1"/>
        <v>45125</v>
      </c>
      <c r="AC4" s="412">
        <f t="shared" si="1"/>
        <v>45126</v>
      </c>
      <c r="AD4" s="412">
        <f t="shared" si="1"/>
        <v>45127</v>
      </c>
      <c r="AE4" s="412">
        <f t="shared" si="1"/>
        <v>45128</v>
      </c>
      <c r="AF4" s="412">
        <f t="shared" si="1"/>
        <v>45129</v>
      </c>
      <c r="AG4" s="412">
        <f t="shared" si="1"/>
        <v>45130</v>
      </c>
      <c r="AH4" s="412">
        <f t="shared" si="1"/>
        <v>45131</v>
      </c>
      <c r="AI4" s="412">
        <f t="shared" si="1"/>
        <v>45132</v>
      </c>
      <c r="AJ4" s="412">
        <f t="shared" si="1"/>
        <v>45133</v>
      </c>
      <c r="AK4" s="412">
        <f t="shared" si="1"/>
        <v>45134</v>
      </c>
      <c r="AL4" s="412">
        <f t="shared" si="1"/>
        <v>45135</v>
      </c>
      <c r="AM4" s="415">
        <f t="shared" si="1"/>
        <v>45136</v>
      </c>
      <c r="AN4" s="431">
        <f t="shared" si="1"/>
        <v>45137</v>
      </c>
      <c r="AO4" s="422">
        <f t="shared" ref="AO4" si="2">AN4+1</f>
        <v>45138</v>
      </c>
      <c r="AP4" s="412">
        <f t="shared" ref="AP4" si="3">AO4+1</f>
        <v>45139</v>
      </c>
      <c r="AQ4" s="412">
        <f t="shared" ref="AQ4" si="4">AP4+1</f>
        <v>45140</v>
      </c>
      <c r="AR4" s="412">
        <f t="shared" ref="AR4" si="5">AQ4+1</f>
        <v>45141</v>
      </c>
      <c r="AS4" s="431">
        <f t="shared" ref="AS4" si="6">AR4+1</f>
        <v>45142</v>
      </c>
      <c r="AT4" s="416"/>
      <c r="AU4" s="416"/>
      <c r="AV4" s="445" t="s">
        <v>109</v>
      </c>
      <c r="AW4" s="445" t="s">
        <v>110</v>
      </c>
      <c r="AX4" s="446" t="s">
        <v>111</v>
      </c>
      <c r="AY4" s="446" t="s">
        <v>112</v>
      </c>
      <c r="AZ4" s="446" t="s">
        <v>113</v>
      </c>
      <c r="BA4" s="417" t="s">
        <v>114</v>
      </c>
      <c r="BB4" s="447"/>
      <c r="BC4" s="447"/>
      <c r="BD4" s="447"/>
    </row>
    <row r="5" spans="1:57" s="6" customFormat="1">
      <c r="A5" s="66" t="s">
        <v>9</v>
      </c>
      <c r="B5" s="549" t="s">
        <v>358</v>
      </c>
      <c r="C5" s="554" t="s">
        <v>199</v>
      </c>
      <c r="D5" s="448"/>
      <c r="E5" s="449"/>
      <c r="F5" s="449" t="s">
        <v>221</v>
      </c>
      <c r="G5" s="449" t="s">
        <v>221</v>
      </c>
      <c r="H5" s="449"/>
      <c r="I5" s="449" t="s">
        <v>424</v>
      </c>
      <c r="J5" s="450" t="s">
        <v>221</v>
      </c>
      <c r="K5" s="451" t="s">
        <v>446</v>
      </c>
      <c r="L5" s="451" t="s">
        <v>446</v>
      </c>
      <c r="M5" s="449"/>
      <c r="N5" s="449"/>
      <c r="O5" s="451" t="s">
        <v>446</v>
      </c>
      <c r="P5" s="449"/>
      <c r="Q5" s="449"/>
      <c r="R5" s="451" t="s">
        <v>446</v>
      </c>
      <c r="S5" s="451" t="s">
        <v>446</v>
      </c>
      <c r="T5" s="449"/>
      <c r="U5" s="449" t="s">
        <v>221</v>
      </c>
      <c r="V5" s="451" t="s">
        <v>446</v>
      </c>
      <c r="W5" s="449"/>
      <c r="X5" s="449"/>
      <c r="Y5" s="451" t="s">
        <v>446</v>
      </c>
      <c r="Z5" s="451" t="s">
        <v>446</v>
      </c>
      <c r="AA5" s="452"/>
      <c r="AB5" s="452"/>
      <c r="AC5" s="451" t="s">
        <v>446</v>
      </c>
      <c r="AD5" s="449"/>
      <c r="AE5" s="453" t="s">
        <v>473</v>
      </c>
      <c r="AF5" s="449" t="s">
        <v>62</v>
      </c>
      <c r="AG5" s="449" t="s">
        <v>62</v>
      </c>
      <c r="AH5" s="478" t="s">
        <v>62</v>
      </c>
      <c r="AI5" s="478" t="s">
        <v>62</v>
      </c>
      <c r="AJ5" s="449" t="s">
        <v>62</v>
      </c>
      <c r="AK5" s="449" t="s">
        <v>62</v>
      </c>
      <c r="AL5" s="449" t="s">
        <v>62</v>
      </c>
      <c r="AM5" s="478" t="s">
        <v>62</v>
      </c>
      <c r="AN5" s="478" t="s">
        <v>62</v>
      </c>
      <c r="AO5" s="450" t="s">
        <v>115</v>
      </c>
      <c r="AP5" s="451"/>
      <c r="AQ5" s="451"/>
      <c r="AR5" s="453"/>
      <c r="AS5" s="454"/>
      <c r="AT5" s="568">
        <v>1</v>
      </c>
      <c r="AU5" s="50"/>
      <c r="AV5" s="441">
        <v>0</v>
      </c>
      <c r="AW5" s="48">
        <f>ROUND((AW$1-AW$2)*(_xlfn.XLOOKUP(A5,'ma-basisdaten'!$A$3:$A$23,'ma-basisdaten'!$C$3:$C$23)*8.4)/100,0)</f>
        <v>123</v>
      </c>
      <c r="AX5" s="441"/>
      <c r="AY5" s="301">
        <v>0</v>
      </c>
      <c r="AZ5" s="301">
        <v>0</v>
      </c>
      <c r="BA5" s="456"/>
      <c r="BB5" s="457"/>
      <c r="BC5" s="457"/>
      <c r="BD5" s="457"/>
    </row>
    <row r="6" spans="1:57" s="318" customFormat="1">
      <c r="A6" s="67" t="s">
        <v>10</v>
      </c>
      <c r="B6" s="550" t="s">
        <v>359</v>
      </c>
      <c r="C6" s="555" t="s">
        <v>199</v>
      </c>
      <c r="D6" s="424"/>
      <c r="E6" s="312"/>
      <c r="F6" s="317"/>
      <c r="G6" s="317"/>
      <c r="H6" s="317"/>
      <c r="I6" s="317"/>
      <c r="J6" s="443"/>
      <c r="K6" s="310" t="s">
        <v>446</v>
      </c>
      <c r="L6" s="310" t="s">
        <v>446</v>
      </c>
      <c r="M6" s="312"/>
      <c r="N6" s="312"/>
      <c r="O6" s="312"/>
      <c r="P6" s="312"/>
      <c r="Q6" s="312"/>
      <c r="R6" s="360"/>
      <c r="S6" s="360"/>
      <c r="T6" s="312"/>
      <c r="U6" s="312"/>
      <c r="V6" s="312"/>
      <c r="W6" s="312"/>
      <c r="X6" s="312"/>
      <c r="Y6" s="312"/>
      <c r="Z6" s="312"/>
      <c r="AA6" s="317"/>
      <c r="AB6" s="317"/>
      <c r="AC6" s="312"/>
      <c r="AD6" s="477" t="s">
        <v>446</v>
      </c>
      <c r="AE6" s="317" t="s">
        <v>230</v>
      </c>
      <c r="AF6" s="477" t="s">
        <v>204</v>
      </c>
      <c r="AG6" s="477" t="s">
        <v>446</v>
      </c>
      <c r="AH6" s="479" t="s">
        <v>204</v>
      </c>
      <c r="AI6" s="479" t="s">
        <v>482</v>
      </c>
      <c r="AJ6" s="317" t="s">
        <v>230</v>
      </c>
      <c r="AK6" s="317" t="s">
        <v>230</v>
      </c>
      <c r="AL6" s="317" t="s">
        <v>204</v>
      </c>
      <c r="AM6" s="562" t="s">
        <v>495</v>
      </c>
      <c r="AN6" s="562" t="s">
        <v>62</v>
      </c>
      <c r="AO6" s="425" t="s">
        <v>115</v>
      </c>
      <c r="AP6" s="310"/>
      <c r="AQ6" s="310"/>
      <c r="AR6" s="311"/>
      <c r="AS6" s="432"/>
      <c r="AT6" s="569">
        <v>2</v>
      </c>
      <c r="AU6" s="570"/>
      <c r="AV6" s="75">
        <v>0</v>
      </c>
      <c r="AW6" s="20">
        <f>ROUND((AW$1-AW$2)*(_xlfn.XLOOKUP(A6,'ma-basisdaten'!$A$3:$A$23,'ma-basisdaten'!$C$3:$C$23)*8.4)/100,0)</f>
        <v>159</v>
      </c>
      <c r="AX6" s="75"/>
      <c r="AY6" s="302">
        <v>1</v>
      </c>
      <c r="AZ6" s="302">
        <v>0</v>
      </c>
      <c r="BA6" s="459"/>
      <c r="BB6" s="84"/>
      <c r="BC6" s="84"/>
      <c r="BD6" s="84"/>
    </row>
    <row r="7" spans="1:57" s="318" customFormat="1">
      <c r="A7" s="67" t="s">
        <v>11</v>
      </c>
      <c r="B7" s="550" t="s">
        <v>360</v>
      </c>
      <c r="C7" s="555" t="s">
        <v>202</v>
      </c>
      <c r="D7" s="424"/>
      <c r="E7" s="312"/>
      <c r="F7" s="312" t="s">
        <v>204</v>
      </c>
      <c r="G7" s="312"/>
      <c r="H7" s="312" t="s">
        <v>237</v>
      </c>
      <c r="I7" s="312" t="s">
        <v>230</v>
      </c>
      <c r="J7" s="312"/>
      <c r="K7" s="567" t="s">
        <v>446</v>
      </c>
      <c r="L7" s="477" t="s">
        <v>446</v>
      </c>
      <c r="M7" s="312"/>
      <c r="N7" s="310" t="s">
        <v>446</v>
      </c>
      <c r="O7" s="312"/>
      <c r="P7" s="312"/>
      <c r="Q7" s="312"/>
      <c r="R7" s="477" t="s">
        <v>446</v>
      </c>
      <c r="S7" s="477" t="s">
        <v>446</v>
      </c>
      <c r="T7" s="312"/>
      <c r="U7" s="310" t="s">
        <v>446</v>
      </c>
      <c r="V7" s="312"/>
      <c r="W7" s="312"/>
      <c r="X7" s="312"/>
      <c r="Y7" s="312" t="s">
        <v>204</v>
      </c>
      <c r="Z7" s="312"/>
      <c r="AA7" s="317"/>
      <c r="AB7" s="310" t="s">
        <v>446</v>
      </c>
      <c r="AC7" s="312"/>
      <c r="AD7" s="312"/>
      <c r="AE7" s="312"/>
      <c r="AF7" s="317" t="s">
        <v>230</v>
      </c>
      <c r="AG7" s="317" t="s">
        <v>204</v>
      </c>
      <c r="AH7" s="479" t="s">
        <v>230</v>
      </c>
      <c r="AI7" s="480" t="s">
        <v>446</v>
      </c>
      <c r="AJ7" s="477" t="s">
        <v>204</v>
      </c>
      <c r="AK7" s="477" t="s">
        <v>204</v>
      </c>
      <c r="AL7" s="477" t="s">
        <v>446</v>
      </c>
      <c r="AM7" s="479" t="s">
        <v>204</v>
      </c>
      <c r="AN7" s="479" t="s">
        <v>230</v>
      </c>
      <c r="AO7" s="443" t="s">
        <v>204</v>
      </c>
      <c r="AP7" s="310"/>
      <c r="AQ7" s="328"/>
      <c r="AR7" s="311"/>
      <c r="AS7" s="432"/>
      <c r="AT7" s="569">
        <v>3</v>
      </c>
      <c r="AU7" s="570"/>
      <c r="AV7" s="75">
        <v>0</v>
      </c>
      <c r="AW7" s="20">
        <f>ROUND((AW$1-AW$2)*(_xlfn.XLOOKUP(A7,'ma-basisdaten'!$A$3:$A$23,'ma-basisdaten'!$C$3:$C$23)*8.4)/100,0)</f>
        <v>106</v>
      </c>
      <c r="AX7" s="75"/>
      <c r="AY7" s="302">
        <v>2</v>
      </c>
      <c r="AZ7" s="302">
        <v>0</v>
      </c>
      <c r="BA7" s="459"/>
      <c r="BB7" s="84"/>
      <c r="BC7" s="84"/>
      <c r="BD7" s="84"/>
    </row>
    <row r="8" spans="1:57" s="318" customFormat="1">
      <c r="A8" s="67" t="s">
        <v>12</v>
      </c>
      <c r="B8" s="550" t="s">
        <v>361</v>
      </c>
      <c r="C8" s="555" t="s">
        <v>202</v>
      </c>
      <c r="D8" s="424" t="s">
        <v>204</v>
      </c>
      <c r="E8" s="312" t="s">
        <v>230</v>
      </c>
      <c r="F8" s="312" t="s">
        <v>237</v>
      </c>
      <c r="G8" s="312"/>
      <c r="H8" s="312"/>
      <c r="I8" s="312" t="s">
        <v>204</v>
      </c>
      <c r="J8" s="425" t="s">
        <v>225</v>
      </c>
      <c r="K8" s="311" t="s">
        <v>474</v>
      </c>
      <c r="L8" s="312" t="s">
        <v>62</v>
      </c>
      <c r="M8" s="312" t="s">
        <v>62</v>
      </c>
      <c r="N8" s="312" t="s">
        <v>62</v>
      </c>
      <c r="O8" s="312" t="s">
        <v>62</v>
      </c>
      <c r="P8" s="312" t="s">
        <v>62</v>
      </c>
      <c r="Q8" s="312" t="s">
        <v>62</v>
      </c>
      <c r="R8" s="312" t="s">
        <v>62</v>
      </c>
      <c r="S8" s="312" t="s">
        <v>62</v>
      </c>
      <c r="T8" s="312" t="s">
        <v>115</v>
      </c>
      <c r="U8" s="312" t="s">
        <v>416</v>
      </c>
      <c r="V8" s="312"/>
      <c r="W8" s="312"/>
      <c r="X8" s="312"/>
      <c r="Y8" s="312"/>
      <c r="Z8" s="312"/>
      <c r="AA8" s="317"/>
      <c r="AB8" s="317"/>
      <c r="AC8" s="312"/>
      <c r="AD8" s="312"/>
      <c r="AE8" s="477" t="s">
        <v>446</v>
      </c>
      <c r="AF8" s="477" t="s">
        <v>446</v>
      </c>
      <c r="AG8" s="477" t="s">
        <v>230</v>
      </c>
      <c r="AH8" s="479" t="s">
        <v>204</v>
      </c>
      <c r="AI8" s="479" t="s">
        <v>235</v>
      </c>
      <c r="AJ8" s="477" t="s">
        <v>204</v>
      </c>
      <c r="AK8" s="477" t="s">
        <v>446</v>
      </c>
      <c r="AL8" s="317" t="s">
        <v>230</v>
      </c>
      <c r="AM8" s="479" t="s">
        <v>230</v>
      </c>
      <c r="AN8" s="479" t="s">
        <v>204</v>
      </c>
      <c r="AO8" s="443" t="s">
        <v>230</v>
      </c>
      <c r="AP8" s="310"/>
      <c r="AQ8" s="310"/>
      <c r="AR8" s="311"/>
      <c r="AS8" s="432"/>
      <c r="AT8" s="569">
        <v>4</v>
      </c>
      <c r="AU8" s="570"/>
      <c r="AV8" s="75">
        <v>0</v>
      </c>
      <c r="AW8" s="20">
        <f>ROUND((AW$1-AW$2)*(_xlfn.XLOOKUP(A8,'ma-basisdaten'!$A$3:$A$23,'ma-basisdaten'!$C$3:$C$23)*8.4)/100,0)</f>
        <v>159</v>
      </c>
      <c r="AX8" s="75"/>
      <c r="AY8" s="302">
        <v>2</v>
      </c>
      <c r="AZ8" s="302">
        <v>2</v>
      </c>
      <c r="BA8" s="459"/>
      <c r="BB8" s="84"/>
      <c r="BC8" s="84"/>
      <c r="BD8" s="84"/>
    </row>
    <row r="9" spans="1:57" s="8" customFormat="1">
      <c r="A9" s="460" t="s">
        <v>13</v>
      </c>
      <c r="B9" s="551" t="s">
        <v>362</v>
      </c>
      <c r="C9" s="556" t="s">
        <v>202</v>
      </c>
      <c r="D9" s="426"/>
      <c r="E9" s="427" t="s">
        <v>225</v>
      </c>
      <c r="F9" s="427"/>
      <c r="G9" s="427"/>
      <c r="H9" s="427"/>
      <c r="I9" s="427"/>
      <c r="J9" s="461"/>
      <c r="K9" s="426"/>
      <c r="L9" s="427"/>
      <c r="M9" s="427"/>
      <c r="N9" s="427"/>
      <c r="O9" s="427"/>
      <c r="P9" s="427"/>
      <c r="Q9" s="427"/>
      <c r="R9" s="462"/>
      <c r="S9" s="462"/>
      <c r="T9" s="427"/>
      <c r="U9" s="427"/>
      <c r="V9" s="427"/>
      <c r="W9" s="427"/>
      <c r="X9" s="427"/>
      <c r="Y9" s="427"/>
      <c r="Z9" s="427"/>
      <c r="AA9" s="463"/>
      <c r="AB9" s="463"/>
      <c r="AC9" s="427"/>
      <c r="AD9" s="463" t="s">
        <v>230</v>
      </c>
      <c r="AE9" s="477" t="s">
        <v>204</v>
      </c>
      <c r="AF9" s="433" t="s">
        <v>475</v>
      </c>
      <c r="AG9" s="427" t="s">
        <v>62</v>
      </c>
      <c r="AH9" s="481" t="s">
        <v>62</v>
      </c>
      <c r="AI9" s="481" t="s">
        <v>62</v>
      </c>
      <c r="AJ9" s="427" t="s">
        <v>62</v>
      </c>
      <c r="AK9" s="427" t="s">
        <v>62</v>
      </c>
      <c r="AL9" s="427" t="s">
        <v>62</v>
      </c>
      <c r="AM9" s="481" t="s">
        <v>62</v>
      </c>
      <c r="AN9" s="481" t="s">
        <v>62</v>
      </c>
      <c r="AO9" s="461" t="s">
        <v>115</v>
      </c>
      <c r="AP9" s="436"/>
      <c r="AQ9" s="436"/>
      <c r="AR9" s="433"/>
      <c r="AS9" s="434"/>
      <c r="AT9" s="571">
        <v>5</v>
      </c>
      <c r="AU9" s="51"/>
      <c r="AV9" s="466">
        <v>0</v>
      </c>
      <c r="AW9" s="467">
        <f>ROUND((AW$1-AW$2)*(_xlfn.XLOOKUP(A9,'ma-basisdaten'!$A$3:$A$23,'ma-basisdaten'!$C$3:$C$23)*8.4)/100,0)</f>
        <v>53</v>
      </c>
      <c r="AX9" s="466"/>
      <c r="AY9" s="468">
        <v>2</v>
      </c>
      <c r="AZ9" s="468">
        <v>1</v>
      </c>
      <c r="BA9" s="465"/>
      <c r="BB9" s="469"/>
      <c r="BC9" s="469"/>
      <c r="BD9" s="469"/>
    </row>
    <row r="10" spans="1:57" s="6" customFormat="1">
      <c r="A10" s="66" t="s">
        <v>14</v>
      </c>
      <c r="B10" s="549" t="s">
        <v>363</v>
      </c>
      <c r="C10" s="554" t="s">
        <v>207</v>
      </c>
      <c r="D10" s="448" t="s">
        <v>230</v>
      </c>
      <c r="E10" s="449" t="s">
        <v>204</v>
      </c>
      <c r="F10" s="449"/>
      <c r="G10" s="449" t="s">
        <v>204</v>
      </c>
      <c r="H10" s="449" t="s">
        <v>225</v>
      </c>
      <c r="I10" s="449"/>
      <c r="J10" s="450" t="s">
        <v>230</v>
      </c>
      <c r="K10" s="448"/>
      <c r="L10" s="449"/>
      <c r="M10" s="310" t="s">
        <v>446</v>
      </c>
      <c r="N10" s="449"/>
      <c r="O10" s="449"/>
      <c r="P10" s="449"/>
      <c r="Q10" s="449"/>
      <c r="R10" s="451" t="s">
        <v>446</v>
      </c>
      <c r="S10" s="451" t="s">
        <v>446</v>
      </c>
      <c r="T10" s="310" t="s">
        <v>446</v>
      </c>
      <c r="U10" s="449"/>
      <c r="V10" s="449"/>
      <c r="W10" s="449"/>
      <c r="X10" s="449"/>
      <c r="Y10" s="449"/>
      <c r="Z10" s="449"/>
      <c r="AA10" s="310" t="s">
        <v>446</v>
      </c>
      <c r="AB10" s="452"/>
      <c r="AC10" s="449"/>
      <c r="AD10" s="449"/>
      <c r="AE10" s="449"/>
      <c r="AF10" s="452" t="s">
        <v>225</v>
      </c>
      <c r="AG10" s="452" t="s">
        <v>204</v>
      </c>
      <c r="AH10" s="480" t="s">
        <v>446</v>
      </c>
      <c r="AI10" s="482" t="s">
        <v>204</v>
      </c>
      <c r="AJ10" s="452" t="s">
        <v>225</v>
      </c>
      <c r="AK10" s="452" t="s">
        <v>204</v>
      </c>
      <c r="AL10" s="452" t="s">
        <v>204</v>
      </c>
      <c r="AM10" s="565" t="s">
        <v>496</v>
      </c>
      <c r="AN10" s="478" t="s">
        <v>62</v>
      </c>
      <c r="AO10" s="450" t="s">
        <v>115</v>
      </c>
      <c r="AP10" s="451"/>
      <c r="AQ10" s="451"/>
      <c r="AR10" s="453"/>
      <c r="AS10" s="454"/>
      <c r="AT10" s="568">
        <v>6</v>
      </c>
      <c r="AU10" s="50"/>
      <c r="AV10" s="441">
        <v>0</v>
      </c>
      <c r="AW10" s="48">
        <f>ROUND((AW$1-AW$2)*(_xlfn.XLOOKUP(A10,'ma-basisdaten'!$A$3:$A$23,'ma-basisdaten'!$C$3:$C$23)*8.4)/100,0)</f>
        <v>123</v>
      </c>
      <c r="AX10" s="441"/>
      <c r="AY10" s="301">
        <v>2</v>
      </c>
      <c r="AZ10" s="301">
        <v>2</v>
      </c>
      <c r="BA10" s="456"/>
      <c r="BB10" s="457"/>
      <c r="BC10" s="457"/>
      <c r="BD10" s="457"/>
    </row>
    <row r="11" spans="1:57" s="8" customFormat="1">
      <c r="A11" s="460" t="s">
        <v>15</v>
      </c>
      <c r="B11" s="551" t="s">
        <v>364</v>
      </c>
      <c r="C11" s="556" t="s">
        <v>207</v>
      </c>
      <c r="D11" s="426"/>
      <c r="E11" s="427"/>
      <c r="F11" s="427"/>
      <c r="G11" s="427"/>
      <c r="H11" s="427"/>
      <c r="I11" s="427"/>
      <c r="J11" s="461"/>
      <c r="K11" s="436" t="s">
        <v>446</v>
      </c>
      <c r="L11" s="436" t="s">
        <v>446</v>
      </c>
      <c r="M11" s="427"/>
      <c r="N11" s="427"/>
      <c r="O11" s="427"/>
      <c r="P11" s="427"/>
      <c r="Q11" s="427"/>
      <c r="R11" s="462"/>
      <c r="S11" s="462"/>
      <c r="T11" s="427"/>
      <c r="U11" s="427"/>
      <c r="V11" s="427"/>
      <c r="W11" s="427"/>
      <c r="X11" s="427"/>
      <c r="Y11" s="427"/>
      <c r="Z11" s="427"/>
      <c r="AA11" s="463"/>
      <c r="AB11" s="463"/>
      <c r="AC11" s="427"/>
      <c r="AD11" s="427"/>
      <c r="AE11" s="463" t="s">
        <v>225</v>
      </c>
      <c r="AF11" s="477" t="s">
        <v>446</v>
      </c>
      <c r="AG11" s="477" t="s">
        <v>446</v>
      </c>
      <c r="AH11" s="483" t="s">
        <v>225</v>
      </c>
      <c r="AI11" s="483" t="s">
        <v>204</v>
      </c>
      <c r="AJ11" s="477" t="s">
        <v>446</v>
      </c>
      <c r="AK11" s="475" t="s">
        <v>225</v>
      </c>
      <c r="AL11" s="477" t="s">
        <v>225</v>
      </c>
      <c r="AM11" s="566" t="s">
        <v>225</v>
      </c>
      <c r="AN11" s="483" t="s">
        <v>204</v>
      </c>
      <c r="AO11" s="563" t="s">
        <v>204</v>
      </c>
      <c r="AP11" s="436"/>
      <c r="AQ11" s="436"/>
      <c r="AR11" s="433"/>
      <c r="AS11" s="434"/>
      <c r="AT11" s="571">
        <v>7</v>
      </c>
      <c r="AU11" s="51"/>
      <c r="AV11" s="466">
        <v>0</v>
      </c>
      <c r="AW11" s="467">
        <f>ROUND((AW$1-AW$2)*(_xlfn.XLOOKUP(A11,'ma-basisdaten'!$A$3:$A$23,'ma-basisdaten'!$C$3:$C$23)*8.4)/100,0)</f>
        <v>141</v>
      </c>
      <c r="AX11" s="466"/>
      <c r="AY11" s="468">
        <v>1</v>
      </c>
      <c r="AZ11" s="468">
        <v>0</v>
      </c>
      <c r="BA11" s="465"/>
      <c r="BB11" s="469"/>
      <c r="BC11" s="469"/>
      <c r="BD11" s="469"/>
    </row>
    <row r="12" spans="1:57" s="6" customFormat="1">
      <c r="A12" s="66" t="s">
        <v>16</v>
      </c>
      <c r="B12" s="549" t="s">
        <v>365</v>
      </c>
      <c r="C12" s="554" t="s">
        <v>215</v>
      </c>
      <c r="D12" s="448"/>
      <c r="E12" s="449"/>
      <c r="F12" s="449"/>
      <c r="G12" s="449"/>
      <c r="H12" s="449"/>
      <c r="I12" s="449"/>
      <c r="J12" s="450"/>
      <c r="K12" s="453" t="s">
        <v>476</v>
      </c>
      <c r="L12" s="449" t="s">
        <v>62</v>
      </c>
      <c r="M12" s="449" t="s">
        <v>62</v>
      </c>
      <c r="N12" s="449" t="s">
        <v>62</v>
      </c>
      <c r="O12" s="449" t="s">
        <v>62</v>
      </c>
      <c r="P12" s="449" t="s">
        <v>62</v>
      </c>
      <c r="Q12" s="449" t="s">
        <v>62</v>
      </c>
      <c r="R12" s="449" t="s">
        <v>62</v>
      </c>
      <c r="S12" s="449" t="s">
        <v>62</v>
      </c>
      <c r="T12" s="449" t="s">
        <v>62</v>
      </c>
      <c r="U12" s="449" t="s">
        <v>62</v>
      </c>
      <c r="V12" s="449" t="s">
        <v>62</v>
      </c>
      <c r="W12" s="449" t="s">
        <v>62</v>
      </c>
      <c r="X12" s="449" t="s">
        <v>62</v>
      </c>
      <c r="Y12" s="449" t="s">
        <v>62</v>
      </c>
      <c r="Z12" s="449" t="s">
        <v>62</v>
      </c>
      <c r="AA12" s="449" t="s">
        <v>62</v>
      </c>
      <c r="AB12" s="449" t="s">
        <v>62</v>
      </c>
      <c r="AC12" s="449" t="s">
        <v>62</v>
      </c>
      <c r="AD12" s="449" t="s">
        <v>62</v>
      </c>
      <c r="AE12" s="449" t="s">
        <v>62</v>
      </c>
      <c r="AF12" s="449" t="s">
        <v>62</v>
      </c>
      <c r="AG12" s="449" t="s">
        <v>62</v>
      </c>
      <c r="AH12" s="449" t="s">
        <v>62</v>
      </c>
      <c r="AI12" s="449" t="s">
        <v>62</v>
      </c>
      <c r="AJ12" s="449" t="s">
        <v>62</v>
      </c>
      <c r="AK12" s="449" t="s">
        <v>62</v>
      </c>
      <c r="AL12" s="449" t="s">
        <v>62</v>
      </c>
      <c r="AM12" s="478" t="s">
        <v>62</v>
      </c>
      <c r="AN12" s="478" t="s">
        <v>115</v>
      </c>
      <c r="AO12" s="564" t="s">
        <v>225</v>
      </c>
      <c r="AP12" s="451"/>
      <c r="AQ12" s="451"/>
      <c r="AR12" s="453"/>
      <c r="AS12" s="454"/>
      <c r="AT12" s="568">
        <v>8</v>
      </c>
      <c r="AU12" s="50"/>
      <c r="AV12" s="441">
        <v>0</v>
      </c>
      <c r="AW12" s="48">
        <f>ROUND((AW$1-AW$2)*(_xlfn.XLOOKUP(A12,'ma-basisdaten'!$A$3:$A$23,'ma-basisdaten'!$C$3:$C$23)*8.4)/100,0)</f>
        <v>88</v>
      </c>
      <c r="AX12" s="441"/>
      <c r="AY12" s="301">
        <v>2</v>
      </c>
      <c r="AZ12" s="301">
        <v>0</v>
      </c>
      <c r="BA12" s="456"/>
      <c r="BB12" s="457"/>
      <c r="BC12" s="457"/>
      <c r="BD12" s="457"/>
    </row>
    <row r="13" spans="1:57" s="318" customFormat="1">
      <c r="A13" s="67" t="s">
        <v>17</v>
      </c>
      <c r="B13" s="552" t="s">
        <v>366</v>
      </c>
      <c r="C13" s="90" t="s">
        <v>215</v>
      </c>
      <c r="D13" s="424"/>
      <c r="E13" s="312"/>
      <c r="F13" s="312"/>
      <c r="G13" s="312" t="s">
        <v>433</v>
      </c>
      <c r="H13" s="312"/>
      <c r="I13" s="312"/>
      <c r="J13" s="425"/>
      <c r="K13" s="310" t="s">
        <v>446</v>
      </c>
      <c r="L13" s="310" t="s">
        <v>446</v>
      </c>
      <c r="M13" s="310" t="s">
        <v>446</v>
      </c>
      <c r="N13" s="312" t="s">
        <v>225</v>
      </c>
      <c r="O13" s="310" t="s">
        <v>446</v>
      </c>
      <c r="P13" s="310" t="s">
        <v>446</v>
      </c>
      <c r="Q13" s="310" t="s">
        <v>446</v>
      </c>
      <c r="R13" s="311" t="s">
        <v>497</v>
      </c>
      <c r="S13" s="312" t="s">
        <v>62</v>
      </c>
      <c r="T13" s="312" t="s">
        <v>62</v>
      </c>
      <c r="U13" s="312" t="s">
        <v>62</v>
      </c>
      <c r="V13" s="312" t="s">
        <v>62</v>
      </c>
      <c r="W13" s="312" t="s">
        <v>62</v>
      </c>
      <c r="X13" s="312" t="s">
        <v>62</v>
      </c>
      <c r="Y13" s="312" t="s">
        <v>62</v>
      </c>
      <c r="Z13" s="312" t="s">
        <v>115</v>
      </c>
      <c r="AA13" s="310" t="s">
        <v>446</v>
      </c>
      <c r="AB13" s="312" t="s">
        <v>225</v>
      </c>
      <c r="AC13" s="310" t="s">
        <v>446</v>
      </c>
      <c r="AD13" s="310" t="s">
        <v>446</v>
      </c>
      <c r="AE13" s="310" t="s">
        <v>446</v>
      </c>
      <c r="AF13" s="317" t="s">
        <v>204</v>
      </c>
      <c r="AG13" s="317" t="s">
        <v>225</v>
      </c>
      <c r="AH13" s="310" t="s">
        <v>446</v>
      </c>
      <c r="AI13" s="312" t="s">
        <v>225</v>
      </c>
      <c r="AJ13" s="310" t="s">
        <v>446</v>
      </c>
      <c r="AK13" s="310" t="s">
        <v>446</v>
      </c>
      <c r="AL13" s="310" t="s">
        <v>446</v>
      </c>
      <c r="AM13" s="483" t="s">
        <v>204</v>
      </c>
      <c r="AN13" s="483" t="s">
        <v>225</v>
      </c>
      <c r="AO13" s="310" t="s">
        <v>446</v>
      </c>
      <c r="AP13" s="310"/>
      <c r="AQ13" s="310"/>
      <c r="AR13" s="311"/>
      <c r="AS13" s="432"/>
      <c r="AT13" s="569">
        <v>9</v>
      </c>
      <c r="AU13" s="570"/>
      <c r="AV13" s="75">
        <v>0</v>
      </c>
      <c r="AW13" s="20">
        <f>ROUND((AW$1-AW$2)*(_xlfn.XLOOKUP(A13,'ma-basisdaten'!$A$3:$A$23,'ma-basisdaten'!$C$3:$C$23)*8.4)/100,0)</f>
        <v>53</v>
      </c>
      <c r="AX13" s="75"/>
      <c r="AY13" s="302">
        <v>1</v>
      </c>
      <c r="AZ13" s="302">
        <v>0</v>
      </c>
      <c r="BA13" s="459"/>
      <c r="BB13" s="84"/>
      <c r="BC13" s="84"/>
      <c r="BD13" s="84"/>
    </row>
    <row r="14" spans="1:57" s="318" customFormat="1">
      <c r="A14" s="67" t="s">
        <v>18</v>
      </c>
      <c r="B14" s="553" t="s">
        <v>367</v>
      </c>
      <c r="C14" s="557" t="s">
        <v>215</v>
      </c>
      <c r="D14" s="424"/>
      <c r="E14" s="312"/>
      <c r="F14" s="312"/>
      <c r="G14" s="312"/>
      <c r="H14" s="312"/>
      <c r="I14" s="312"/>
      <c r="J14" s="425"/>
      <c r="K14" s="310" t="s">
        <v>446</v>
      </c>
      <c r="L14" s="310" t="s">
        <v>446</v>
      </c>
      <c r="M14" s="310" t="s">
        <v>446</v>
      </c>
      <c r="N14" s="310" t="s">
        <v>446</v>
      </c>
      <c r="O14" s="310" t="s">
        <v>446</v>
      </c>
      <c r="P14" s="310" t="s">
        <v>446</v>
      </c>
      <c r="Q14" s="310" t="s">
        <v>446</v>
      </c>
      <c r="R14" s="310" t="s">
        <v>446</v>
      </c>
      <c r="S14" s="310" t="s">
        <v>446</v>
      </c>
      <c r="T14" s="310" t="s">
        <v>446</v>
      </c>
      <c r="U14" s="310" t="s">
        <v>446</v>
      </c>
      <c r="V14" s="310" t="s">
        <v>446</v>
      </c>
      <c r="W14" s="310" t="s">
        <v>446</v>
      </c>
      <c r="X14" s="310" t="s">
        <v>446</v>
      </c>
      <c r="Y14" s="310" t="s">
        <v>446</v>
      </c>
      <c r="Z14" s="310" t="s">
        <v>446</v>
      </c>
      <c r="AA14" s="310" t="s">
        <v>446</v>
      </c>
      <c r="AB14" s="310" t="s">
        <v>446</v>
      </c>
      <c r="AC14" s="310" t="s">
        <v>446</v>
      </c>
      <c r="AD14" s="310" t="s">
        <v>446</v>
      </c>
      <c r="AE14" s="310" t="s">
        <v>446</v>
      </c>
      <c r="AF14" s="310" t="s">
        <v>446</v>
      </c>
      <c r="AG14" s="310" t="s">
        <v>446</v>
      </c>
      <c r="AH14" s="310" t="s">
        <v>446</v>
      </c>
      <c r="AI14" s="310" t="s">
        <v>446</v>
      </c>
      <c r="AJ14" s="310" t="s">
        <v>446</v>
      </c>
      <c r="AK14" s="310" t="s">
        <v>446</v>
      </c>
      <c r="AL14" s="310" t="s">
        <v>446</v>
      </c>
      <c r="AM14" s="310" t="s">
        <v>446</v>
      </c>
      <c r="AN14" s="310" t="s">
        <v>446</v>
      </c>
      <c r="AO14" s="310" t="s">
        <v>446</v>
      </c>
      <c r="AP14" s="310"/>
      <c r="AQ14" s="310"/>
      <c r="AR14" s="311"/>
      <c r="AS14" s="432"/>
      <c r="AT14" s="569">
        <v>10</v>
      </c>
      <c r="AU14" s="570"/>
      <c r="AV14" s="75">
        <v>0</v>
      </c>
      <c r="AW14" s="437">
        <f>ROUND((AW$1-AW$2)*(_xlfn.XLOOKUP(A14,'ma-basisdaten'!$A$3:$A$23,'ma-basisdaten'!$C$3:$C$23)*8.4)/100,0)</f>
        <v>0</v>
      </c>
      <c r="AX14" s="75"/>
      <c r="AY14" s="302">
        <v>0</v>
      </c>
      <c r="AZ14" s="302">
        <v>0</v>
      </c>
      <c r="BA14" s="459"/>
      <c r="BB14" s="84"/>
      <c r="BC14" s="84"/>
      <c r="BD14" s="84"/>
    </row>
    <row r="15" spans="1:57" s="318" customFormat="1">
      <c r="A15" s="67" t="s">
        <v>19</v>
      </c>
      <c r="B15" s="550" t="s">
        <v>368</v>
      </c>
      <c r="C15" s="555" t="s">
        <v>215</v>
      </c>
      <c r="D15" s="424" t="s">
        <v>225</v>
      </c>
      <c r="E15" s="312" t="s">
        <v>204</v>
      </c>
      <c r="F15" s="312" t="s">
        <v>225</v>
      </c>
      <c r="G15" s="312"/>
      <c r="H15" s="312"/>
      <c r="I15" s="312" t="s">
        <v>225</v>
      </c>
      <c r="J15" s="425" t="s">
        <v>204</v>
      </c>
      <c r="K15" s="424"/>
      <c r="L15" s="312"/>
      <c r="M15" s="312"/>
      <c r="N15" s="312"/>
      <c r="O15" s="312"/>
      <c r="P15" s="312"/>
      <c r="Q15" s="312"/>
      <c r="R15" s="360"/>
      <c r="S15" s="360"/>
      <c r="T15" s="312"/>
      <c r="U15" s="312"/>
      <c r="V15" s="312"/>
      <c r="W15" s="312"/>
      <c r="X15" s="312"/>
      <c r="Y15" s="312"/>
      <c r="Z15" s="312"/>
      <c r="AB15" s="311" t="s">
        <v>504</v>
      </c>
      <c r="AC15" s="312" t="s">
        <v>62</v>
      </c>
      <c r="AD15" s="312" t="s">
        <v>62</v>
      </c>
      <c r="AE15" s="312" t="s">
        <v>62</v>
      </c>
      <c r="AF15" s="312" t="s">
        <v>62</v>
      </c>
      <c r="AG15" s="312" t="s">
        <v>62</v>
      </c>
      <c r="AH15" s="312" t="s">
        <v>62</v>
      </c>
      <c r="AI15" s="312" t="s">
        <v>62</v>
      </c>
      <c r="AJ15" s="312" t="s">
        <v>62</v>
      </c>
      <c r="AK15" s="312" t="s">
        <v>62</v>
      </c>
      <c r="AL15" s="312" t="s">
        <v>62</v>
      </c>
      <c r="AM15" s="312" t="s">
        <v>62</v>
      </c>
      <c r="AN15" s="312" t="s">
        <v>62</v>
      </c>
      <c r="AO15" s="312" t="s">
        <v>115</v>
      </c>
      <c r="AP15" s="310"/>
      <c r="AQ15" s="310"/>
      <c r="AR15" s="311"/>
      <c r="AS15" s="432"/>
      <c r="AT15" s="569">
        <v>11</v>
      </c>
      <c r="AU15" s="570"/>
      <c r="AV15" s="75">
        <v>0</v>
      </c>
      <c r="AW15" s="20">
        <f>ROUND((AW$1-AW$2)*(_xlfn.XLOOKUP(A15,'ma-basisdaten'!$A$3:$A$23,'ma-basisdaten'!$C$3:$C$23)*8.4)/100,0)</f>
        <v>176</v>
      </c>
      <c r="AX15" s="75"/>
      <c r="AY15" s="302">
        <v>3</v>
      </c>
      <c r="AZ15" s="302">
        <v>3</v>
      </c>
      <c r="BA15" s="459"/>
      <c r="BB15" s="84"/>
      <c r="BC15" s="84"/>
      <c r="BD15" s="84"/>
    </row>
    <row r="16" spans="1:57" s="6" customFormat="1">
      <c r="A16" s="66" t="s">
        <v>20</v>
      </c>
      <c r="B16" s="549" t="s">
        <v>369</v>
      </c>
      <c r="C16" s="554" t="s">
        <v>215</v>
      </c>
      <c r="D16" s="448"/>
      <c r="E16" s="449"/>
      <c r="F16" s="449" t="s">
        <v>244</v>
      </c>
      <c r="G16" s="449" t="s">
        <v>244</v>
      </c>
      <c r="H16" s="449" t="s">
        <v>239</v>
      </c>
      <c r="I16" s="449" t="s">
        <v>242</v>
      </c>
      <c r="J16" s="450" t="s">
        <v>242</v>
      </c>
      <c r="K16" s="448"/>
      <c r="L16" s="449"/>
      <c r="M16" s="449"/>
      <c r="N16" s="449"/>
      <c r="O16" s="449"/>
      <c r="P16" s="449"/>
      <c r="Q16" s="449"/>
      <c r="R16" s="472"/>
      <c r="S16" s="472"/>
      <c r="T16" s="449"/>
      <c r="U16" s="449"/>
      <c r="V16" s="449"/>
      <c r="W16" s="449"/>
      <c r="X16" s="449"/>
      <c r="Y16" s="449"/>
      <c r="Z16" s="449"/>
      <c r="AA16" s="452"/>
      <c r="AB16" s="452"/>
      <c r="AC16" s="452" t="s">
        <v>239</v>
      </c>
      <c r="AD16" s="452" t="s">
        <v>239</v>
      </c>
      <c r="AE16" s="452" t="s">
        <v>244</v>
      </c>
      <c r="AF16" s="453" t="s">
        <v>474</v>
      </c>
      <c r="AG16" s="449" t="s">
        <v>62</v>
      </c>
      <c r="AH16" s="449" t="s">
        <v>62</v>
      </c>
      <c r="AI16" s="449" t="s">
        <v>62</v>
      </c>
      <c r="AJ16" s="449" t="s">
        <v>62</v>
      </c>
      <c r="AK16" s="449" t="s">
        <v>62</v>
      </c>
      <c r="AL16" s="449" t="s">
        <v>62</v>
      </c>
      <c r="AM16" s="449" t="s">
        <v>62</v>
      </c>
      <c r="AN16" s="449" t="s">
        <v>62</v>
      </c>
      <c r="AO16" s="449" t="s">
        <v>115</v>
      </c>
      <c r="AP16" s="451"/>
      <c r="AQ16" s="451"/>
      <c r="AR16" s="453"/>
      <c r="AS16" s="454"/>
      <c r="AT16" s="568">
        <v>12</v>
      </c>
      <c r="AU16" s="50"/>
      <c r="AV16" s="441">
        <v>0</v>
      </c>
      <c r="AW16" s="48">
        <f>ROUND((AW$1-AW$2)*(_xlfn.XLOOKUP(A16,'ma-basisdaten'!$A$3:$A$23,'ma-basisdaten'!$C$3:$C$23)*8.4)/100,0)</f>
        <v>159</v>
      </c>
      <c r="AX16" s="441"/>
      <c r="AY16" s="301">
        <v>2</v>
      </c>
      <c r="AZ16" s="301">
        <v>0</v>
      </c>
      <c r="BA16" s="456"/>
      <c r="BB16" s="457"/>
      <c r="BC16" s="457"/>
      <c r="BD16" s="457"/>
    </row>
    <row r="17" spans="1:57" s="318" customFormat="1">
      <c r="A17" s="67" t="s">
        <v>21</v>
      </c>
      <c r="B17" s="550" t="s">
        <v>370</v>
      </c>
      <c r="C17" s="555" t="s">
        <v>215</v>
      </c>
      <c r="D17" s="424"/>
      <c r="E17" s="312"/>
      <c r="F17" s="312" t="s">
        <v>250</v>
      </c>
      <c r="G17" s="312" t="s">
        <v>248</v>
      </c>
      <c r="H17" s="312"/>
      <c r="I17" s="312"/>
      <c r="J17" s="425"/>
      <c r="K17" s="311" t="s">
        <v>477</v>
      </c>
      <c r="L17" s="312" t="s">
        <v>62</v>
      </c>
      <c r="M17" s="312" t="s">
        <v>62</v>
      </c>
      <c r="N17" s="312" t="s">
        <v>62</v>
      </c>
      <c r="O17" s="312" t="s">
        <v>62</v>
      </c>
      <c r="P17" s="312" t="s">
        <v>62</v>
      </c>
      <c r="Q17" s="312" t="s">
        <v>62</v>
      </c>
      <c r="R17" s="312" t="s">
        <v>62</v>
      </c>
      <c r="S17" s="312" t="s">
        <v>62</v>
      </c>
      <c r="T17" s="312" t="s">
        <v>62</v>
      </c>
      <c r="U17" s="312" t="s">
        <v>62</v>
      </c>
      <c r="V17" s="312" t="s">
        <v>62</v>
      </c>
      <c r="W17" s="312" t="s">
        <v>62</v>
      </c>
      <c r="X17" s="312" t="s">
        <v>62</v>
      </c>
      <c r="Y17" s="312" t="s">
        <v>62</v>
      </c>
      <c r="Z17" s="312" t="s">
        <v>62</v>
      </c>
      <c r="AA17" s="312" t="s">
        <v>62</v>
      </c>
      <c r="AB17" s="312" t="s">
        <v>62</v>
      </c>
      <c r="AC17" s="312" t="s">
        <v>62</v>
      </c>
      <c r="AD17" s="312" t="s">
        <v>62</v>
      </c>
      <c r="AE17" s="312" t="s">
        <v>62</v>
      </c>
      <c r="AF17" s="312" t="s">
        <v>62</v>
      </c>
      <c r="AG17" s="312" t="s">
        <v>115</v>
      </c>
      <c r="AH17" s="317" t="s">
        <v>239</v>
      </c>
      <c r="AI17" s="317" t="s">
        <v>239</v>
      </c>
      <c r="AJ17" s="435"/>
      <c r="AK17" s="312"/>
      <c r="AL17" s="312"/>
      <c r="AM17" s="312"/>
      <c r="AN17" s="312"/>
      <c r="AO17" s="312"/>
      <c r="AP17" s="310"/>
      <c r="AQ17" s="310"/>
      <c r="AR17" s="311"/>
      <c r="AS17" s="432"/>
      <c r="AT17" s="569">
        <v>13</v>
      </c>
      <c r="AU17" s="570"/>
      <c r="AV17" s="75">
        <v>0</v>
      </c>
      <c r="AW17" s="20">
        <f>ROUND((AW$1-AW$2)*(_xlfn.XLOOKUP(A17,'ma-basisdaten'!$A$3:$A$23,'ma-basisdaten'!$C$3:$C$23)*8.4)/100,0)</f>
        <v>88</v>
      </c>
      <c r="AX17" s="75"/>
      <c r="AY17" s="302">
        <v>1</v>
      </c>
      <c r="AZ17" s="302">
        <v>0</v>
      </c>
      <c r="BA17" s="459"/>
      <c r="BB17" s="84"/>
      <c r="BC17" s="84"/>
      <c r="BD17" s="84"/>
    </row>
    <row r="18" spans="1:57" s="8" customFormat="1">
      <c r="A18" s="460" t="s">
        <v>22</v>
      </c>
      <c r="B18" s="551" t="s">
        <v>371</v>
      </c>
      <c r="C18" s="556" t="s">
        <v>215</v>
      </c>
      <c r="D18" s="426" t="s">
        <v>239</v>
      </c>
      <c r="E18" s="427" t="s">
        <v>239</v>
      </c>
      <c r="F18" s="427" t="s">
        <v>479</v>
      </c>
      <c r="G18" s="427"/>
      <c r="H18" s="427"/>
      <c r="I18" s="427" t="s">
        <v>250</v>
      </c>
      <c r="J18" s="461" t="s">
        <v>250</v>
      </c>
      <c r="K18" s="470" t="s">
        <v>239</v>
      </c>
      <c r="L18" s="463" t="s">
        <v>239</v>
      </c>
      <c r="M18" s="427" t="s">
        <v>479</v>
      </c>
      <c r="N18" s="427"/>
      <c r="O18" s="427"/>
      <c r="P18" s="427"/>
      <c r="Q18" s="427"/>
      <c r="R18" s="462"/>
      <c r="S18" s="462"/>
      <c r="T18" s="427" t="s">
        <v>479</v>
      </c>
      <c r="U18" s="427"/>
      <c r="V18" s="427"/>
      <c r="W18" s="427"/>
      <c r="X18" s="427"/>
      <c r="Y18" s="427"/>
      <c r="Z18" s="427"/>
      <c r="AA18" s="427" t="s">
        <v>479</v>
      </c>
      <c r="AB18" s="463"/>
      <c r="AC18" s="427"/>
      <c r="AD18" s="477"/>
      <c r="AE18" s="477" t="s">
        <v>248</v>
      </c>
      <c r="AF18" s="463" t="s">
        <v>239</v>
      </c>
      <c r="AG18" s="463" t="s">
        <v>239</v>
      </c>
      <c r="AH18" s="427" t="s">
        <v>479</v>
      </c>
      <c r="AI18" s="427"/>
      <c r="AJ18" s="427"/>
      <c r="AK18" s="427"/>
      <c r="AL18" s="427"/>
      <c r="AM18" s="427"/>
      <c r="AN18" s="427"/>
      <c r="AO18" s="427" t="s">
        <v>479</v>
      </c>
      <c r="AP18" s="436"/>
      <c r="AQ18" s="436"/>
      <c r="AR18" s="433"/>
      <c r="AS18" s="434"/>
      <c r="AT18" s="571">
        <v>14</v>
      </c>
      <c r="AU18" s="51"/>
      <c r="AV18" s="466">
        <v>0</v>
      </c>
      <c r="AW18" s="467">
        <f>ROUND((AW$1-AW$2)*(_xlfn.XLOOKUP(A18,'ma-basisdaten'!$A$3:$A$23,'ma-basisdaten'!$C$3:$C$23)*8.4)/100,0)</f>
        <v>141</v>
      </c>
      <c r="AX18" s="466"/>
      <c r="AY18" s="468">
        <v>1</v>
      </c>
      <c r="AZ18" s="468">
        <v>1</v>
      </c>
      <c r="BA18" s="465"/>
      <c r="BB18" s="469"/>
      <c r="BC18" s="469"/>
      <c r="BD18" s="469"/>
    </row>
    <row r="19" spans="1:57" s="6" customFormat="1">
      <c r="A19" s="66" t="s">
        <v>208</v>
      </c>
      <c r="B19" s="471" t="s">
        <v>372</v>
      </c>
      <c r="C19" s="554" t="s">
        <v>217</v>
      </c>
      <c r="D19" s="448"/>
      <c r="E19" s="449"/>
      <c r="F19" s="449"/>
      <c r="G19" s="449"/>
      <c r="H19" s="449"/>
      <c r="I19" s="449"/>
      <c r="J19" s="450"/>
      <c r="K19" s="448"/>
      <c r="L19" s="312"/>
      <c r="M19" s="449"/>
      <c r="N19" s="449"/>
      <c r="O19" s="449"/>
      <c r="P19" s="449" t="s">
        <v>439</v>
      </c>
      <c r="Q19" s="449"/>
      <c r="R19" s="472"/>
      <c r="S19" s="472"/>
      <c r="T19" s="449"/>
      <c r="U19" s="449"/>
      <c r="V19" s="449"/>
      <c r="W19" s="449"/>
      <c r="X19" s="449"/>
      <c r="Y19" s="449"/>
      <c r="Z19" s="449"/>
      <c r="AA19" s="453" t="s">
        <v>493</v>
      </c>
      <c r="AB19" s="449" t="s">
        <v>62</v>
      </c>
      <c r="AC19" s="449" t="s">
        <v>62</v>
      </c>
      <c r="AD19" s="449" t="s">
        <v>62</v>
      </c>
      <c r="AE19" s="449" t="s">
        <v>62</v>
      </c>
      <c r="AF19" s="449" t="s">
        <v>62</v>
      </c>
      <c r="AG19" s="449" t="s">
        <v>62</v>
      </c>
      <c r="AH19" s="449" t="s">
        <v>62</v>
      </c>
      <c r="AI19" s="449" t="s">
        <v>62</v>
      </c>
      <c r="AJ19" s="449" t="s">
        <v>62</v>
      </c>
      <c r="AK19" s="449" t="s">
        <v>62</v>
      </c>
      <c r="AL19" s="449" t="s">
        <v>62</v>
      </c>
      <c r="AM19" s="449" t="s">
        <v>62</v>
      </c>
      <c r="AN19" s="449" t="s">
        <v>62</v>
      </c>
      <c r="AO19" s="449" t="s">
        <v>115</v>
      </c>
      <c r="AP19" s="451"/>
      <c r="AQ19" s="451"/>
      <c r="AR19" s="453"/>
      <c r="AS19" s="454"/>
      <c r="AT19" s="568">
        <v>15</v>
      </c>
      <c r="AU19" s="50"/>
      <c r="AV19" s="441">
        <v>0</v>
      </c>
      <c r="AW19" s="48">
        <f>ROUND((AW$1-AW$2)*(_xlfn.XLOOKUP(A19,'ma-basisdaten'!$A$3:$A$23,'ma-basisdaten'!$C$3:$C$23)*8)/100,0)</f>
        <v>168</v>
      </c>
      <c r="AX19" s="441"/>
      <c r="AY19" s="301">
        <v>0</v>
      </c>
      <c r="AZ19" s="301">
        <v>0</v>
      </c>
      <c r="BA19" s="456"/>
      <c r="BB19" s="457"/>
      <c r="BC19" s="457"/>
      <c r="BD19" s="457"/>
    </row>
    <row r="20" spans="1:57" s="318" customFormat="1">
      <c r="A20" s="67" t="s">
        <v>23</v>
      </c>
      <c r="B20" s="473" t="s">
        <v>373</v>
      </c>
      <c r="C20" s="555" t="s">
        <v>217</v>
      </c>
      <c r="D20" s="424" t="s">
        <v>253</v>
      </c>
      <c r="E20" s="312"/>
      <c r="F20" s="312"/>
      <c r="G20" s="312" t="s">
        <v>253</v>
      </c>
      <c r="H20" s="312" t="s">
        <v>253</v>
      </c>
      <c r="I20" s="312" t="s">
        <v>257</v>
      </c>
      <c r="J20" s="425" t="s">
        <v>257</v>
      </c>
      <c r="K20" s="424"/>
      <c r="L20" s="310" t="s">
        <v>446</v>
      </c>
      <c r="M20" s="312" t="s">
        <v>448</v>
      </c>
      <c r="N20" s="312"/>
      <c r="O20" s="312"/>
      <c r="P20" s="312" t="s">
        <v>257</v>
      </c>
      <c r="Q20" s="312" t="s">
        <v>257</v>
      </c>
      <c r="R20" s="310" t="s">
        <v>446</v>
      </c>
      <c r="S20" s="310" t="s">
        <v>446</v>
      </c>
      <c r="T20" s="312"/>
      <c r="U20" s="312"/>
      <c r="V20" s="312"/>
      <c r="W20" s="312"/>
      <c r="X20" s="312"/>
      <c r="Y20" s="312"/>
      <c r="Z20" s="310" t="s">
        <v>446</v>
      </c>
      <c r="AA20" s="317"/>
      <c r="AB20" s="317"/>
      <c r="AC20" s="312"/>
      <c r="AD20" s="312"/>
      <c r="AE20" s="311" t="s">
        <v>494</v>
      </c>
      <c r="AF20" s="312" t="s">
        <v>62</v>
      </c>
      <c r="AG20" s="312" t="s">
        <v>62</v>
      </c>
      <c r="AH20" s="312" t="s">
        <v>62</v>
      </c>
      <c r="AI20" s="312" t="s">
        <v>62</v>
      </c>
      <c r="AJ20" s="312" t="s">
        <v>62</v>
      </c>
      <c r="AK20" s="312" t="s">
        <v>62</v>
      </c>
      <c r="AL20" s="312" t="s">
        <v>62</v>
      </c>
      <c r="AM20" s="312" t="s">
        <v>62</v>
      </c>
      <c r="AN20" s="312" t="s">
        <v>62</v>
      </c>
      <c r="AO20" s="312" t="s">
        <v>115</v>
      </c>
      <c r="AP20" s="310"/>
      <c r="AQ20" s="310"/>
      <c r="AR20" s="311"/>
      <c r="AS20" s="432"/>
      <c r="AT20" s="569">
        <v>16</v>
      </c>
      <c r="AU20" s="570"/>
      <c r="AV20" s="75">
        <v>0</v>
      </c>
      <c r="AW20" s="20">
        <f>ROUND((AW$1-AW$2)*(_xlfn.XLOOKUP(A20,'ma-basisdaten'!$A$3:$A$23,'ma-basisdaten'!$C$3:$C$23)*8)/100,0)</f>
        <v>168</v>
      </c>
      <c r="AX20" s="75"/>
      <c r="AY20" s="302">
        <v>2</v>
      </c>
      <c r="AZ20" s="302">
        <v>1</v>
      </c>
      <c r="BA20" s="459"/>
      <c r="BB20" s="84"/>
      <c r="BC20" s="84"/>
      <c r="BD20" s="84"/>
    </row>
    <row r="21" spans="1:57" s="8" customFormat="1">
      <c r="A21" s="460" t="s">
        <v>24</v>
      </c>
      <c r="B21" s="474" t="s">
        <v>374</v>
      </c>
      <c r="C21" s="556" t="s">
        <v>217</v>
      </c>
      <c r="D21" s="426"/>
      <c r="E21" s="427"/>
      <c r="F21" s="427" t="s">
        <v>253</v>
      </c>
      <c r="G21" s="427" t="s">
        <v>253</v>
      </c>
      <c r="H21" s="427" t="s">
        <v>253</v>
      </c>
      <c r="I21" s="427" t="s">
        <v>257</v>
      </c>
      <c r="J21" s="461" t="s">
        <v>257</v>
      </c>
      <c r="K21" s="436" t="s">
        <v>446</v>
      </c>
      <c r="L21" s="436" t="s">
        <v>446</v>
      </c>
      <c r="M21" s="427" t="s">
        <v>448</v>
      </c>
      <c r="N21" s="427"/>
      <c r="O21" s="427"/>
      <c r="P21" s="427" t="s">
        <v>257</v>
      </c>
      <c r="Q21" s="427" t="s">
        <v>257</v>
      </c>
      <c r="R21" s="462"/>
      <c r="S21" s="436" t="s">
        <v>446</v>
      </c>
      <c r="T21" s="427"/>
      <c r="U21" s="427"/>
      <c r="V21" s="427"/>
      <c r="W21" s="427"/>
      <c r="X21" s="427"/>
      <c r="Y21" s="427"/>
      <c r="Z21" s="436" t="s">
        <v>446</v>
      </c>
      <c r="AA21" s="463"/>
      <c r="AB21" s="463"/>
      <c r="AC21" s="427"/>
      <c r="AD21" s="427"/>
      <c r="AE21" s="433" t="s">
        <v>494</v>
      </c>
      <c r="AF21" s="427" t="s">
        <v>62</v>
      </c>
      <c r="AG21" s="427" t="s">
        <v>62</v>
      </c>
      <c r="AH21" s="427" t="s">
        <v>62</v>
      </c>
      <c r="AI21" s="427" t="s">
        <v>62</v>
      </c>
      <c r="AJ21" s="427" t="s">
        <v>62</v>
      </c>
      <c r="AK21" s="427" t="s">
        <v>62</v>
      </c>
      <c r="AL21" s="427" t="s">
        <v>62</v>
      </c>
      <c r="AM21" s="427" t="s">
        <v>62</v>
      </c>
      <c r="AN21" s="427" t="s">
        <v>62</v>
      </c>
      <c r="AO21" s="427" t="s">
        <v>115</v>
      </c>
      <c r="AP21" s="310"/>
      <c r="AQ21" s="436"/>
      <c r="AR21" s="433"/>
      <c r="AS21" s="434"/>
      <c r="AT21" s="571">
        <v>17</v>
      </c>
      <c r="AU21" s="51"/>
      <c r="AV21" s="466">
        <v>0</v>
      </c>
      <c r="AW21" s="467">
        <f>ROUND((AW$1-AW$2)*(_xlfn.XLOOKUP(A21,'ma-basisdaten'!$A$3:$A$23,'ma-basisdaten'!$C$3:$C$23)*8)/100,0)</f>
        <v>168</v>
      </c>
      <c r="AX21" s="466"/>
      <c r="AY21" s="468">
        <v>1</v>
      </c>
      <c r="AZ21" s="468">
        <v>0</v>
      </c>
      <c r="BA21" s="465"/>
      <c r="BB21" s="469"/>
      <c r="BC21" s="469"/>
      <c r="BD21" s="469"/>
    </row>
    <row r="22" spans="1:57">
      <c r="A22" s="491" t="s">
        <v>502</v>
      </c>
      <c r="B22" s="492" t="s">
        <v>501</v>
      </c>
      <c r="C22" s="558" t="s">
        <v>498</v>
      </c>
      <c r="D22" s="559"/>
      <c r="E22" s="436"/>
      <c r="F22" s="560"/>
      <c r="G22" s="436"/>
      <c r="H22" s="436"/>
      <c r="I22" s="436"/>
      <c r="J22" s="436"/>
      <c r="K22" s="559"/>
      <c r="L22" s="436"/>
      <c r="M22" s="436"/>
      <c r="N22" s="436"/>
      <c r="O22" s="436"/>
      <c r="P22" s="436"/>
      <c r="Q22" s="436"/>
      <c r="R22" s="433"/>
      <c r="S22" s="433"/>
      <c r="T22" s="436"/>
      <c r="U22" s="436"/>
      <c r="V22" s="436"/>
      <c r="W22" s="436"/>
      <c r="X22" s="436"/>
      <c r="Y22" s="433"/>
      <c r="Z22" s="433"/>
      <c r="AA22" s="433"/>
      <c r="AB22" s="433"/>
      <c r="AC22" s="433"/>
      <c r="AD22" s="433"/>
      <c r="AE22" s="433"/>
      <c r="AF22" s="433"/>
      <c r="AG22" s="436"/>
      <c r="AH22" s="436"/>
      <c r="AI22" s="436"/>
      <c r="AJ22" s="436"/>
      <c r="AK22" s="436"/>
      <c r="AL22" s="436"/>
      <c r="AM22" s="436"/>
      <c r="AN22" s="436"/>
      <c r="AO22" s="436"/>
      <c r="AP22" s="561"/>
      <c r="AQ22" s="436"/>
      <c r="AR22" s="433"/>
      <c r="AS22" s="434"/>
      <c r="AT22" s="571">
        <v>18</v>
      </c>
      <c r="AU22" s="51"/>
      <c r="AV22" s="572">
        <v>0</v>
      </c>
      <c r="AW22" s="578">
        <f>ROUND((AW$1-AW$2)*(_xlfn.XLOOKUP(A22,'ma-basisdaten'!$A$3:$A$23,'ma-basisdaten'!$C$3:$C$23)*8)/100,0)</f>
        <v>34</v>
      </c>
      <c r="AX22" s="573" t="s">
        <v>503</v>
      </c>
      <c r="AY22" s="574">
        <v>0</v>
      </c>
      <c r="AZ22" s="574">
        <v>0</v>
      </c>
      <c r="BA22" s="575"/>
      <c r="BB22" s="576"/>
      <c r="BC22" s="576"/>
      <c r="BD22" s="576"/>
      <c r="BE22" s="577"/>
    </row>
    <row r="23" spans="1:57" ht="13">
      <c r="A23" s="59"/>
      <c r="B23" s="59"/>
      <c r="C23" s="59"/>
      <c r="D23" s="59"/>
      <c r="E23" s="59"/>
      <c r="F23" s="59"/>
      <c r="G23" s="60" t="s">
        <v>121</v>
      </c>
      <c r="L23" s="59"/>
      <c r="M23" s="59"/>
      <c r="N23" s="59"/>
      <c r="O23" s="59"/>
      <c r="P23" s="59"/>
      <c r="Q23" s="59"/>
      <c r="R23" s="59"/>
      <c r="S23" s="59"/>
      <c r="T23" s="59"/>
      <c r="U23" s="59"/>
      <c r="V23" s="59"/>
      <c r="W23" s="59"/>
      <c r="X23" s="59"/>
      <c r="Y23" s="59"/>
      <c r="Z23" s="59"/>
      <c r="AA23" s="59"/>
      <c r="AB23" s="59"/>
      <c r="AC23" s="59"/>
      <c r="AD23" s="59"/>
      <c r="AE23" s="59"/>
      <c r="AF23" s="59"/>
      <c r="AG23" s="59"/>
      <c r="AH23" s="59"/>
      <c r="AI23" s="59"/>
      <c r="AJ23" s="59"/>
      <c r="AK23" s="59"/>
      <c r="AL23" s="59"/>
      <c r="AM23" s="59"/>
      <c r="AN23" s="59"/>
      <c r="AO23" s="59"/>
      <c r="AP23" s="59"/>
      <c r="AQ23" s="59"/>
      <c r="AR23" s="59"/>
      <c r="AS23" s="59"/>
      <c r="AT23" s="70"/>
      <c r="AU23" s="59"/>
      <c r="AV23" s="59"/>
      <c r="AW23" s="59"/>
      <c r="AX23" s="59"/>
      <c r="AY23" s="59"/>
      <c r="AZ23" s="59"/>
      <c r="BA23" s="59"/>
      <c r="BB23" s="63"/>
      <c r="BC23" s="59"/>
      <c r="BD23" s="59"/>
      <c r="BE23" s="59"/>
    </row>
    <row r="24" spans="1:57" ht="13">
      <c r="A24" s="59"/>
      <c r="B24" s="59"/>
      <c r="C24" s="59"/>
      <c r="D24" s="60"/>
      <c r="E24" s="59"/>
      <c r="F24" s="59"/>
      <c r="G24" s="59" t="s">
        <v>122</v>
      </c>
      <c r="L24" s="59"/>
      <c r="M24" s="59"/>
      <c r="N24" s="59"/>
      <c r="O24" s="59"/>
      <c r="P24" s="59"/>
      <c r="Q24" s="59"/>
      <c r="R24" s="59"/>
      <c r="S24" s="59"/>
      <c r="T24" s="59"/>
      <c r="U24" s="59"/>
      <c r="V24" s="59"/>
      <c r="W24" s="59"/>
      <c r="X24" s="59"/>
      <c r="Y24" s="59"/>
      <c r="Z24" s="59"/>
      <c r="AA24" s="71"/>
      <c r="AB24" s="59"/>
      <c r="AC24" s="59"/>
      <c r="AD24" s="59"/>
      <c r="AE24" s="59"/>
      <c r="AF24" s="59"/>
      <c r="AG24" s="59"/>
      <c r="AH24" s="59"/>
      <c r="AI24" s="59"/>
      <c r="AJ24" s="59"/>
      <c r="AK24" s="59"/>
      <c r="AL24" s="59"/>
      <c r="AM24" s="59"/>
      <c r="AN24" s="59"/>
      <c r="AO24" s="59"/>
      <c r="AP24" s="59"/>
      <c r="AQ24" s="59"/>
      <c r="AR24" s="59"/>
      <c r="AS24" s="59"/>
      <c r="AT24" s="70"/>
      <c r="AU24" s="59"/>
      <c r="AV24" s="59"/>
      <c r="AW24" s="59"/>
      <c r="AX24" s="59"/>
      <c r="AY24" s="59"/>
      <c r="AZ24" s="59"/>
      <c r="BA24" s="59"/>
      <c r="BB24" s="63"/>
      <c r="BC24" s="59"/>
      <c r="BD24" s="59"/>
      <c r="BE24" s="59"/>
    </row>
    <row r="25" spans="1:57">
      <c r="A25" s="59"/>
      <c r="B25" s="61" t="s">
        <v>123</v>
      </c>
      <c r="C25" s="61"/>
      <c r="D25" s="59"/>
      <c r="E25" s="59"/>
      <c r="F25" s="62"/>
      <c r="G25" s="59" t="s">
        <v>124</v>
      </c>
      <c r="L25" s="59"/>
      <c r="M25" s="59"/>
      <c r="N25" s="59"/>
      <c r="O25" s="59" t="s">
        <v>125</v>
      </c>
      <c r="P25" s="59"/>
      <c r="Q25" s="59"/>
      <c r="R25" s="59"/>
      <c r="S25" s="59"/>
      <c r="T25" s="59"/>
      <c r="U25" s="59"/>
      <c r="V25" s="59"/>
      <c r="W25" s="59"/>
      <c r="X25" s="59"/>
      <c r="Y25" s="59"/>
      <c r="Z25" s="59"/>
      <c r="AA25" s="71"/>
      <c r="AB25" s="59"/>
      <c r="AC25" s="59"/>
      <c r="AD25" s="59"/>
      <c r="AE25" s="59"/>
      <c r="AF25" s="59"/>
      <c r="AG25" s="59"/>
      <c r="AH25" s="59"/>
      <c r="AI25" s="59"/>
      <c r="AJ25" s="59"/>
      <c r="AK25" s="59"/>
      <c r="AL25" s="59"/>
      <c r="AM25" s="59"/>
      <c r="AN25" s="59"/>
      <c r="AO25" s="59"/>
      <c r="AP25" s="59"/>
      <c r="AQ25" s="59"/>
      <c r="AR25" s="59"/>
      <c r="AS25" s="59"/>
      <c r="AT25" s="70"/>
      <c r="AU25" s="59"/>
      <c r="AV25" s="59"/>
      <c r="AW25" s="59"/>
      <c r="AX25" s="59"/>
      <c r="AY25" s="59"/>
      <c r="AZ25" s="59"/>
      <c r="BA25" s="59"/>
      <c r="BB25" s="63"/>
      <c r="BC25" s="59"/>
      <c r="BD25" s="59"/>
      <c r="BE25" s="59"/>
    </row>
    <row r="26" spans="1:57">
      <c r="A26" s="59"/>
      <c r="B26" s="62" t="s">
        <v>126</v>
      </c>
      <c r="C26" s="59"/>
      <c r="D26" s="59"/>
      <c r="E26" s="59"/>
      <c r="F26" s="59"/>
      <c r="G26" s="59" t="s">
        <v>127</v>
      </c>
      <c r="L26" s="59"/>
      <c r="M26" s="59"/>
      <c r="N26" s="59"/>
      <c r="O26" s="59"/>
      <c r="P26" s="59"/>
      <c r="Q26" s="59"/>
      <c r="R26" s="59"/>
      <c r="S26" s="59"/>
      <c r="T26" s="59"/>
      <c r="U26" s="59"/>
      <c r="V26" s="59"/>
      <c r="W26" s="59"/>
      <c r="X26" s="59"/>
      <c r="Y26" s="59"/>
      <c r="Z26" s="59"/>
      <c r="AA26" s="59"/>
      <c r="AB26" s="59"/>
      <c r="AC26" s="59"/>
      <c r="AD26" s="59"/>
      <c r="AE26" s="59"/>
      <c r="AF26" s="59"/>
      <c r="AG26" s="59"/>
      <c r="AH26" s="59"/>
      <c r="AI26" s="59"/>
      <c r="AJ26" s="59"/>
      <c r="AK26" s="59"/>
      <c r="AL26" s="59"/>
      <c r="AM26" s="59"/>
      <c r="AN26" s="59"/>
      <c r="AO26" s="59"/>
      <c r="AP26" s="59"/>
      <c r="AQ26" s="59"/>
      <c r="AR26" s="59"/>
      <c r="AS26" s="59"/>
      <c r="AT26" s="70"/>
      <c r="AU26" s="59"/>
      <c r="AV26" s="59"/>
      <c r="AW26" s="59"/>
      <c r="AX26" s="59"/>
      <c r="AY26" s="59"/>
      <c r="AZ26" s="59"/>
      <c r="BA26" s="59"/>
      <c r="BB26" s="59"/>
      <c r="BC26" s="59"/>
      <c r="BD26" s="59"/>
      <c r="BE26" s="59"/>
    </row>
    <row r="27" spans="1:57">
      <c r="A27" s="59"/>
      <c r="B27" s="59"/>
      <c r="C27" s="59"/>
      <c r="D27" s="59"/>
      <c r="E27" s="59"/>
      <c r="F27" s="59"/>
      <c r="G27" s="59" t="s">
        <v>115</v>
      </c>
      <c r="L27" s="59"/>
      <c r="M27" s="59"/>
      <c r="N27" s="59"/>
      <c r="O27" s="59"/>
      <c r="P27" s="59"/>
      <c r="Q27" s="59"/>
      <c r="R27" s="59"/>
      <c r="S27" s="59"/>
      <c r="T27" s="59"/>
      <c r="U27" s="59"/>
      <c r="V27" s="59"/>
      <c r="W27" s="59"/>
      <c r="X27" s="59"/>
      <c r="Y27" s="59"/>
      <c r="Z27" s="59"/>
      <c r="AA27" s="59"/>
      <c r="AB27" s="59"/>
      <c r="AC27" s="59"/>
      <c r="AD27" s="59"/>
      <c r="AE27" s="59"/>
      <c r="AF27" s="59"/>
      <c r="AG27" s="59"/>
      <c r="AH27" s="59"/>
      <c r="AI27" s="59"/>
      <c r="AJ27" s="59"/>
      <c r="AK27" s="59"/>
      <c r="AL27" s="59"/>
      <c r="AM27" s="59"/>
      <c r="AN27" s="59"/>
      <c r="AO27" s="59"/>
      <c r="AP27" s="59"/>
      <c r="AQ27" s="59"/>
      <c r="AR27" s="59"/>
      <c r="AS27" s="59"/>
      <c r="AT27" s="70"/>
      <c r="AU27" s="59"/>
      <c r="AV27" s="59"/>
      <c r="AW27" s="59"/>
      <c r="AX27" s="59"/>
      <c r="AY27" s="59"/>
      <c r="AZ27" s="59"/>
      <c r="BA27" s="59"/>
      <c r="BB27" s="59"/>
      <c r="BC27" s="59"/>
      <c r="BD27" s="59"/>
      <c r="BE27" s="59"/>
    </row>
    <row r="28" spans="1:57">
      <c r="A28" s="59"/>
      <c r="B28" s="59"/>
      <c r="C28" s="59"/>
      <c r="D28" s="59"/>
      <c r="E28" s="59"/>
      <c r="F28" s="59"/>
      <c r="G28" s="59" t="s">
        <v>128</v>
      </c>
      <c r="H28" t="s">
        <v>129</v>
      </c>
      <c r="L28" s="59"/>
      <c r="M28" s="59"/>
      <c r="N28" s="59"/>
      <c r="O28" s="59"/>
      <c r="P28" s="59"/>
      <c r="Q28" s="59"/>
      <c r="R28" s="59"/>
      <c r="S28" s="59"/>
      <c r="T28" s="59"/>
      <c r="U28" s="59"/>
      <c r="V28" s="59"/>
      <c r="W28" s="59"/>
      <c r="X28" s="59"/>
      <c r="Y28" s="59"/>
      <c r="Z28" s="59"/>
      <c r="AA28" s="59"/>
      <c r="AB28" s="59"/>
      <c r="AC28" s="59"/>
      <c r="AD28" s="59"/>
      <c r="AE28" s="59"/>
      <c r="AF28" s="59"/>
      <c r="AG28" s="59"/>
      <c r="AH28" s="59"/>
      <c r="AI28" s="59"/>
      <c r="AJ28" s="59"/>
      <c r="AK28" s="59"/>
      <c r="AL28" s="59"/>
      <c r="AM28" s="59"/>
      <c r="AN28" s="59"/>
      <c r="AO28" s="59"/>
      <c r="AP28" s="59"/>
      <c r="AQ28" s="59"/>
      <c r="AR28" s="59"/>
      <c r="AS28" s="59"/>
      <c r="AT28" s="70"/>
      <c r="AU28" s="59"/>
      <c r="AV28" s="59"/>
      <c r="AW28" s="59"/>
      <c r="AX28" s="59"/>
      <c r="AY28" s="59"/>
      <c r="AZ28" s="59"/>
      <c r="BA28" s="59"/>
      <c r="BB28" s="59"/>
      <c r="BC28" s="59"/>
      <c r="BD28" s="59"/>
      <c r="BE28" s="59"/>
    </row>
    <row r="29" spans="1:57">
      <c r="A29" s="59"/>
      <c r="B29" s="59"/>
      <c r="C29" s="59"/>
      <c r="D29" s="59"/>
      <c r="E29" s="59"/>
      <c r="F29" s="59"/>
      <c r="G29" s="59" t="s">
        <v>130</v>
      </c>
      <c r="L29" s="59"/>
      <c r="M29" s="59"/>
      <c r="N29" s="59"/>
      <c r="O29" s="59"/>
      <c r="P29" s="59"/>
      <c r="Q29" s="59"/>
      <c r="R29" s="59"/>
      <c r="S29" s="59"/>
      <c r="T29" s="59"/>
      <c r="U29" s="59"/>
      <c r="V29" s="59"/>
      <c r="W29" s="59"/>
      <c r="X29" s="59"/>
      <c r="Y29" s="59"/>
      <c r="Z29" s="59"/>
      <c r="AA29" s="59"/>
      <c r="AB29" s="59"/>
      <c r="AC29" s="59"/>
      <c r="AD29" s="59"/>
      <c r="AE29" s="59"/>
      <c r="AF29" s="59"/>
      <c r="AG29" s="59"/>
      <c r="AH29" s="59"/>
      <c r="AI29" s="59"/>
      <c r="AJ29" s="59"/>
      <c r="AK29" s="59"/>
      <c r="AL29" s="59"/>
      <c r="AM29" s="59"/>
      <c r="AN29" s="59"/>
      <c r="AO29" s="59"/>
      <c r="AP29" s="59"/>
      <c r="AQ29" s="59"/>
      <c r="AR29" s="59"/>
      <c r="AS29" s="59"/>
      <c r="AT29" s="70"/>
      <c r="AU29" s="59"/>
      <c r="AV29" s="59"/>
      <c r="AW29" s="59"/>
      <c r="AX29" s="59"/>
      <c r="AY29" s="59"/>
      <c r="AZ29" s="59"/>
    </row>
    <row r="30" spans="1:57">
      <c r="A30" s="59"/>
      <c r="B30" s="59"/>
      <c r="C30" s="59"/>
      <c r="D30" s="59"/>
      <c r="E30" s="59"/>
      <c r="F30" s="59"/>
      <c r="G30" s="59"/>
      <c r="L30" s="59"/>
      <c r="M30" s="59"/>
      <c r="N30" s="59"/>
      <c r="O30" s="59"/>
      <c r="P30" s="59"/>
      <c r="Q30" s="59"/>
      <c r="R30" s="59"/>
      <c r="S30" s="59"/>
      <c r="T30" s="59"/>
      <c r="U30" s="59"/>
      <c r="V30" s="59"/>
      <c r="W30" s="59"/>
      <c r="X30" s="59"/>
      <c r="Y30" s="59"/>
      <c r="Z30" s="59"/>
      <c r="AA30" s="59"/>
      <c r="AB30" s="59"/>
      <c r="AC30" s="59"/>
      <c r="AD30" s="59"/>
      <c r="AE30" s="59"/>
      <c r="AF30" s="59"/>
      <c r="AG30" s="59"/>
      <c r="AH30" s="59"/>
      <c r="AI30" s="59"/>
      <c r="AJ30" s="59"/>
      <c r="AK30" s="59"/>
      <c r="AL30" s="59"/>
      <c r="AM30" s="59"/>
      <c r="AN30" s="59"/>
      <c r="AO30" s="59"/>
      <c r="AP30" s="59"/>
      <c r="AQ30" s="59"/>
      <c r="AR30" s="59"/>
      <c r="AS30" s="59"/>
      <c r="AT30" s="70"/>
      <c r="AU30" s="59"/>
      <c r="AV30" s="59"/>
      <c r="AW30" s="59"/>
      <c r="AX30" s="59"/>
      <c r="AY30" s="59"/>
      <c r="AZ30" s="59"/>
    </row>
    <row r="31" spans="1:57" ht="13">
      <c r="A31" s="59"/>
      <c r="B31" s="59"/>
      <c r="C31" s="59"/>
      <c r="D31" s="59"/>
      <c r="E31" s="59"/>
      <c r="F31" s="59"/>
      <c r="G31" s="60" t="s">
        <v>131</v>
      </c>
      <c r="L31" s="59"/>
      <c r="M31" s="59"/>
      <c r="N31" s="59"/>
      <c r="O31" s="59"/>
      <c r="P31" s="59"/>
      <c r="Q31" s="59"/>
      <c r="R31" s="59"/>
      <c r="S31" s="59"/>
      <c r="T31" s="59"/>
      <c r="U31" s="59"/>
      <c r="V31" s="59"/>
      <c r="W31" s="59"/>
      <c r="X31" s="59"/>
      <c r="Y31" s="59"/>
      <c r="Z31" s="59"/>
      <c r="AA31" s="59"/>
      <c r="AB31" s="59"/>
      <c r="AC31" s="59"/>
      <c r="AD31" s="59"/>
      <c r="AE31" s="59"/>
      <c r="AF31" s="59"/>
      <c r="AG31" s="59"/>
      <c r="AH31" s="59"/>
      <c r="AI31" s="59"/>
      <c r="AJ31" s="59"/>
      <c r="AK31" s="59"/>
      <c r="AL31" s="59"/>
      <c r="AM31" s="59"/>
      <c r="AN31" s="59"/>
      <c r="AO31" s="59"/>
      <c r="AP31" s="59"/>
      <c r="AQ31" s="59"/>
      <c r="AR31" s="59"/>
      <c r="AS31" s="59"/>
      <c r="AT31" s="70"/>
      <c r="AU31" s="59"/>
      <c r="AV31" s="59"/>
      <c r="AW31" s="59"/>
      <c r="AX31" s="59"/>
      <c r="AY31" s="59"/>
      <c r="AZ31" s="59"/>
    </row>
    <row r="32" spans="1:57">
      <c r="A32" s="59"/>
      <c r="B32" s="59"/>
      <c r="C32" s="59"/>
      <c r="D32" s="59"/>
      <c r="E32" s="59"/>
      <c r="F32" s="59"/>
      <c r="G32" s="59">
        <v>2</v>
      </c>
      <c r="L32" s="59"/>
      <c r="M32" s="59"/>
      <c r="N32" s="59"/>
      <c r="O32" s="59"/>
      <c r="P32" s="59"/>
      <c r="Q32" s="59"/>
      <c r="R32" s="59"/>
      <c r="S32" s="59"/>
      <c r="T32" s="59"/>
      <c r="U32" s="59"/>
      <c r="V32" s="59"/>
      <c r="W32" s="59"/>
      <c r="X32" s="59"/>
      <c r="Y32" s="59"/>
      <c r="Z32" s="59"/>
      <c r="AA32" s="59"/>
      <c r="AB32" s="59"/>
      <c r="AC32" s="59"/>
      <c r="AD32" s="59"/>
      <c r="AE32" s="59"/>
      <c r="AF32" s="59"/>
      <c r="AG32" s="59"/>
      <c r="AH32" s="59"/>
      <c r="AI32" s="59"/>
      <c r="AJ32" s="59"/>
      <c r="AK32" s="59"/>
      <c r="AL32" s="59"/>
      <c r="AM32" s="59"/>
      <c r="AN32" s="59"/>
      <c r="AO32" s="59"/>
      <c r="AP32" s="59"/>
      <c r="AQ32" s="59"/>
      <c r="AR32" s="59"/>
      <c r="AS32" s="59"/>
      <c r="AT32" s="70"/>
      <c r="AU32" s="59"/>
      <c r="AV32" s="59"/>
      <c r="AW32" s="59"/>
      <c r="AX32" s="59"/>
      <c r="AY32" s="59"/>
      <c r="AZ32" s="59"/>
    </row>
    <row r="33" spans="1:52">
      <c r="A33" s="59"/>
      <c r="B33" s="59"/>
      <c r="C33" s="59"/>
      <c r="D33" s="59"/>
      <c r="E33" s="59"/>
      <c r="F33" s="59"/>
      <c r="G33" s="59" t="s">
        <v>180</v>
      </c>
      <c r="L33" s="59"/>
      <c r="M33" s="59"/>
      <c r="N33" s="59"/>
      <c r="O33" s="59"/>
      <c r="P33" s="59"/>
      <c r="Q33" s="59"/>
      <c r="R33" s="59"/>
      <c r="S33" s="59"/>
      <c r="T33" s="59"/>
      <c r="U33" s="59"/>
      <c r="V33" s="59"/>
      <c r="W33" s="59"/>
      <c r="X33" s="59"/>
      <c r="Y33" s="59"/>
      <c r="Z33" s="59"/>
      <c r="AA33" s="59"/>
      <c r="AB33" s="59"/>
      <c r="AC33" s="59"/>
      <c r="AD33" s="59"/>
      <c r="AE33" s="59"/>
      <c r="AF33" s="59"/>
      <c r="AG33" s="59"/>
      <c r="AH33" s="59"/>
      <c r="AI33" s="59"/>
      <c r="AJ33" s="59"/>
      <c r="AK33" s="59"/>
      <c r="AL33" s="59"/>
      <c r="AM33" s="59"/>
      <c r="AN33" s="59"/>
      <c r="AO33" s="59"/>
      <c r="AP33" s="59"/>
      <c r="AQ33" s="59"/>
      <c r="AR33" s="59"/>
      <c r="AS33" s="59"/>
      <c r="AT33" s="70"/>
      <c r="AU33" s="59"/>
      <c r="AV33" s="59"/>
      <c r="AW33" s="59"/>
      <c r="AX33" s="59"/>
      <c r="AY33" s="59"/>
      <c r="AZ33" s="59"/>
    </row>
    <row r="34" spans="1:52">
      <c r="A34" s="59"/>
      <c r="B34" s="59"/>
      <c r="C34" s="59"/>
      <c r="D34" s="59"/>
      <c r="E34" s="59"/>
      <c r="F34" s="59"/>
      <c r="G34" s="59"/>
      <c r="L34" s="59"/>
      <c r="M34" s="59"/>
      <c r="N34" s="59"/>
      <c r="O34" s="59"/>
      <c r="P34" s="59"/>
      <c r="Q34" s="59"/>
      <c r="R34" s="59"/>
      <c r="S34" s="59"/>
      <c r="T34" s="59"/>
      <c r="U34" s="59"/>
      <c r="V34" s="59"/>
      <c r="W34" s="59"/>
      <c r="X34" s="59"/>
      <c r="Y34" s="59"/>
      <c r="Z34" s="59"/>
      <c r="AA34" s="59"/>
      <c r="AB34" s="59"/>
      <c r="AC34" s="59"/>
      <c r="AD34" s="59"/>
      <c r="AE34" s="59"/>
      <c r="AF34" s="59"/>
      <c r="AG34" s="59"/>
      <c r="AH34" s="59"/>
      <c r="AI34" s="59"/>
      <c r="AJ34" s="59"/>
      <c r="AK34" s="59"/>
      <c r="AL34" s="59"/>
      <c r="AM34" s="59"/>
      <c r="AN34" s="59"/>
      <c r="AO34" s="59"/>
      <c r="AP34" s="59"/>
      <c r="AQ34" s="59"/>
      <c r="AR34" s="59"/>
      <c r="AS34" s="59"/>
      <c r="AT34" s="70"/>
      <c r="AU34" s="59"/>
      <c r="AV34" s="59"/>
      <c r="AW34" s="59"/>
      <c r="AX34" s="59"/>
      <c r="AY34" s="59"/>
      <c r="AZ34" s="59"/>
    </row>
    <row r="35" spans="1:52" ht="13">
      <c r="A35" s="59"/>
      <c r="B35" s="59"/>
      <c r="C35" s="59"/>
      <c r="D35" s="59"/>
      <c r="E35" s="59"/>
      <c r="F35" s="59"/>
      <c r="G35" s="60" t="s">
        <v>132</v>
      </c>
      <c r="L35" s="59"/>
      <c r="M35" s="59"/>
      <c r="N35" s="59"/>
      <c r="O35" s="59"/>
      <c r="P35" s="59"/>
      <c r="Q35" s="59"/>
      <c r="R35" s="59"/>
      <c r="S35" s="59"/>
      <c r="T35" s="59"/>
      <c r="U35" s="59"/>
      <c r="V35" s="59"/>
      <c r="W35" s="59"/>
      <c r="X35" s="59"/>
      <c r="Y35" s="59"/>
      <c r="Z35" s="59"/>
      <c r="AA35" s="59"/>
      <c r="AB35" s="59"/>
      <c r="AC35" s="59"/>
      <c r="AD35" s="59"/>
      <c r="AE35" s="59"/>
      <c r="AF35" s="59"/>
      <c r="AG35" s="59"/>
      <c r="AH35" s="59"/>
      <c r="AI35" s="59"/>
      <c r="AJ35" s="59"/>
      <c r="AK35" s="59"/>
      <c r="AL35" s="59"/>
      <c r="AM35" s="59"/>
      <c r="AN35" s="59"/>
      <c r="AO35" s="59"/>
      <c r="AP35" s="59"/>
      <c r="AQ35" s="59"/>
      <c r="AR35" s="59"/>
      <c r="AS35" s="59"/>
      <c r="AT35" s="70"/>
      <c r="AU35" s="59"/>
      <c r="AV35" s="59"/>
      <c r="AW35" s="59"/>
      <c r="AX35" s="59"/>
      <c r="AY35" s="59"/>
      <c r="AZ35" s="59"/>
    </row>
    <row r="36" spans="1:52">
      <c r="A36" s="59"/>
      <c r="B36" s="59"/>
      <c r="C36" s="59"/>
      <c r="D36" s="59"/>
      <c r="E36" s="59"/>
      <c r="F36" s="59"/>
      <c r="G36" s="59" t="s">
        <v>116</v>
      </c>
      <c r="I36" t="s">
        <v>133</v>
      </c>
      <c r="L36" s="59"/>
      <c r="M36" s="59"/>
      <c r="N36" s="59"/>
      <c r="O36" s="59"/>
      <c r="P36" s="59"/>
      <c r="Q36" s="59"/>
      <c r="R36" s="59"/>
      <c r="S36" s="59"/>
      <c r="T36" s="59"/>
      <c r="U36" s="59"/>
      <c r="V36" s="59"/>
      <c r="W36" s="59"/>
      <c r="X36" s="59"/>
      <c r="Y36" s="59"/>
      <c r="Z36" s="59"/>
      <c r="AA36" s="59"/>
      <c r="AB36" s="59"/>
      <c r="AC36" s="59"/>
      <c r="AD36" s="59"/>
      <c r="AE36" s="59"/>
      <c r="AF36" s="59"/>
      <c r="AG36" s="59"/>
      <c r="AH36" s="59"/>
      <c r="AI36" s="59"/>
      <c r="AJ36" s="59"/>
      <c r="AK36" s="59"/>
      <c r="AL36" s="59"/>
      <c r="AM36" s="59"/>
      <c r="AN36" s="59"/>
      <c r="AO36" s="59"/>
      <c r="AP36" s="59"/>
      <c r="AQ36" s="59"/>
      <c r="AR36" s="59"/>
      <c r="AS36" s="59"/>
      <c r="AT36" s="70"/>
      <c r="AU36" s="59"/>
      <c r="AV36" s="59"/>
      <c r="AW36" s="59"/>
      <c r="AX36" s="59"/>
      <c r="AY36" s="59"/>
      <c r="AZ36" s="59"/>
    </row>
    <row r="37" spans="1:52">
      <c r="A37" s="59"/>
      <c r="B37" s="59"/>
      <c r="C37" s="59"/>
      <c r="D37" s="59"/>
      <c r="E37" s="59"/>
      <c r="F37" s="59"/>
      <c r="G37" s="59" t="s">
        <v>117</v>
      </c>
      <c r="I37" t="s">
        <v>134</v>
      </c>
      <c r="L37" s="59"/>
      <c r="M37" s="59"/>
      <c r="N37" s="59"/>
      <c r="O37" s="59"/>
      <c r="P37" s="59"/>
      <c r="Q37" s="59"/>
      <c r="R37" s="59"/>
      <c r="S37" s="59"/>
      <c r="T37" s="59"/>
      <c r="U37" s="59"/>
      <c r="V37" s="59"/>
      <c r="W37" s="59"/>
      <c r="X37" s="59"/>
      <c r="Y37" s="59"/>
      <c r="Z37" s="59"/>
      <c r="AA37" s="59"/>
      <c r="AB37" s="59"/>
      <c r="AC37" s="59"/>
      <c r="AD37" s="59"/>
      <c r="AE37" s="59"/>
      <c r="AF37" s="59"/>
      <c r="AG37" s="59"/>
      <c r="AH37" s="59"/>
      <c r="AI37" s="59"/>
      <c r="AJ37" s="59"/>
      <c r="AK37" s="59"/>
      <c r="AL37" s="59"/>
      <c r="AM37" s="59"/>
      <c r="AN37" s="59"/>
      <c r="AO37" s="59"/>
      <c r="AP37" s="59"/>
      <c r="AQ37" s="59"/>
      <c r="AR37" s="59"/>
      <c r="AS37" s="59"/>
      <c r="AT37" s="70"/>
      <c r="AU37" s="59"/>
      <c r="AV37" s="59"/>
      <c r="AW37" s="59"/>
      <c r="AX37" s="59"/>
      <c r="AY37" s="59"/>
      <c r="AZ37" s="59"/>
    </row>
    <row r="38" spans="1:52">
      <c r="A38" s="59"/>
      <c r="B38" s="59"/>
      <c r="C38" s="59"/>
      <c r="D38" s="59"/>
      <c r="E38" s="59"/>
      <c r="F38" s="59"/>
      <c r="G38" s="59" t="s">
        <v>120</v>
      </c>
      <c r="I38" t="s">
        <v>135</v>
      </c>
      <c r="L38" s="59"/>
      <c r="M38" s="59"/>
      <c r="N38" s="59"/>
      <c r="O38" s="59"/>
      <c r="P38" s="59"/>
      <c r="Q38" s="59"/>
      <c r="R38" s="59"/>
      <c r="S38" s="59"/>
      <c r="T38" s="59"/>
      <c r="U38" s="59"/>
      <c r="V38" s="59"/>
      <c r="W38" s="59"/>
      <c r="X38" s="59"/>
      <c r="Y38" s="59"/>
      <c r="Z38" s="59"/>
      <c r="AA38" s="59"/>
      <c r="AB38" s="59"/>
      <c r="AC38" s="59"/>
      <c r="AD38" s="59"/>
      <c r="AE38" s="59"/>
      <c r="AF38" s="59"/>
      <c r="AG38" s="59"/>
      <c r="AH38" s="59"/>
      <c r="AI38" s="59"/>
      <c r="AJ38" s="59"/>
      <c r="AK38" s="59"/>
      <c r="AL38" s="59"/>
      <c r="AM38" s="59"/>
      <c r="AN38" s="59"/>
      <c r="AO38" s="59"/>
      <c r="AP38" s="59"/>
      <c r="AQ38" s="59"/>
      <c r="AR38" s="59"/>
      <c r="AS38" s="59"/>
      <c r="AT38" s="70"/>
      <c r="AU38" s="59"/>
      <c r="AV38" s="59"/>
      <c r="AW38" s="59"/>
      <c r="AX38" s="59"/>
      <c r="AY38" s="59"/>
      <c r="AZ38" s="59"/>
    </row>
    <row r="39" spans="1:52">
      <c r="A39" s="59"/>
      <c r="B39" s="59"/>
      <c r="C39" s="59"/>
      <c r="D39" s="59"/>
      <c r="E39" s="59"/>
      <c r="F39" s="59"/>
      <c r="G39" s="59"/>
      <c r="L39" s="59"/>
      <c r="M39" s="59"/>
      <c r="N39" s="59"/>
      <c r="O39" s="59"/>
      <c r="P39" s="59"/>
      <c r="Q39" s="59"/>
      <c r="R39" s="59"/>
      <c r="S39" s="59"/>
      <c r="T39" s="59"/>
      <c r="U39" s="59"/>
      <c r="V39" s="59"/>
      <c r="W39" s="59"/>
      <c r="X39" s="59"/>
      <c r="Y39" s="59"/>
      <c r="Z39" s="59"/>
      <c r="AA39" s="59"/>
      <c r="AB39" s="59"/>
      <c r="AC39" s="59"/>
      <c r="AD39" s="59"/>
      <c r="AE39" s="59"/>
      <c r="AF39" s="59"/>
      <c r="AG39" s="59"/>
      <c r="AH39" s="59"/>
      <c r="AI39" s="59"/>
      <c r="AJ39" s="59"/>
      <c r="AK39" s="59"/>
      <c r="AL39" s="59"/>
      <c r="AM39" s="59"/>
      <c r="AN39" s="59"/>
      <c r="AO39" s="59"/>
      <c r="AP39" s="59"/>
      <c r="AQ39" s="59"/>
      <c r="AR39" s="59"/>
      <c r="AS39" s="59"/>
      <c r="AT39" s="70"/>
      <c r="AU39" s="59"/>
      <c r="AV39" s="59"/>
      <c r="AW39" s="59"/>
      <c r="AX39" s="59"/>
      <c r="AY39" s="59"/>
      <c r="AZ39" s="59"/>
    </row>
    <row r="40" spans="1:52" ht="13">
      <c r="A40" s="59"/>
      <c r="B40" s="59"/>
      <c r="C40" s="59"/>
      <c r="D40" s="59"/>
      <c r="E40" s="59"/>
      <c r="F40" s="59"/>
      <c r="G40" s="60" t="s">
        <v>136</v>
      </c>
      <c r="L40" s="59"/>
      <c r="M40" s="59"/>
      <c r="N40" s="59"/>
      <c r="O40" s="59"/>
      <c r="P40" s="59"/>
      <c r="Q40" s="59"/>
      <c r="R40" s="59"/>
      <c r="S40" s="59"/>
      <c r="T40" s="59"/>
      <c r="U40" s="59"/>
      <c r="V40" s="59"/>
      <c r="W40" s="59"/>
      <c r="X40" s="59"/>
      <c r="Y40" s="59"/>
      <c r="Z40" s="59"/>
      <c r="AA40" s="59"/>
      <c r="AB40" s="59"/>
      <c r="AC40" s="59"/>
      <c r="AD40" s="59"/>
      <c r="AE40" s="59"/>
      <c r="AF40" s="59"/>
      <c r="AG40" s="59"/>
      <c r="AH40" s="59"/>
      <c r="AI40" s="59"/>
      <c r="AJ40" s="59"/>
      <c r="AK40" s="59"/>
      <c r="AL40" s="59"/>
      <c r="AM40" s="59"/>
      <c r="AN40" s="59"/>
      <c r="AO40" s="59"/>
      <c r="AP40" s="59"/>
      <c r="AQ40" s="59"/>
      <c r="AR40" s="59"/>
      <c r="AS40" s="59"/>
      <c r="AT40" s="70"/>
      <c r="AU40" s="59"/>
      <c r="AV40" s="59"/>
      <c r="AW40" s="59"/>
      <c r="AX40" s="59"/>
      <c r="AY40" s="59"/>
      <c r="AZ40" s="59"/>
    </row>
    <row r="41" spans="1:52">
      <c r="A41" s="59"/>
      <c r="B41" s="59"/>
      <c r="C41" s="59"/>
      <c r="D41" s="59"/>
      <c r="E41" s="59"/>
      <c r="F41" s="59"/>
      <c r="G41" s="59" t="s">
        <v>119</v>
      </c>
      <c r="I41" t="s">
        <v>137</v>
      </c>
      <c r="L41" s="59"/>
      <c r="M41" s="59"/>
      <c r="N41" s="59"/>
      <c r="O41" s="59"/>
      <c r="P41" s="59"/>
      <c r="Q41" s="59"/>
      <c r="R41" s="59"/>
      <c r="S41" s="59"/>
      <c r="T41" s="59"/>
      <c r="U41" s="59"/>
      <c r="V41" s="59"/>
      <c r="W41" s="59"/>
      <c r="X41" s="59"/>
      <c r="Y41" s="59"/>
      <c r="Z41" s="59"/>
      <c r="AA41" s="59"/>
      <c r="AB41" s="59"/>
      <c r="AC41" s="59"/>
      <c r="AD41" s="59"/>
      <c r="AE41" s="59"/>
      <c r="AF41" s="59"/>
      <c r="AG41" s="59"/>
      <c r="AH41" s="59"/>
      <c r="AI41" s="59"/>
      <c r="AJ41" s="59"/>
      <c r="AK41" s="59"/>
      <c r="AL41" s="59"/>
      <c r="AM41" s="59"/>
      <c r="AN41" s="59"/>
      <c r="AO41" s="59"/>
      <c r="AP41" s="59"/>
      <c r="AQ41" s="59"/>
      <c r="AR41" s="59"/>
      <c r="AS41" s="59"/>
      <c r="AT41" s="70"/>
      <c r="AU41" s="59"/>
      <c r="AV41" s="59"/>
      <c r="AW41" s="59"/>
      <c r="AX41" s="59"/>
      <c r="AY41" s="59"/>
      <c r="AZ41" s="59"/>
    </row>
    <row r="42" spans="1:52">
      <c r="A42" s="59"/>
      <c r="B42" s="59"/>
      <c r="C42" s="59"/>
      <c r="D42" s="59"/>
      <c r="E42" s="59"/>
      <c r="F42" s="59"/>
      <c r="G42" s="59" t="s">
        <v>118</v>
      </c>
      <c r="I42" t="s">
        <v>138</v>
      </c>
      <c r="L42" s="59"/>
      <c r="M42" s="59"/>
      <c r="N42" s="59"/>
      <c r="O42" s="59"/>
      <c r="P42" s="59"/>
      <c r="Q42" s="59"/>
      <c r="R42" s="59"/>
      <c r="S42" s="59"/>
      <c r="T42" s="59"/>
      <c r="U42" s="59"/>
      <c r="V42" s="59"/>
      <c r="W42" s="59"/>
      <c r="X42" s="59"/>
      <c r="Y42" s="59"/>
      <c r="Z42" s="59"/>
      <c r="AA42" s="59"/>
      <c r="AB42" s="59"/>
      <c r="AC42" s="59"/>
      <c r="AD42" s="59"/>
      <c r="AE42" s="59"/>
      <c r="AF42" s="59"/>
      <c r="AG42" s="59"/>
      <c r="AH42" s="59"/>
      <c r="AI42" s="59"/>
      <c r="AJ42" s="59"/>
      <c r="AK42" s="59"/>
      <c r="AL42" s="59"/>
      <c r="AM42" s="59"/>
      <c r="AN42" s="59"/>
      <c r="AO42" s="59"/>
      <c r="AP42" s="59"/>
      <c r="AQ42" s="59"/>
      <c r="AR42" s="59"/>
      <c r="AS42" s="59"/>
      <c r="AT42" s="70"/>
      <c r="AU42" s="59"/>
      <c r="AV42" s="59"/>
      <c r="AW42" s="59"/>
      <c r="AX42" s="59"/>
      <c r="AY42" s="59"/>
      <c r="AZ42" s="59"/>
    </row>
  </sheetData>
  <sortState xmlns:xlrd2="http://schemas.microsoft.com/office/spreadsheetml/2017/richdata2" ref="A5:BE22">
    <sortCondition ref="AT5:AT22"/>
  </sortState>
  <mergeCells count="2">
    <mergeCell ref="F1:G1"/>
    <mergeCell ref="F2:G2"/>
  </mergeCells>
  <phoneticPr fontId="21" type="noConversion"/>
  <conditionalFormatting sqref="AR7:AS7 AK17:AS17 AN18 AP16 AS11 AS13 AS15 D3:AS4 AP18:AS18">
    <cfRule type="expression" dxfId="402" priority="1267" stopIfTrue="1">
      <formula>D$3="So"</formula>
    </cfRule>
    <cfRule type="expression" dxfId="401" priority="1268" stopIfTrue="1">
      <formula>D$3="Sa"</formula>
    </cfRule>
  </conditionalFormatting>
  <conditionalFormatting sqref="AM7:AO7 AL8:AM8 AS12 AR19:AS19 AP20:AS20 AS10 AQ8:AS9 AS14 AQ16:AS16 AN11:AO11 AQ10:AR15 AO8 AN13 AO12 AJ6:AL6">
    <cfRule type="expression" dxfId="400" priority="1257" stopIfTrue="1">
      <formula>AJ$3="So"</formula>
    </cfRule>
    <cfRule type="expression" dxfId="399" priority="1258" stopIfTrue="1">
      <formula>AJ$3="Sa"</formula>
    </cfRule>
  </conditionalFormatting>
  <conditionalFormatting sqref="AP6:AS6 AP7:AP15">
    <cfRule type="expression" dxfId="398" priority="1255" stopIfTrue="1">
      <formula>AP$3="So"</formula>
    </cfRule>
    <cfRule type="expression" dxfId="397" priority="1256" stopIfTrue="1">
      <formula>AP$3="Sa"</formula>
    </cfRule>
  </conditionalFormatting>
  <conditionalFormatting sqref="M5:M7 M9 M15:M20 M11">
    <cfRule type="expression" dxfId="396" priority="1209" stopIfTrue="1">
      <formula>M$3="So"</formula>
    </cfRule>
    <cfRule type="expression" dxfId="395" priority="1210" stopIfTrue="1">
      <formula>M$3="Sa"</formula>
    </cfRule>
  </conditionalFormatting>
  <conditionalFormatting sqref="AO5">
    <cfRule type="expression" dxfId="394" priority="1131" stopIfTrue="1">
      <formula>AO$3="So"</formula>
    </cfRule>
    <cfRule type="expression" dxfId="393" priority="1132" stopIfTrue="1">
      <formula>AO$3="Sa"</formula>
    </cfRule>
  </conditionalFormatting>
  <conditionalFormatting sqref="AP5">
    <cfRule type="expression" dxfId="392" priority="1129" stopIfTrue="1">
      <formula>AP$3="So"</formula>
    </cfRule>
    <cfRule type="expression" dxfId="391" priority="1130" stopIfTrue="1">
      <formula>AP$3="Sa"</formula>
    </cfRule>
  </conditionalFormatting>
  <conditionalFormatting sqref="AQ5">
    <cfRule type="expression" dxfId="390" priority="1127" stopIfTrue="1">
      <formula>AQ$3="So"</formula>
    </cfRule>
    <cfRule type="expression" dxfId="389" priority="1128" stopIfTrue="1">
      <formula>AQ$3="Sa"</formula>
    </cfRule>
  </conditionalFormatting>
  <conditionalFormatting sqref="AS5">
    <cfRule type="expression" dxfId="388" priority="1125" stopIfTrue="1">
      <formula>AS$3="So"</formula>
    </cfRule>
    <cfRule type="expression" dxfId="387" priority="1126" stopIfTrue="1">
      <formula>AS$3="Sa"</formula>
    </cfRule>
  </conditionalFormatting>
  <conditionalFormatting sqref="AR5">
    <cfRule type="expression" dxfId="386" priority="1123" stopIfTrue="1">
      <formula>AR$3="So"</formula>
    </cfRule>
    <cfRule type="expression" dxfId="385" priority="1124" stopIfTrue="1">
      <formula>AR$3="Sa"</formula>
    </cfRule>
  </conditionalFormatting>
  <conditionalFormatting sqref="AP19:AQ19">
    <cfRule type="expression" dxfId="384" priority="1115" stopIfTrue="1">
      <formula>AP$3="So"</formula>
    </cfRule>
    <cfRule type="expression" dxfId="383" priority="1116" stopIfTrue="1">
      <formula>AP$3="Sa"</formula>
    </cfRule>
  </conditionalFormatting>
  <conditionalFormatting sqref="AM13">
    <cfRule type="expression" dxfId="382" priority="1031" stopIfTrue="1">
      <formula>AM$3="So"</formula>
    </cfRule>
    <cfRule type="expression" dxfId="381" priority="1032" stopIfTrue="1">
      <formula>AM$3="Sa"</formula>
    </cfRule>
  </conditionalFormatting>
  <conditionalFormatting sqref="AN18">
    <cfRule type="expression" dxfId="380" priority="1007" stopIfTrue="1">
      <formula>AV$3="So"</formula>
    </cfRule>
    <cfRule type="expression" dxfId="379" priority="1008" stopIfTrue="1">
      <formula>AV$3="Sa"</formula>
    </cfRule>
  </conditionalFormatting>
  <conditionalFormatting sqref="C5:C20">
    <cfRule type="expression" dxfId="378" priority="945" stopIfTrue="1">
      <formula>C$3="So"</formula>
    </cfRule>
    <cfRule type="expression" dxfId="377" priority="946">
      <formula>C$3="Sa"</formula>
    </cfRule>
  </conditionalFormatting>
  <conditionalFormatting sqref="N6:O6 R6:Z6 R9:Z9 T8:Z8 N9:O11 N13 Z13 N15:O20 R15:Z17 R19:Z19 R18:S18 U18:Z18 T5:U5 R11:Z11 U10:Z10 N5 W5:X5 O7 T7 V7:Z7 T20:Y20">
    <cfRule type="expression" dxfId="376" priority="937" stopIfTrue="1">
      <formula>N$3="So"</formula>
    </cfRule>
    <cfRule type="expression" dxfId="375" priority="938" stopIfTrue="1">
      <formula>N$3="Sa"</formula>
    </cfRule>
  </conditionalFormatting>
  <conditionalFormatting sqref="D13 D7:E11 D15:E20 H5:J5 H7:J20 I6:J6">
    <cfRule type="expression" dxfId="374" priority="809" stopIfTrue="1">
      <formula>D$3="So"</formula>
    </cfRule>
    <cfRule type="expression" dxfId="373" priority="810" stopIfTrue="1">
      <formula>D$3="Sa"</formula>
    </cfRule>
  </conditionalFormatting>
  <conditionalFormatting sqref="E13">
    <cfRule type="expression" dxfId="372" priority="803" stopIfTrue="1">
      <formula>E$3="So"</formula>
    </cfRule>
    <cfRule type="expression" dxfId="371" priority="804" stopIfTrue="1">
      <formula>E$3="Sa"</formula>
    </cfRule>
  </conditionalFormatting>
  <conditionalFormatting sqref="D5">
    <cfRule type="expression" dxfId="370" priority="795" stopIfTrue="1">
      <formula>D$3="So"</formula>
    </cfRule>
    <cfRule type="expression" dxfId="369" priority="796" stopIfTrue="1">
      <formula>D$3="Sa"</formula>
    </cfRule>
  </conditionalFormatting>
  <conditionalFormatting sqref="E5">
    <cfRule type="expression" dxfId="368" priority="793" stopIfTrue="1">
      <formula>E$3="So"</formula>
    </cfRule>
    <cfRule type="expression" dxfId="367" priority="794" stopIfTrue="1">
      <formula>E$3="Sa"</formula>
    </cfRule>
  </conditionalFormatting>
  <conditionalFormatting sqref="F5 F7:F20">
    <cfRule type="expression" dxfId="366" priority="791" stopIfTrue="1">
      <formula>F$3="So"</formula>
    </cfRule>
    <cfRule type="expression" dxfId="365" priority="792" stopIfTrue="1">
      <formula>F$3="Sa"</formula>
    </cfRule>
  </conditionalFormatting>
  <conditionalFormatting sqref="G5 G7:G20">
    <cfRule type="expression" dxfId="364" priority="789" stopIfTrue="1">
      <formula>G$3="So"</formula>
    </cfRule>
    <cfRule type="expression" dxfId="363" priority="790" stopIfTrue="1">
      <formula>G$3="Sa"</formula>
    </cfRule>
  </conditionalFormatting>
  <conditionalFormatting sqref="D6">
    <cfRule type="expression" dxfId="362" priority="787" stopIfTrue="1">
      <formula>D$3="So"</formula>
    </cfRule>
    <cfRule type="expression" dxfId="361" priority="788" stopIfTrue="1">
      <formula>D$3="Sa"</formula>
    </cfRule>
  </conditionalFormatting>
  <conditionalFormatting sqref="E6">
    <cfRule type="expression" dxfId="360" priority="785" stopIfTrue="1">
      <formula>E$3="So"</formula>
    </cfRule>
    <cfRule type="expression" dxfId="359" priority="786" stopIfTrue="1">
      <formula>E$3="Sa"</formula>
    </cfRule>
  </conditionalFormatting>
  <conditionalFormatting sqref="D12:E12">
    <cfRule type="expression" dxfId="358" priority="779" stopIfTrue="1">
      <formula>D$3="So"</formula>
    </cfRule>
    <cfRule type="expression" dxfId="357" priority="780" stopIfTrue="1">
      <formula>D$3="Sa"</formula>
    </cfRule>
  </conditionalFormatting>
  <conditionalFormatting sqref="L9:L10 L15:L17 L19">
    <cfRule type="expression" dxfId="356" priority="741" stopIfTrue="1">
      <formula>L$3="So"</formula>
    </cfRule>
    <cfRule type="expression" dxfId="355" priority="742" stopIfTrue="1">
      <formula>L$3="Sa"</formula>
    </cfRule>
  </conditionalFormatting>
  <conditionalFormatting sqref="AF7:AG7 AF5 AF10:AG10 AF13:AG13 AG17 AF18:AG18">
    <cfRule type="expression" dxfId="354" priority="739" stopIfTrue="1">
      <formula>AF$3="So"</formula>
    </cfRule>
    <cfRule type="expression" dxfId="353" priority="740" stopIfTrue="1">
      <formula>AF$3="Sa"</formula>
    </cfRule>
  </conditionalFormatting>
  <conditionalFormatting sqref="AN8">
    <cfRule type="expression" dxfId="352" priority="637" stopIfTrue="1">
      <formula>AN$3="So"</formula>
    </cfRule>
    <cfRule type="expression" dxfId="351" priority="638" stopIfTrue="1">
      <formula>AN$3="Sa"</formula>
    </cfRule>
  </conditionalFormatting>
  <conditionalFormatting sqref="AK18:AM18">
    <cfRule type="expression" dxfId="350" priority="593" stopIfTrue="1">
      <formula>AK$3="So"</formula>
    </cfRule>
    <cfRule type="expression" dxfId="349" priority="594" stopIfTrue="1">
      <formula>AK$3="Sa"</formula>
    </cfRule>
  </conditionalFormatting>
  <conditionalFormatting sqref="P5:Q7 P9:Q11 P15:Q20">
    <cfRule type="expression" dxfId="348" priority="543" stopIfTrue="1">
      <formula>P$3="So"</formula>
    </cfRule>
    <cfRule type="expression" dxfId="347" priority="544" stopIfTrue="1">
      <formula>P$3="Sa"</formula>
    </cfRule>
  </conditionalFormatting>
  <conditionalFormatting sqref="AD5 AD16:AD17 AD20 AD7:AD11">
    <cfRule type="expression" dxfId="346" priority="539" stopIfTrue="1">
      <formula>AD$3="So"</formula>
    </cfRule>
    <cfRule type="expression" dxfId="345" priority="540" stopIfTrue="1">
      <formula>AD$3="Sa"</formula>
    </cfRule>
  </conditionalFormatting>
  <conditionalFormatting sqref="K9:K10 K15:K20">
    <cfRule type="expression" dxfId="344" priority="529" stopIfTrue="1">
      <formula>K$3="So"</formula>
    </cfRule>
    <cfRule type="expression" dxfId="343" priority="530" stopIfTrue="1">
      <formula>K$3="Sa"</formula>
    </cfRule>
  </conditionalFormatting>
  <conditionalFormatting sqref="AJ17">
    <cfRule type="expression" dxfId="342" priority="521" stopIfTrue="1">
      <formula>AJ$3="So"</formula>
    </cfRule>
    <cfRule type="expression" dxfId="341" priority="522" stopIfTrue="1">
      <formula>AJ$3="Sa"</formula>
    </cfRule>
  </conditionalFormatting>
  <conditionalFormatting sqref="AE6:AE7 AE10:AE11">
    <cfRule type="expression" dxfId="340" priority="469" stopIfTrue="1">
      <formula>AE$3="So"</formula>
    </cfRule>
    <cfRule type="expression" dxfId="339" priority="470" stopIfTrue="1">
      <formula>AE$3="Sa"</formula>
    </cfRule>
  </conditionalFormatting>
  <conditionalFormatting sqref="AC6:AC11 AC16:AC18 AC20">
    <cfRule type="expression" dxfId="338" priority="467" stopIfTrue="1">
      <formula>AC$3="So"</formula>
    </cfRule>
    <cfRule type="expression" dxfId="337" priority="468" stopIfTrue="1">
      <formula>AC$3="Sa"</formula>
    </cfRule>
  </conditionalFormatting>
  <conditionalFormatting sqref="AK10">
    <cfRule type="expression" dxfId="336" priority="419" stopIfTrue="1">
      <formula>AK$3="So"</formula>
    </cfRule>
    <cfRule type="expression" dxfId="335" priority="420" stopIfTrue="1">
      <formula>AK$3="Sa"</formula>
    </cfRule>
  </conditionalFormatting>
  <conditionalFormatting sqref="AJ10">
    <cfRule type="expression" dxfId="334" priority="411" stopIfTrue="1">
      <formula>AJ$3="So"</formula>
    </cfRule>
    <cfRule type="expression" dxfId="333" priority="412" stopIfTrue="1">
      <formula>AJ$3="Sa"</formula>
    </cfRule>
  </conditionalFormatting>
  <conditionalFormatting sqref="AK11 AM11">
    <cfRule type="expression" dxfId="332" priority="407" stopIfTrue="1">
      <formula>AK$3="So"</formula>
    </cfRule>
    <cfRule type="expression" dxfId="331" priority="408" stopIfTrue="1">
      <formula>AK$3="Sa"</formula>
    </cfRule>
  </conditionalFormatting>
  <conditionalFormatting sqref="D14:E14">
    <cfRule type="expression" dxfId="330" priority="405" stopIfTrue="1">
      <formula>D$3="So"</formula>
    </cfRule>
    <cfRule type="expression" dxfId="329" priority="406" stopIfTrue="1">
      <formula>D$3="Sa"</formula>
    </cfRule>
  </conditionalFormatting>
  <conditionalFormatting sqref="AJ18">
    <cfRule type="expression" dxfId="328" priority="391" stopIfTrue="1">
      <formula>AJ$3="So"</formula>
    </cfRule>
    <cfRule type="expression" dxfId="327" priority="392" stopIfTrue="1">
      <formula>AJ$3="Sa"</formula>
    </cfRule>
  </conditionalFormatting>
  <conditionalFormatting sqref="AA5:AA9 AA16:AA17 AA20 AA11">
    <cfRule type="expression" dxfId="326" priority="299" stopIfTrue="1">
      <formula>AA$3="So"</formula>
    </cfRule>
    <cfRule type="expression" dxfId="325" priority="300" stopIfTrue="1">
      <formula>AA$3="Sa"</formula>
    </cfRule>
  </conditionalFormatting>
  <conditionalFormatting sqref="AB5:AB6 AB16:AB18 AB20 AB8:AB11">
    <cfRule type="expression" dxfId="324" priority="297" stopIfTrue="1">
      <formula>AB$3="So"</formula>
    </cfRule>
    <cfRule type="expression" dxfId="323" priority="298" stopIfTrue="1">
      <formula>AB$3="Sa"</formula>
    </cfRule>
  </conditionalFormatting>
  <conditionalFormatting sqref="AH6:AH8 AH11 AH17">
    <cfRule type="expression" dxfId="322" priority="295" stopIfTrue="1">
      <formula>AH$3="So"</formula>
    </cfRule>
    <cfRule type="expression" dxfId="321" priority="296" stopIfTrue="1">
      <formula>AH$3="Sa"</formula>
    </cfRule>
  </conditionalFormatting>
  <conditionalFormatting sqref="AI6 AI10:AI11 AI17:AI18 AI8">
    <cfRule type="expression" dxfId="320" priority="293" stopIfTrue="1">
      <formula>AI$3="So"</formula>
    </cfRule>
    <cfRule type="expression" dxfId="319" priority="294" stopIfTrue="1">
      <formula>AI$3="Sa"</formula>
    </cfRule>
  </conditionalFormatting>
  <conditionalFormatting sqref="AE5">
    <cfRule type="expression" dxfId="318" priority="291" stopIfTrue="1">
      <formula>AE$3="So"</formula>
    </cfRule>
    <cfRule type="expression" dxfId="317" priority="292" stopIfTrue="1">
      <formula>AE$3="Sa"</formula>
    </cfRule>
  </conditionalFormatting>
  <conditionalFormatting sqref="AG5:AN5">
    <cfRule type="expression" dxfId="316" priority="289" stopIfTrue="1">
      <formula>AG$3="So"</formula>
    </cfRule>
    <cfRule type="expression" dxfId="315" priority="290" stopIfTrue="1">
      <formula>AG$3="Sa"</formula>
    </cfRule>
  </conditionalFormatting>
  <conditionalFormatting sqref="L5">
    <cfRule type="expression" dxfId="314" priority="287" stopIfTrue="1">
      <formula>L$3="So"</formula>
    </cfRule>
    <cfRule type="expression" dxfId="313" priority="288" stopIfTrue="1">
      <formula>L$3="Sa"</formula>
    </cfRule>
  </conditionalFormatting>
  <conditionalFormatting sqref="L6">
    <cfRule type="expression" dxfId="312" priority="285" stopIfTrue="1">
      <formula>L$3="So"</formula>
    </cfRule>
    <cfRule type="expression" dxfId="311" priority="286" stopIfTrue="1">
      <formula>L$3="Sa"</formula>
    </cfRule>
  </conditionalFormatting>
  <conditionalFormatting sqref="K6">
    <cfRule type="expression" dxfId="310" priority="283" stopIfTrue="1">
      <formula>K$3="So"</formula>
    </cfRule>
    <cfRule type="expression" dxfId="309" priority="284" stopIfTrue="1">
      <formula>K$3="Sa"</formula>
    </cfRule>
  </conditionalFormatting>
  <conditionalFormatting sqref="AN6">
    <cfRule type="expression" dxfId="308" priority="277" stopIfTrue="1">
      <formula>AN$3="So"</formula>
    </cfRule>
    <cfRule type="expression" dxfId="307" priority="278" stopIfTrue="1">
      <formula>AN$3="Sa"</formula>
    </cfRule>
  </conditionalFormatting>
  <conditionalFormatting sqref="AO6">
    <cfRule type="expression" dxfId="306" priority="275" stopIfTrue="1">
      <formula>AO$3="So"</formula>
    </cfRule>
    <cfRule type="expression" dxfId="305" priority="276" stopIfTrue="1">
      <formula>AO$3="Sa"</formula>
    </cfRule>
  </conditionalFormatting>
  <conditionalFormatting sqref="K8">
    <cfRule type="expression" dxfId="304" priority="273" stopIfTrue="1">
      <formula>K$3="So"</formula>
    </cfRule>
    <cfRule type="expression" dxfId="303" priority="274" stopIfTrue="1">
      <formula>K$3="Sa"</formula>
    </cfRule>
  </conditionalFormatting>
  <conditionalFormatting sqref="L8:S8">
    <cfRule type="expression" dxfId="302" priority="271" stopIfTrue="1">
      <formula>L$3="So"</formula>
    </cfRule>
    <cfRule type="expression" dxfId="301" priority="272" stopIfTrue="1">
      <formula>L$3="Sa"</formula>
    </cfRule>
  </conditionalFormatting>
  <conditionalFormatting sqref="AF9">
    <cfRule type="expression" dxfId="300" priority="269" stopIfTrue="1">
      <formula>AE$3="So"</formula>
    </cfRule>
    <cfRule type="expression" dxfId="299" priority="270" stopIfTrue="1">
      <formula>AE$3="Sa"</formula>
    </cfRule>
  </conditionalFormatting>
  <conditionalFormatting sqref="AF9:AN9">
    <cfRule type="expression" dxfId="298" priority="267" stopIfTrue="1">
      <formula>AF$3="So"</formula>
    </cfRule>
    <cfRule type="expression" dxfId="297" priority="268" stopIfTrue="1">
      <formula>AF$3="Sa"</formula>
    </cfRule>
  </conditionalFormatting>
  <conditionalFormatting sqref="AO9">
    <cfRule type="expression" dxfId="296" priority="265" stopIfTrue="1">
      <formula>AO$3="So"</formula>
    </cfRule>
    <cfRule type="expression" dxfId="295" priority="266" stopIfTrue="1">
      <formula>AO$3="Sa"</formula>
    </cfRule>
  </conditionalFormatting>
  <conditionalFormatting sqref="AM10">
    <cfRule type="expression" dxfId="294" priority="263" stopIfTrue="1">
      <formula>AL$3="So"</formula>
    </cfRule>
    <cfRule type="expression" dxfId="293" priority="264" stopIfTrue="1">
      <formula>AL$3="Sa"</formula>
    </cfRule>
  </conditionalFormatting>
  <conditionalFormatting sqref="AM10:AN10">
    <cfRule type="expression" dxfId="292" priority="261" stopIfTrue="1">
      <formula>AM$3="So"</formula>
    </cfRule>
    <cfRule type="expression" dxfId="291" priority="262" stopIfTrue="1">
      <formula>AM$3="Sa"</formula>
    </cfRule>
  </conditionalFormatting>
  <conditionalFormatting sqref="AO10">
    <cfRule type="expression" dxfId="290" priority="259" stopIfTrue="1">
      <formula>AO$3="So"</formula>
    </cfRule>
    <cfRule type="expression" dxfId="289" priority="260" stopIfTrue="1">
      <formula>AO$3="Sa"</formula>
    </cfRule>
  </conditionalFormatting>
  <conditionalFormatting sqref="K11">
    <cfRule type="expression" dxfId="288" priority="255" stopIfTrue="1">
      <formula>K$3="So"</formula>
    </cfRule>
    <cfRule type="expression" dxfId="287" priority="256" stopIfTrue="1">
      <formula>K$3="Sa"</formula>
    </cfRule>
  </conditionalFormatting>
  <conditionalFormatting sqref="L11">
    <cfRule type="expression" dxfId="286" priority="253" stopIfTrue="1">
      <formula>L$3="So"</formula>
    </cfRule>
    <cfRule type="expression" dxfId="285" priority="254" stopIfTrue="1">
      <formula>L$3="Sa"</formula>
    </cfRule>
  </conditionalFormatting>
  <conditionalFormatting sqref="K12">
    <cfRule type="expression" dxfId="284" priority="251" stopIfTrue="1">
      <formula>K$3="So"</formula>
    </cfRule>
    <cfRule type="expression" dxfId="283" priority="252" stopIfTrue="1">
      <formula>K$3="Sa"</formula>
    </cfRule>
  </conditionalFormatting>
  <conditionalFormatting sqref="L12:AM12">
    <cfRule type="expression" dxfId="282" priority="249" stopIfTrue="1">
      <formula>L$3="So"</formula>
    </cfRule>
    <cfRule type="expression" dxfId="281" priority="250" stopIfTrue="1">
      <formula>L$3="Sa"</formula>
    </cfRule>
  </conditionalFormatting>
  <conditionalFormatting sqref="AN12">
    <cfRule type="expression" dxfId="280" priority="247" stopIfTrue="1">
      <formula>AN$3="So"</formula>
    </cfRule>
    <cfRule type="expression" dxfId="279" priority="248" stopIfTrue="1">
      <formula>AN$3="Sa"</formula>
    </cfRule>
  </conditionalFormatting>
  <conditionalFormatting sqref="K13:M13">
    <cfRule type="expression" dxfId="278" priority="245" stopIfTrue="1">
      <formula>K$3="So"</formula>
    </cfRule>
    <cfRule type="expression" dxfId="277" priority="246" stopIfTrue="1">
      <formula>K$3="Sa"</formula>
    </cfRule>
  </conditionalFormatting>
  <conditionalFormatting sqref="R13">
    <cfRule type="expression" dxfId="276" priority="243" stopIfTrue="1">
      <formula>Q$3="So"</formula>
    </cfRule>
    <cfRule type="expression" dxfId="275" priority="244" stopIfTrue="1">
      <formula>Q$3="Sa"</formula>
    </cfRule>
  </conditionalFormatting>
  <conditionalFormatting sqref="R13:Y13">
    <cfRule type="expression" dxfId="274" priority="241" stopIfTrue="1">
      <formula>R$3="So"</formula>
    </cfRule>
    <cfRule type="expression" dxfId="273" priority="242" stopIfTrue="1">
      <formula>R$3="Sa"</formula>
    </cfRule>
  </conditionalFormatting>
  <conditionalFormatting sqref="AB13">
    <cfRule type="expression" dxfId="272" priority="239" stopIfTrue="1">
      <formula>AB$3="So"</formula>
    </cfRule>
    <cfRule type="expression" dxfId="271" priority="240" stopIfTrue="1">
      <formula>AB$3="Sa"</formula>
    </cfRule>
  </conditionalFormatting>
  <conditionalFormatting sqref="AI13">
    <cfRule type="expression" dxfId="270" priority="237" stopIfTrue="1">
      <formula>AI$3="So"</formula>
    </cfRule>
    <cfRule type="expression" dxfId="269" priority="238" stopIfTrue="1">
      <formula>AI$3="Sa"</formula>
    </cfRule>
  </conditionalFormatting>
  <conditionalFormatting sqref="K14:AO14">
    <cfRule type="expression" dxfId="268" priority="235" stopIfTrue="1">
      <formula>K$3="So"</formula>
    </cfRule>
    <cfRule type="expression" dxfId="267" priority="236" stopIfTrue="1">
      <formula>K$3="Sa"</formula>
    </cfRule>
  </conditionalFormatting>
  <conditionalFormatting sqref="AB15">
    <cfRule type="expression" dxfId="266" priority="233" stopIfTrue="1">
      <formula>AA$3="So"</formula>
    </cfRule>
    <cfRule type="expression" dxfId="265" priority="234" stopIfTrue="1">
      <formula>AA$3="Sa"</formula>
    </cfRule>
  </conditionalFormatting>
  <conditionalFormatting sqref="AB15:AN15">
    <cfRule type="expression" dxfId="264" priority="231" stopIfTrue="1">
      <formula>AB$3="So"</formula>
    </cfRule>
    <cfRule type="expression" dxfId="263" priority="232" stopIfTrue="1">
      <formula>AB$3="Sa"</formula>
    </cfRule>
  </conditionalFormatting>
  <conditionalFormatting sqref="AO15">
    <cfRule type="expression" dxfId="262" priority="229" stopIfTrue="1">
      <formula>AO$3="So"</formula>
    </cfRule>
    <cfRule type="expression" dxfId="261" priority="230" stopIfTrue="1">
      <formula>AO$3="Sa"</formula>
    </cfRule>
  </conditionalFormatting>
  <conditionalFormatting sqref="AF16">
    <cfRule type="expression" dxfId="260" priority="227" stopIfTrue="1">
      <formula>AE$3="So"</formula>
    </cfRule>
    <cfRule type="expression" dxfId="259" priority="228" stopIfTrue="1">
      <formula>AE$3="Sa"</formula>
    </cfRule>
  </conditionalFormatting>
  <conditionalFormatting sqref="AF16:AN16">
    <cfRule type="expression" dxfId="258" priority="225" stopIfTrue="1">
      <formula>AF$3="So"</formula>
    </cfRule>
    <cfRule type="expression" dxfId="257" priority="226" stopIfTrue="1">
      <formula>AF$3="Sa"</formula>
    </cfRule>
  </conditionalFormatting>
  <conditionalFormatting sqref="AO16">
    <cfRule type="expression" dxfId="256" priority="223" stopIfTrue="1">
      <formula>AO$3="So"</formula>
    </cfRule>
    <cfRule type="expression" dxfId="255" priority="224" stopIfTrue="1">
      <formula>AO$3="Sa"</formula>
    </cfRule>
  </conditionalFormatting>
  <conditionalFormatting sqref="K17">
    <cfRule type="expression" dxfId="254" priority="221" stopIfTrue="1">
      <formula>K$3="So"</formula>
    </cfRule>
    <cfRule type="expression" dxfId="253" priority="222" stopIfTrue="1">
      <formula>K$3="Sa"</formula>
    </cfRule>
  </conditionalFormatting>
  <conditionalFormatting sqref="L17:AF17">
    <cfRule type="expression" dxfId="252" priority="219" stopIfTrue="1">
      <formula>L$3="So"</formula>
    </cfRule>
    <cfRule type="expression" dxfId="251" priority="220" stopIfTrue="1">
      <formula>L$3="Sa"</formula>
    </cfRule>
  </conditionalFormatting>
  <conditionalFormatting sqref="T18">
    <cfRule type="expression" dxfId="250" priority="217" stopIfTrue="1">
      <formula>T$3="So"</formula>
    </cfRule>
    <cfRule type="expression" dxfId="249" priority="218" stopIfTrue="1">
      <formula>T$3="Sa"</formula>
    </cfRule>
  </conditionalFormatting>
  <conditionalFormatting sqref="AA18">
    <cfRule type="expression" dxfId="248" priority="215" stopIfTrue="1">
      <formula>AA$3="So"</formula>
    </cfRule>
    <cfRule type="expression" dxfId="247" priority="216" stopIfTrue="1">
      <formula>AA$3="Sa"</formula>
    </cfRule>
  </conditionalFormatting>
  <conditionalFormatting sqref="AC19:AN19">
    <cfRule type="expression" dxfId="246" priority="209" stopIfTrue="1">
      <formula>AC$3="So"</formula>
    </cfRule>
    <cfRule type="expression" dxfId="245" priority="210" stopIfTrue="1">
      <formula>AC$3="Sa"</formula>
    </cfRule>
  </conditionalFormatting>
  <conditionalFormatting sqref="AC19:AN19">
    <cfRule type="expression" dxfId="244" priority="207" stopIfTrue="1">
      <formula>AC$3="So"</formula>
    </cfRule>
    <cfRule type="expression" dxfId="243" priority="208" stopIfTrue="1">
      <formula>AC$3="Sa"</formula>
    </cfRule>
  </conditionalFormatting>
  <conditionalFormatting sqref="AO19">
    <cfRule type="expression" dxfId="242" priority="205" stopIfTrue="1">
      <formula>AO$3="So"</formula>
    </cfRule>
    <cfRule type="expression" dxfId="241" priority="206" stopIfTrue="1">
      <formula>AO$3="Sa"</formula>
    </cfRule>
  </conditionalFormatting>
  <conditionalFormatting sqref="R20">
    <cfRule type="expression" dxfId="240" priority="199" stopIfTrue="1">
      <formula>R$3="So"</formula>
    </cfRule>
    <cfRule type="expression" dxfId="239" priority="200" stopIfTrue="1">
      <formula>R$3="Sa"</formula>
    </cfRule>
  </conditionalFormatting>
  <conditionalFormatting sqref="AE20">
    <cfRule type="expression" dxfId="238" priority="195" stopIfTrue="1">
      <formula>AE$3="So"</formula>
    </cfRule>
    <cfRule type="expression" dxfId="237" priority="196" stopIfTrue="1">
      <formula>AE$3="Sa"</formula>
    </cfRule>
  </conditionalFormatting>
  <conditionalFormatting sqref="AF20:AN20">
    <cfRule type="expression" dxfId="236" priority="191" stopIfTrue="1">
      <formula>AF$3="So"</formula>
    </cfRule>
    <cfRule type="expression" dxfId="235" priority="192" stopIfTrue="1">
      <formula>AF$3="Sa"</formula>
    </cfRule>
  </conditionalFormatting>
  <conditionalFormatting sqref="AF20:AN20">
    <cfRule type="expression" dxfId="234" priority="189" stopIfTrue="1">
      <formula>AF$3="So"</formula>
    </cfRule>
    <cfRule type="expression" dxfId="233" priority="190" stopIfTrue="1">
      <formula>AF$3="Sa"</formula>
    </cfRule>
  </conditionalFormatting>
  <conditionalFormatting sqref="AO20">
    <cfRule type="expression" dxfId="232" priority="187" stopIfTrue="1">
      <formula>AO$3="So"</formula>
    </cfRule>
    <cfRule type="expression" dxfId="231" priority="188" stopIfTrue="1">
      <formula>AO$3="Sa"</formula>
    </cfRule>
  </conditionalFormatting>
  <conditionalFormatting sqref="F6:H6">
    <cfRule type="expression" dxfId="230" priority="177" stopIfTrue="1">
      <formula>F$3="So"</formula>
    </cfRule>
    <cfRule type="expression" dxfId="229" priority="178" stopIfTrue="1">
      <formula>F$3="Sa"</formula>
    </cfRule>
  </conditionalFormatting>
  <conditionalFormatting sqref="L18">
    <cfRule type="expression" dxfId="228" priority="175" stopIfTrue="1">
      <formula>L$3="So"</formula>
    </cfRule>
    <cfRule type="expression" dxfId="227" priority="176" stopIfTrue="1">
      <formula>L$3="Sa"</formula>
    </cfRule>
  </conditionalFormatting>
  <conditionalFormatting sqref="K5">
    <cfRule type="expression" dxfId="226" priority="173" stopIfTrue="1">
      <formula>K$3="So"</formula>
    </cfRule>
    <cfRule type="expression" dxfId="225" priority="174" stopIfTrue="1">
      <formula>K$3="Sa"</formula>
    </cfRule>
  </conditionalFormatting>
  <conditionalFormatting sqref="S5">
    <cfRule type="expression" dxfId="224" priority="171" stopIfTrue="1">
      <formula>S$3="So"</formula>
    </cfRule>
    <cfRule type="expression" dxfId="223" priority="172" stopIfTrue="1">
      <formula>S$3="Sa"</formula>
    </cfRule>
  </conditionalFormatting>
  <conditionalFormatting sqref="R5">
    <cfRule type="expression" dxfId="222" priority="169" stopIfTrue="1">
      <formula>R$3="So"</formula>
    </cfRule>
    <cfRule type="expression" dxfId="221" priority="170" stopIfTrue="1">
      <formula>R$3="Sa"</formula>
    </cfRule>
  </conditionalFormatting>
  <conditionalFormatting sqref="Z5">
    <cfRule type="expression" dxfId="220" priority="167" stopIfTrue="1">
      <formula>Z$3="So"</formula>
    </cfRule>
    <cfRule type="expression" dxfId="219" priority="168" stopIfTrue="1">
      <formula>Z$3="Sa"</formula>
    </cfRule>
  </conditionalFormatting>
  <conditionalFormatting sqref="Y5">
    <cfRule type="expression" dxfId="218" priority="165" stopIfTrue="1">
      <formula>Y$3="So"</formula>
    </cfRule>
    <cfRule type="expression" dxfId="217" priority="166" stopIfTrue="1">
      <formula>Y$3="Sa"</formula>
    </cfRule>
  </conditionalFormatting>
  <conditionalFormatting sqref="R10:S10">
    <cfRule type="expression" dxfId="216" priority="163" stopIfTrue="1">
      <formula>R$3="So"</formula>
    </cfRule>
    <cfRule type="expression" dxfId="215" priority="164" stopIfTrue="1">
      <formula>R$3="Sa"</formula>
    </cfRule>
  </conditionalFormatting>
  <conditionalFormatting sqref="O5">
    <cfRule type="expression" dxfId="214" priority="161" stopIfTrue="1">
      <formula>O$3="So"</formula>
    </cfRule>
    <cfRule type="expression" dxfId="213" priority="162" stopIfTrue="1">
      <formula>O$3="Sa"</formula>
    </cfRule>
  </conditionalFormatting>
  <conditionalFormatting sqref="V5">
    <cfRule type="expression" dxfId="212" priority="159" stopIfTrue="1">
      <formula>V$3="So"</formula>
    </cfRule>
    <cfRule type="expression" dxfId="211" priority="160" stopIfTrue="1">
      <formula>V$3="Sa"</formula>
    </cfRule>
  </conditionalFormatting>
  <conditionalFormatting sqref="AC5">
    <cfRule type="expression" dxfId="210" priority="157" stopIfTrue="1">
      <formula>AC$3="So"</formula>
    </cfRule>
    <cfRule type="expression" dxfId="209" priority="158" stopIfTrue="1">
      <formula>AC$3="Sa"</formula>
    </cfRule>
  </conditionalFormatting>
  <conditionalFormatting sqref="N7">
    <cfRule type="expression" dxfId="208" priority="155" stopIfTrue="1">
      <formula>N$3="So"</formula>
    </cfRule>
    <cfRule type="expression" dxfId="207" priority="156" stopIfTrue="1">
      <formula>N$3="Sa"</formula>
    </cfRule>
  </conditionalFormatting>
  <conditionalFormatting sqref="U7">
    <cfRule type="expression" dxfId="206" priority="153" stopIfTrue="1">
      <formula>U$3="So"</formula>
    </cfRule>
    <cfRule type="expression" dxfId="205" priority="154" stopIfTrue="1">
      <formula>U$3="Sa"</formula>
    </cfRule>
  </conditionalFormatting>
  <conditionalFormatting sqref="AB7">
    <cfRule type="expression" dxfId="204" priority="151" stopIfTrue="1">
      <formula>AB$3="So"</formula>
    </cfRule>
    <cfRule type="expression" dxfId="203" priority="152" stopIfTrue="1">
      <formula>AB$3="Sa"</formula>
    </cfRule>
  </conditionalFormatting>
  <conditionalFormatting sqref="AI7">
    <cfRule type="expression" dxfId="202" priority="149" stopIfTrue="1">
      <formula>AI$3="So"</formula>
    </cfRule>
    <cfRule type="expression" dxfId="201" priority="150" stopIfTrue="1">
      <formula>AI$3="Sa"</formula>
    </cfRule>
  </conditionalFormatting>
  <conditionalFormatting sqref="M10">
    <cfRule type="expression" dxfId="200" priority="147" stopIfTrue="1">
      <formula>M$3="So"</formula>
    </cfRule>
    <cfRule type="expression" dxfId="199" priority="148" stopIfTrue="1">
      <formula>M$3="Sa"</formula>
    </cfRule>
  </conditionalFormatting>
  <conditionalFormatting sqref="T10">
    <cfRule type="expression" dxfId="198" priority="145" stopIfTrue="1">
      <formula>T$3="So"</formula>
    </cfRule>
    <cfRule type="expression" dxfId="197" priority="146" stopIfTrue="1">
      <formula>T$3="Sa"</formula>
    </cfRule>
  </conditionalFormatting>
  <conditionalFormatting sqref="AA10">
    <cfRule type="expression" dxfId="196" priority="143" stopIfTrue="1">
      <formula>AA$3="So"</formula>
    </cfRule>
    <cfRule type="expression" dxfId="195" priority="144" stopIfTrue="1">
      <formula>AA$3="Sa"</formula>
    </cfRule>
  </conditionalFormatting>
  <conditionalFormatting sqref="AH10">
    <cfRule type="expression" dxfId="194" priority="141" stopIfTrue="1">
      <formula>AH$3="So"</formula>
    </cfRule>
    <cfRule type="expression" dxfId="193" priority="142" stopIfTrue="1">
      <formula>AH$3="Sa"</formula>
    </cfRule>
  </conditionalFormatting>
  <conditionalFormatting sqref="L20">
    <cfRule type="expression" dxfId="192" priority="139" stopIfTrue="1">
      <formula>L$3="So"</formula>
    </cfRule>
    <cfRule type="expression" dxfId="191" priority="140" stopIfTrue="1">
      <formula>L$3="Sa"</formula>
    </cfRule>
  </conditionalFormatting>
  <conditionalFormatting sqref="S20">
    <cfRule type="expression" dxfId="190" priority="135" stopIfTrue="1">
      <formula>S$3="So"</formula>
    </cfRule>
    <cfRule type="expression" dxfId="189" priority="136" stopIfTrue="1">
      <formula>S$3="Sa"</formula>
    </cfRule>
  </conditionalFormatting>
  <conditionalFormatting sqref="Z20">
    <cfRule type="expression" dxfId="188" priority="129" stopIfTrue="1">
      <formula>Z$3="So"</formula>
    </cfRule>
    <cfRule type="expression" dxfId="187" priority="130" stopIfTrue="1">
      <formula>Z$3="Sa"</formula>
    </cfRule>
  </conditionalFormatting>
  <conditionalFormatting sqref="AA19">
    <cfRule type="expression" dxfId="186" priority="127" stopIfTrue="1">
      <formula>AA$3="So"</formula>
    </cfRule>
    <cfRule type="expression" dxfId="185" priority="128" stopIfTrue="1">
      <formula>AA$3="Sa"</formula>
    </cfRule>
  </conditionalFormatting>
  <conditionalFormatting sqref="AB19">
    <cfRule type="expression" dxfId="184" priority="125" stopIfTrue="1">
      <formula>AB$3="So"</formula>
    </cfRule>
    <cfRule type="expression" dxfId="183" priority="126" stopIfTrue="1">
      <formula>AB$3="Sa"</formula>
    </cfRule>
  </conditionalFormatting>
  <conditionalFormatting sqref="AB19">
    <cfRule type="expression" dxfId="182" priority="123" stopIfTrue="1">
      <formula>AB$3="So"</formula>
    </cfRule>
    <cfRule type="expression" dxfId="181" priority="124" stopIfTrue="1">
      <formula>AB$3="Sa"</formula>
    </cfRule>
  </conditionalFormatting>
  <conditionalFormatting sqref="AM6">
    <cfRule type="expression" dxfId="180" priority="121" stopIfTrue="1">
      <formula>AM$3="So"</formula>
    </cfRule>
    <cfRule type="expression" dxfId="179" priority="122" stopIfTrue="1">
      <formula>AM$3="Sa"</formula>
    </cfRule>
  </conditionalFormatting>
  <conditionalFormatting sqref="AK7">
    <cfRule type="expression" dxfId="178" priority="119" stopIfTrue="1">
      <formula>AK$3="So"</formula>
    </cfRule>
    <cfRule type="expression" dxfId="177" priority="120" stopIfTrue="1">
      <formula>AK$3="Sa"</formula>
    </cfRule>
  </conditionalFormatting>
  <conditionalFormatting sqref="AJ8">
    <cfRule type="expression" dxfId="176" priority="117" stopIfTrue="1">
      <formula>AJ$3="So"</formula>
    </cfRule>
    <cfRule type="expression" dxfId="175" priority="118" stopIfTrue="1">
      <formula>AJ$3="Sa"</formula>
    </cfRule>
  </conditionalFormatting>
  <conditionalFormatting sqref="AL10">
    <cfRule type="expression" dxfId="174" priority="115" stopIfTrue="1">
      <formula>AL$3="So"</formula>
    </cfRule>
    <cfRule type="expression" dxfId="173" priority="116" stopIfTrue="1">
      <formula>AL$3="Sa"</formula>
    </cfRule>
  </conditionalFormatting>
  <conditionalFormatting sqref="AJ13:AL13">
    <cfRule type="expression" dxfId="172" priority="113" stopIfTrue="1">
      <formula>AJ$3="So"</formula>
    </cfRule>
    <cfRule type="expression" dxfId="171" priority="114" stopIfTrue="1">
      <formula>AJ$3="Sa"</formula>
    </cfRule>
  </conditionalFormatting>
  <conditionalFormatting sqref="AH13">
    <cfRule type="expression" dxfId="170" priority="111" stopIfTrue="1">
      <formula>AH$3="So"</formula>
    </cfRule>
    <cfRule type="expression" dxfId="169" priority="112" stopIfTrue="1">
      <formula>AH$3="Sa"</formula>
    </cfRule>
  </conditionalFormatting>
  <conditionalFormatting sqref="AC13:AE13">
    <cfRule type="expression" dxfId="168" priority="109" stopIfTrue="1">
      <formula>AC$3="So"</formula>
    </cfRule>
    <cfRule type="expression" dxfId="167" priority="110" stopIfTrue="1">
      <formula>AC$3="Sa"</formula>
    </cfRule>
  </conditionalFormatting>
  <conditionalFormatting sqref="AA13">
    <cfRule type="expression" dxfId="166" priority="107" stopIfTrue="1">
      <formula>AA$3="So"</formula>
    </cfRule>
    <cfRule type="expression" dxfId="165" priority="108" stopIfTrue="1">
      <formula>AA$3="Sa"</formula>
    </cfRule>
  </conditionalFormatting>
  <conditionalFormatting sqref="O13:P13">
    <cfRule type="expression" dxfId="164" priority="105" stopIfTrue="1">
      <formula>O$3="So"</formula>
    </cfRule>
    <cfRule type="expression" dxfId="163" priority="106" stopIfTrue="1">
      <formula>O$3="Sa"</formula>
    </cfRule>
  </conditionalFormatting>
  <conditionalFormatting sqref="Q13">
    <cfRule type="expression" dxfId="162" priority="103" stopIfTrue="1">
      <formula>Q$3="So"</formula>
    </cfRule>
    <cfRule type="expression" dxfId="161" priority="104" stopIfTrue="1">
      <formula>Q$3="Sa"</formula>
    </cfRule>
  </conditionalFormatting>
  <conditionalFormatting sqref="AL11">
    <cfRule type="expression" dxfId="160" priority="101" stopIfTrue="1">
      <formula>AL$3="So"</formula>
    </cfRule>
    <cfRule type="expression" dxfId="159" priority="102" stopIfTrue="1">
      <formula>AL$3="Sa"</formula>
    </cfRule>
  </conditionalFormatting>
  <conditionalFormatting sqref="AF6:AG6">
    <cfRule type="expression" dxfId="158" priority="99" stopIfTrue="1">
      <formula>AF$3="So"</formula>
    </cfRule>
    <cfRule type="expression" dxfId="157" priority="100" stopIfTrue="1">
      <formula>AF$3="Sa"</formula>
    </cfRule>
  </conditionalFormatting>
  <conditionalFormatting sqref="AJ7">
    <cfRule type="expression" dxfId="156" priority="97" stopIfTrue="1">
      <formula>AJ$3="So"</formula>
    </cfRule>
    <cfRule type="expression" dxfId="155" priority="98" stopIfTrue="1">
      <formula>AJ$3="Sa"</formula>
    </cfRule>
  </conditionalFormatting>
  <conditionalFormatting sqref="AK8">
    <cfRule type="expression" dxfId="154" priority="95" stopIfTrue="1">
      <formula>AK$3="So"</formula>
    </cfRule>
    <cfRule type="expression" dxfId="153" priority="96" stopIfTrue="1">
      <formula>AK$3="Sa"</formula>
    </cfRule>
  </conditionalFormatting>
  <conditionalFormatting sqref="AF8:AG8">
    <cfRule type="expression" dxfId="152" priority="93" stopIfTrue="1">
      <formula>AF$3="So"</formula>
    </cfRule>
    <cfRule type="expression" dxfId="151" priority="94" stopIfTrue="1">
      <formula>AF$3="Sa"</formula>
    </cfRule>
  </conditionalFormatting>
  <conditionalFormatting sqref="AO13">
    <cfRule type="expression" dxfId="150" priority="91" stopIfTrue="1">
      <formula>AO$3="So"</formula>
    </cfRule>
    <cfRule type="expression" dxfId="149" priority="92" stopIfTrue="1">
      <formula>AO$3="Sa"</formula>
    </cfRule>
  </conditionalFormatting>
  <conditionalFormatting sqref="AF11">
    <cfRule type="expression" dxfId="148" priority="89" stopIfTrue="1">
      <formula>AF$3="So"</formula>
    </cfRule>
    <cfRule type="expression" dxfId="147" priority="90" stopIfTrue="1">
      <formula>AF$3="Sa"</formula>
    </cfRule>
  </conditionalFormatting>
  <conditionalFormatting sqref="AG11">
    <cfRule type="expression" dxfId="146" priority="87" stopIfTrue="1">
      <formula>AG$3="So"</formula>
    </cfRule>
    <cfRule type="expression" dxfId="145" priority="88" stopIfTrue="1">
      <formula>AG$3="Sa"</formula>
    </cfRule>
  </conditionalFormatting>
  <conditionalFormatting sqref="AE8">
    <cfRule type="expression" dxfId="144" priority="85" stopIfTrue="1">
      <formula>AE$3="So"</formula>
    </cfRule>
    <cfRule type="expression" dxfId="143" priority="86" stopIfTrue="1">
      <formula>AE$3="Sa"</formula>
    </cfRule>
  </conditionalFormatting>
  <conditionalFormatting sqref="AD6">
    <cfRule type="expression" dxfId="142" priority="83" stopIfTrue="1">
      <formula>AD$3="So"</formula>
    </cfRule>
    <cfRule type="expression" dxfId="141" priority="84" stopIfTrue="1">
      <formula>AD$3="Sa"</formula>
    </cfRule>
  </conditionalFormatting>
  <conditionalFormatting sqref="AE9">
    <cfRule type="expression" dxfId="140" priority="81" stopIfTrue="1">
      <formula>AE$3="So"</formula>
    </cfRule>
    <cfRule type="expression" dxfId="139" priority="82" stopIfTrue="1">
      <formula>AE$3="Sa"</formula>
    </cfRule>
  </conditionalFormatting>
  <conditionalFormatting sqref="AP21:AS21">
    <cfRule type="expression" dxfId="138" priority="79" stopIfTrue="1">
      <formula>AP$3="So"</formula>
    </cfRule>
    <cfRule type="expression" dxfId="137" priority="80" stopIfTrue="1">
      <formula>AP$3="Sa"</formula>
    </cfRule>
  </conditionalFormatting>
  <conditionalFormatting sqref="M21">
    <cfRule type="expression" dxfId="136" priority="77" stopIfTrue="1">
      <formula>M$3="So"</formula>
    </cfRule>
    <cfRule type="expression" dxfId="135" priority="78" stopIfTrue="1">
      <formula>M$3="Sa"</formula>
    </cfRule>
  </conditionalFormatting>
  <conditionalFormatting sqref="C21">
    <cfRule type="expression" dxfId="134" priority="75" stopIfTrue="1">
      <formula>C$3="So"</formula>
    </cfRule>
    <cfRule type="expression" dxfId="133" priority="76">
      <formula>C$3="Sa"</formula>
    </cfRule>
  </conditionalFormatting>
  <conditionalFormatting sqref="N21:O21 R21 T21:Y21">
    <cfRule type="expression" dxfId="132" priority="73" stopIfTrue="1">
      <formula>N$3="So"</formula>
    </cfRule>
    <cfRule type="expression" dxfId="131" priority="74" stopIfTrue="1">
      <formula>N$3="Sa"</formula>
    </cfRule>
  </conditionalFormatting>
  <conditionalFormatting sqref="D21:E21 H21:J21">
    <cfRule type="expression" dxfId="130" priority="71" stopIfTrue="1">
      <formula>D$3="So"</formula>
    </cfRule>
    <cfRule type="expression" dxfId="129" priority="72" stopIfTrue="1">
      <formula>D$3="Sa"</formula>
    </cfRule>
  </conditionalFormatting>
  <conditionalFormatting sqref="F21">
    <cfRule type="expression" dxfId="128" priority="69" stopIfTrue="1">
      <formula>F$3="So"</formula>
    </cfRule>
    <cfRule type="expression" dxfId="127" priority="70" stopIfTrue="1">
      <formula>F$3="Sa"</formula>
    </cfRule>
  </conditionalFormatting>
  <conditionalFormatting sqref="G21">
    <cfRule type="expression" dxfId="126" priority="67" stopIfTrue="1">
      <formula>G$3="So"</formula>
    </cfRule>
    <cfRule type="expression" dxfId="125" priority="68" stopIfTrue="1">
      <formula>G$3="Sa"</formula>
    </cfRule>
  </conditionalFormatting>
  <conditionalFormatting sqref="P21:Q21">
    <cfRule type="expression" dxfId="124" priority="65" stopIfTrue="1">
      <formula>P$3="So"</formula>
    </cfRule>
    <cfRule type="expression" dxfId="123" priority="66" stopIfTrue="1">
      <formula>P$3="Sa"</formula>
    </cfRule>
  </conditionalFormatting>
  <conditionalFormatting sqref="AD21">
    <cfRule type="expression" dxfId="122" priority="63" stopIfTrue="1">
      <formula>AD$3="So"</formula>
    </cfRule>
    <cfRule type="expression" dxfId="121" priority="64" stopIfTrue="1">
      <formula>AD$3="Sa"</formula>
    </cfRule>
  </conditionalFormatting>
  <conditionalFormatting sqref="AC21">
    <cfRule type="expression" dxfId="120" priority="61" stopIfTrue="1">
      <formula>AC$3="So"</formula>
    </cfRule>
    <cfRule type="expression" dxfId="119" priority="62" stopIfTrue="1">
      <formula>AC$3="Sa"</formula>
    </cfRule>
  </conditionalFormatting>
  <conditionalFormatting sqref="AA21">
    <cfRule type="expression" dxfId="118" priority="59" stopIfTrue="1">
      <formula>AA$3="So"</formula>
    </cfRule>
    <cfRule type="expression" dxfId="117" priority="60" stopIfTrue="1">
      <formula>AA$3="Sa"</formula>
    </cfRule>
  </conditionalFormatting>
  <conditionalFormatting sqref="AB21">
    <cfRule type="expression" dxfId="116" priority="57" stopIfTrue="1">
      <formula>AB$3="So"</formula>
    </cfRule>
    <cfRule type="expression" dxfId="115" priority="58" stopIfTrue="1">
      <formula>AB$3="Sa"</formula>
    </cfRule>
  </conditionalFormatting>
  <conditionalFormatting sqref="K21">
    <cfRule type="expression" dxfId="114" priority="55" stopIfTrue="1">
      <formula>K$3="So"</formula>
    </cfRule>
    <cfRule type="expression" dxfId="113" priority="56" stopIfTrue="1">
      <formula>K$3="Sa"</formula>
    </cfRule>
  </conditionalFormatting>
  <conditionalFormatting sqref="AF21:AN21">
    <cfRule type="expression" dxfId="112" priority="53" stopIfTrue="1">
      <formula>AF$3="So"</formula>
    </cfRule>
    <cfRule type="expression" dxfId="111" priority="54" stopIfTrue="1">
      <formula>AF$3="Sa"</formula>
    </cfRule>
  </conditionalFormatting>
  <conditionalFormatting sqref="AF21:AN21">
    <cfRule type="expression" dxfId="110" priority="51" stopIfTrue="1">
      <formula>AF$3="So"</formula>
    </cfRule>
    <cfRule type="expression" dxfId="109" priority="52" stopIfTrue="1">
      <formula>AF$3="Sa"</formula>
    </cfRule>
  </conditionalFormatting>
  <conditionalFormatting sqref="AO21">
    <cfRule type="expression" dxfId="108" priority="49" stopIfTrue="1">
      <formula>AO$3="So"</formula>
    </cfRule>
    <cfRule type="expression" dxfId="107" priority="50" stopIfTrue="1">
      <formula>AO$3="Sa"</formula>
    </cfRule>
  </conditionalFormatting>
  <conditionalFormatting sqref="AE21">
    <cfRule type="expression" dxfId="106" priority="47" stopIfTrue="1">
      <formula>AE$3="So"</formula>
    </cfRule>
    <cfRule type="expression" dxfId="105" priority="48" stopIfTrue="1">
      <formula>AE$3="Sa"</formula>
    </cfRule>
  </conditionalFormatting>
  <conditionalFormatting sqref="L21">
    <cfRule type="expression" dxfId="104" priority="45" stopIfTrue="1">
      <formula>L$3="So"</formula>
    </cfRule>
    <cfRule type="expression" dxfId="103" priority="46" stopIfTrue="1">
      <formula>L$3="Sa"</formula>
    </cfRule>
  </conditionalFormatting>
  <conditionalFormatting sqref="S21">
    <cfRule type="expression" dxfId="102" priority="43" stopIfTrue="1">
      <formula>S$3="So"</formula>
    </cfRule>
    <cfRule type="expression" dxfId="101" priority="44" stopIfTrue="1">
      <formula>S$3="Sa"</formula>
    </cfRule>
  </conditionalFormatting>
  <conditionalFormatting sqref="Z21">
    <cfRule type="expression" dxfId="100" priority="41" stopIfTrue="1">
      <formula>Z$3="So"</formula>
    </cfRule>
    <cfRule type="expression" dxfId="99" priority="42" stopIfTrue="1">
      <formula>Z$3="Sa"</formula>
    </cfRule>
  </conditionalFormatting>
  <conditionalFormatting sqref="AR22:AS22">
    <cfRule type="expression" dxfId="98" priority="39" stopIfTrue="1">
      <formula>AR$3="So"</formula>
    </cfRule>
    <cfRule type="expression" dxfId="97" priority="40" stopIfTrue="1">
      <formula>AR$3="Sa"</formula>
    </cfRule>
  </conditionalFormatting>
  <conditionalFormatting sqref="AP22:AQ22">
    <cfRule type="expression" dxfId="96" priority="37" stopIfTrue="1">
      <formula>AP$3="So"</formula>
    </cfRule>
    <cfRule type="expression" dxfId="95" priority="38" stopIfTrue="1">
      <formula>AP$3="Sa"</formula>
    </cfRule>
  </conditionalFormatting>
  <conditionalFormatting sqref="C22">
    <cfRule type="expression" dxfId="94" priority="35" stopIfTrue="1">
      <formula>C$3="So"</formula>
    </cfRule>
    <cfRule type="expression" dxfId="93" priority="36">
      <formula>C$3="Sa"</formula>
    </cfRule>
  </conditionalFormatting>
  <conditionalFormatting sqref="Q22 D22:J22">
    <cfRule type="expression" dxfId="92" priority="33" stopIfTrue="1">
      <formula>D$3="So"</formula>
    </cfRule>
    <cfRule type="expression" dxfId="91" priority="34" stopIfTrue="1">
      <formula>D$3="Sa"</formula>
    </cfRule>
  </conditionalFormatting>
  <conditionalFormatting sqref="AO22">
    <cfRule type="expression" dxfId="90" priority="31" stopIfTrue="1">
      <formula>AO$3="So"</formula>
    </cfRule>
    <cfRule type="expression" dxfId="89" priority="32" stopIfTrue="1">
      <formula>AO$3="Sa"</formula>
    </cfRule>
  </conditionalFormatting>
  <conditionalFormatting sqref="R22:S22">
    <cfRule type="expression" dxfId="88" priority="29" stopIfTrue="1">
      <formula>R$3="So"</formula>
    </cfRule>
    <cfRule type="expression" dxfId="87" priority="30" stopIfTrue="1">
      <formula>R$3="Sa"</formula>
    </cfRule>
  </conditionalFormatting>
  <conditionalFormatting sqref="K22:P22 AG22:AN22 T22:X22">
    <cfRule type="expression" dxfId="86" priority="27" stopIfTrue="1">
      <formula>K$3="So"</formula>
    </cfRule>
    <cfRule type="expression" dxfId="85" priority="28" stopIfTrue="1">
      <formula>K$3="Sa"</formula>
    </cfRule>
  </conditionalFormatting>
  <conditionalFormatting sqref="Y22:AF22">
    <cfRule type="expression" dxfId="84" priority="21" stopIfTrue="1">
      <formula>Y$3="So"</formula>
    </cfRule>
    <cfRule type="expression" dxfId="83" priority="22" stopIfTrue="1">
      <formula>Y$3="Sa"</formula>
    </cfRule>
  </conditionalFormatting>
  <conditionalFormatting sqref="AL7">
    <cfRule type="expression" dxfId="82" priority="19" stopIfTrue="1">
      <formula>AL$3="So"</formula>
    </cfRule>
    <cfRule type="expression" dxfId="81" priority="20" stopIfTrue="1">
      <formula>AL$3="Sa"</formula>
    </cfRule>
  </conditionalFormatting>
  <conditionalFormatting sqref="AJ11">
    <cfRule type="expression" dxfId="80" priority="17" stopIfTrue="1">
      <formula>AJ$3="So"</formula>
    </cfRule>
    <cfRule type="expression" dxfId="79" priority="18" stopIfTrue="1">
      <formula>AJ$3="Sa"</formula>
    </cfRule>
  </conditionalFormatting>
  <conditionalFormatting sqref="S7">
    <cfRule type="expression" dxfId="78" priority="15" stopIfTrue="1">
      <formula>S$3="So"</formula>
    </cfRule>
    <cfRule type="expression" dxfId="77" priority="16" stopIfTrue="1">
      <formula>S$3="Sa"</formula>
    </cfRule>
  </conditionalFormatting>
  <conditionalFormatting sqref="R7">
    <cfRule type="expression" dxfId="76" priority="13" stopIfTrue="1">
      <formula>R$3="So"</formula>
    </cfRule>
    <cfRule type="expression" dxfId="75" priority="14" stopIfTrue="1">
      <formula>R$3="Sa"</formula>
    </cfRule>
  </conditionalFormatting>
  <conditionalFormatting sqref="L7">
    <cfRule type="expression" dxfId="74" priority="11" stopIfTrue="1">
      <formula>L$3="So"</formula>
    </cfRule>
    <cfRule type="expression" dxfId="73" priority="12" stopIfTrue="1">
      <formula>L$3="Sa"</formula>
    </cfRule>
  </conditionalFormatting>
  <conditionalFormatting sqref="K7">
    <cfRule type="expression" dxfId="72" priority="9" stopIfTrue="1">
      <formula>K$3="So"</formula>
    </cfRule>
    <cfRule type="expression" dxfId="71" priority="10" stopIfTrue="1">
      <formula>K$3="Sa"</formula>
    </cfRule>
  </conditionalFormatting>
  <conditionalFormatting sqref="AH18">
    <cfRule type="expression" dxfId="70" priority="7" stopIfTrue="1">
      <formula>AH$3="So"</formula>
    </cfRule>
    <cfRule type="expression" dxfId="69" priority="8" stopIfTrue="1">
      <formula>AH$3="Sa"</formula>
    </cfRule>
  </conditionalFormatting>
  <conditionalFormatting sqref="AO18">
    <cfRule type="expression" dxfId="68" priority="5" stopIfTrue="1">
      <formula>AO$3="So"</formula>
    </cfRule>
    <cfRule type="expression" dxfId="67" priority="6" stopIfTrue="1">
      <formula>AO$3="Sa"</formula>
    </cfRule>
  </conditionalFormatting>
  <conditionalFormatting sqref="AD18:AE18">
    <cfRule type="expression" dxfId="66" priority="3" stopIfTrue="1">
      <formula>AD$3="So"</formula>
    </cfRule>
    <cfRule type="expression" dxfId="65" priority="4" stopIfTrue="1">
      <formula>AD$3="Sa"</formula>
    </cfRule>
  </conditionalFormatting>
  <conditionalFormatting sqref="AE16">
    <cfRule type="expression" dxfId="64" priority="1" stopIfTrue="1">
      <formula>AE$3="So"</formula>
    </cfRule>
    <cfRule type="expression" dxfId="63" priority="2" stopIfTrue="1">
      <formula>AE$3="Sa"</formula>
    </cfRule>
  </conditionalFormatting>
  <pageMargins left="0.7" right="0.7" top="0.78740157499999996" bottom="0.78740157499999996" header="0.3" footer="0.3"/>
  <pageSetup paperSize="9" orientation="portrait" horizontalDpi="200" verticalDpi="20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FB969A64-CEA6-E24A-8097-43E128B72E49}">
          <x14:formula1>
            <xm:f>qualitativeGewichte!$C$2:$C$9</xm:f>
          </x14:formula1>
          <xm:sqref>AX3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71749-337E-204D-97AD-0701F7889C39}">
  <sheetPr codeName="Tabelle7"/>
  <dimension ref="A1:X35"/>
  <sheetViews>
    <sheetView topLeftCell="A16" zoomScale="115" zoomScaleNormal="115" workbookViewId="0">
      <selection activeCell="A21" sqref="A21:XFD21"/>
    </sheetView>
  </sheetViews>
  <sheetFormatPr baseColWidth="10" defaultColWidth="11.453125" defaultRowHeight="12.5"/>
  <cols>
    <col min="1" max="1" width="6" customWidth="1"/>
    <col min="2" max="2" width="25.7265625" customWidth="1"/>
    <col min="3" max="3" width="22.90625" customWidth="1"/>
    <col min="4" max="4" width="12.7265625" customWidth="1"/>
    <col min="5" max="5" width="8.453125" customWidth="1"/>
    <col min="6" max="6" width="3.90625" bestFit="1" customWidth="1"/>
    <col min="7" max="7" width="3.6328125" bestFit="1" customWidth="1"/>
    <col min="8" max="8" width="3.90625" bestFit="1" customWidth="1"/>
    <col min="9" max="9" width="3.6328125" bestFit="1" customWidth="1"/>
    <col min="10" max="10" width="3.90625" bestFit="1" customWidth="1"/>
    <col min="11" max="11" width="3.6328125" bestFit="1" customWidth="1"/>
    <col min="12" max="12" width="3.90625" bestFit="1" customWidth="1"/>
    <col min="13" max="13" width="3.6328125" bestFit="1" customWidth="1"/>
    <col min="14" max="14" width="3.90625" bestFit="1" customWidth="1"/>
    <col min="15" max="15" width="3.6328125" bestFit="1" customWidth="1"/>
    <col min="16" max="16" width="3.90625" bestFit="1" customWidth="1"/>
    <col min="17" max="17" width="3.6328125" bestFit="1" customWidth="1"/>
    <col min="18" max="18" width="3.90625" bestFit="1" customWidth="1"/>
    <col min="19" max="19" width="3.6328125" bestFit="1" customWidth="1"/>
    <col min="20" max="20" width="3.90625" customWidth="1"/>
    <col min="21" max="21" width="3.6328125" customWidth="1"/>
    <col min="22" max="22" width="15.1796875" customWidth="1"/>
    <col min="23" max="23" width="13.90625" style="5" bestFit="1" customWidth="1"/>
  </cols>
  <sheetData>
    <row r="1" spans="1:24" ht="13">
      <c r="A1" s="94" t="s">
        <v>139</v>
      </c>
      <c r="B1" s="95"/>
      <c r="C1" s="588" t="s">
        <v>159</v>
      </c>
      <c r="D1" s="588"/>
      <c r="E1" s="396" t="s">
        <v>140</v>
      </c>
      <c r="F1" s="94" t="s">
        <v>141</v>
      </c>
      <c r="G1" s="95"/>
      <c r="H1" s="95" t="s">
        <v>81</v>
      </c>
      <c r="I1" s="95"/>
      <c r="J1" s="95" t="s">
        <v>79</v>
      </c>
      <c r="K1" s="95"/>
      <c r="L1" s="95" t="s">
        <v>80</v>
      </c>
      <c r="M1" s="95"/>
      <c r="N1" s="95" t="s">
        <v>142</v>
      </c>
      <c r="O1" s="96"/>
      <c r="P1" s="94" t="s">
        <v>143</v>
      </c>
      <c r="Q1" s="95"/>
      <c r="R1" s="95" t="s">
        <v>144</v>
      </c>
      <c r="S1" s="96"/>
      <c r="T1" s="94" t="s">
        <v>145</v>
      </c>
      <c r="U1" s="96"/>
      <c r="V1" s="397" t="s">
        <v>146</v>
      </c>
      <c r="W1" s="398" t="s">
        <v>170</v>
      </c>
    </row>
    <row r="2" spans="1:24" ht="13">
      <c r="A2" s="391" t="s">
        <v>147</v>
      </c>
      <c r="B2" s="444" t="s">
        <v>148</v>
      </c>
      <c r="C2" s="361" t="s">
        <v>160</v>
      </c>
      <c r="D2" s="361" t="s">
        <v>161</v>
      </c>
      <c r="E2" s="361" t="s">
        <v>149</v>
      </c>
      <c r="F2" s="391" t="s">
        <v>150</v>
      </c>
      <c r="G2" s="361" t="s">
        <v>151</v>
      </c>
      <c r="H2" s="361" t="s">
        <v>150</v>
      </c>
      <c r="I2" s="361" t="s">
        <v>151</v>
      </c>
      <c r="J2" s="361" t="s">
        <v>150</v>
      </c>
      <c r="K2" s="361" t="s">
        <v>151</v>
      </c>
      <c r="L2" s="361" t="s">
        <v>150</v>
      </c>
      <c r="M2" s="361" t="s">
        <v>151</v>
      </c>
      <c r="N2" s="361" t="s">
        <v>150</v>
      </c>
      <c r="O2" s="392" t="s">
        <v>151</v>
      </c>
      <c r="P2" s="391" t="s">
        <v>150</v>
      </c>
      <c r="Q2" s="361" t="s">
        <v>151</v>
      </c>
      <c r="R2" s="361" t="s">
        <v>150</v>
      </c>
      <c r="S2" s="392" t="s">
        <v>151</v>
      </c>
      <c r="T2" s="391" t="s">
        <v>150</v>
      </c>
      <c r="U2" s="392" t="s">
        <v>151</v>
      </c>
      <c r="V2" s="362" t="s">
        <v>152</v>
      </c>
      <c r="W2" s="399" t="s">
        <v>171</v>
      </c>
      <c r="X2" s="31" t="s">
        <v>153</v>
      </c>
    </row>
    <row r="3" spans="1:24">
      <c r="A3" s="37">
        <v>1</v>
      </c>
      <c r="B3" s="6" t="s">
        <v>332</v>
      </c>
      <c r="C3" s="221" t="s">
        <v>505</v>
      </c>
      <c r="D3" s="221" t="s">
        <v>461</v>
      </c>
      <c r="E3" s="221"/>
      <c r="F3" s="402">
        <v>0</v>
      </c>
      <c r="G3" s="226">
        <v>1</v>
      </c>
      <c r="H3" s="410">
        <v>0</v>
      </c>
      <c r="I3" s="227">
        <v>1</v>
      </c>
      <c r="J3" s="393">
        <v>0</v>
      </c>
      <c r="K3" s="226">
        <v>1</v>
      </c>
      <c r="L3" s="410">
        <v>0</v>
      </c>
      <c r="M3" s="227">
        <v>1</v>
      </c>
      <c r="N3" s="393">
        <v>0</v>
      </c>
      <c r="O3" s="228">
        <v>1</v>
      </c>
      <c r="P3" s="229">
        <v>0</v>
      </c>
      <c r="Q3" s="230">
        <v>0</v>
      </c>
      <c r="R3" s="230">
        <v>0</v>
      </c>
      <c r="S3" s="230">
        <v>0</v>
      </c>
      <c r="T3" s="230">
        <v>0</v>
      </c>
      <c r="U3" s="231">
        <v>0</v>
      </c>
      <c r="V3" s="394" t="s">
        <v>66</v>
      </c>
      <c r="W3" s="400">
        <v>1</v>
      </c>
    </row>
    <row r="4" spans="1:24">
      <c r="A4" s="38">
        <v>2</v>
      </c>
      <c r="B4" s="318" t="s">
        <v>484</v>
      </c>
      <c r="C4" s="328" t="s">
        <v>506</v>
      </c>
      <c r="D4" s="320" t="s">
        <v>483</v>
      </c>
      <c r="E4" s="328"/>
      <c r="F4" s="403">
        <v>0</v>
      </c>
      <c r="G4" s="389">
        <v>1</v>
      </c>
      <c r="H4" s="411">
        <v>0</v>
      </c>
      <c r="I4" s="232">
        <v>1</v>
      </c>
      <c r="J4" s="395">
        <v>0</v>
      </c>
      <c r="K4" s="389">
        <v>1</v>
      </c>
      <c r="L4" s="411">
        <v>0</v>
      </c>
      <c r="M4" s="232">
        <v>1</v>
      </c>
      <c r="N4" s="395">
        <v>0</v>
      </c>
      <c r="O4" s="101">
        <v>1</v>
      </c>
      <c r="P4" s="222">
        <v>0</v>
      </c>
      <c r="Q4" s="390">
        <v>0</v>
      </c>
      <c r="R4" s="390">
        <v>0</v>
      </c>
      <c r="S4" s="390">
        <v>0</v>
      </c>
      <c r="T4" s="390">
        <v>0</v>
      </c>
      <c r="U4" s="223">
        <v>0</v>
      </c>
      <c r="V4" s="306" t="s">
        <v>66</v>
      </c>
      <c r="W4" s="101">
        <v>1</v>
      </c>
    </row>
    <row r="5" spans="1:24">
      <c r="A5" s="38">
        <v>3</v>
      </c>
      <c r="B5" s="8" t="s">
        <v>333</v>
      </c>
      <c r="C5" s="224" t="s">
        <v>507</v>
      </c>
      <c r="D5" s="82" t="s">
        <v>483</v>
      </c>
      <c r="E5" s="224"/>
      <c r="F5" s="404">
        <v>1</v>
      </c>
      <c r="G5" s="248">
        <v>1</v>
      </c>
      <c r="H5" s="247">
        <v>1</v>
      </c>
      <c r="I5" s="246">
        <v>1</v>
      </c>
      <c r="J5" s="248">
        <v>1</v>
      </c>
      <c r="K5" s="248">
        <v>1</v>
      </c>
      <c r="L5" s="247">
        <v>1</v>
      </c>
      <c r="M5" s="246">
        <v>1</v>
      </c>
      <c r="N5" s="248">
        <v>1</v>
      </c>
      <c r="O5" s="305">
        <v>1</v>
      </c>
      <c r="P5" s="237">
        <v>0</v>
      </c>
      <c r="Q5" s="238">
        <v>0</v>
      </c>
      <c r="R5" s="238">
        <v>0</v>
      </c>
      <c r="S5" s="238">
        <v>0</v>
      </c>
      <c r="T5" s="238">
        <v>0</v>
      </c>
      <c r="U5" s="239">
        <v>0</v>
      </c>
      <c r="V5" s="225" t="s">
        <v>62</v>
      </c>
      <c r="W5" s="236">
        <v>2</v>
      </c>
    </row>
    <row r="6" spans="1:24">
      <c r="A6" s="38">
        <v>4</v>
      </c>
      <c r="B6" s="318" t="s">
        <v>462</v>
      </c>
      <c r="C6" s="328" t="s">
        <v>508</v>
      </c>
      <c r="D6" s="328"/>
      <c r="E6" s="328"/>
      <c r="F6" s="403">
        <v>0</v>
      </c>
      <c r="G6" s="389">
        <v>1</v>
      </c>
      <c r="H6" s="410">
        <v>0</v>
      </c>
      <c r="I6" s="227">
        <v>1</v>
      </c>
      <c r="J6" s="395">
        <v>0</v>
      </c>
      <c r="K6" s="389">
        <v>1</v>
      </c>
      <c r="L6" s="410">
        <v>0</v>
      </c>
      <c r="M6" s="227">
        <v>1</v>
      </c>
      <c r="N6" s="395">
        <v>0</v>
      </c>
      <c r="O6" s="101">
        <v>1</v>
      </c>
      <c r="P6" s="222">
        <v>0</v>
      </c>
      <c r="Q6" s="390">
        <v>0</v>
      </c>
      <c r="R6" s="390">
        <v>0</v>
      </c>
      <c r="S6" s="390">
        <v>0</v>
      </c>
      <c r="T6" s="390">
        <v>0</v>
      </c>
      <c r="U6" s="223">
        <v>0</v>
      </c>
      <c r="V6" s="306" t="s">
        <v>65</v>
      </c>
      <c r="W6" s="256">
        <v>2</v>
      </c>
    </row>
    <row r="7" spans="1:24">
      <c r="A7" s="38">
        <v>5</v>
      </c>
      <c r="B7" s="318" t="s">
        <v>334</v>
      </c>
      <c r="C7" s="328" t="s">
        <v>509</v>
      </c>
      <c r="D7" s="328" t="s">
        <v>452</v>
      </c>
      <c r="E7" s="328"/>
      <c r="F7" s="338">
        <v>1</v>
      </c>
      <c r="G7" s="389">
        <v>2</v>
      </c>
      <c r="H7" s="339">
        <v>1</v>
      </c>
      <c r="I7" s="232">
        <v>2</v>
      </c>
      <c r="J7" s="388">
        <v>1</v>
      </c>
      <c r="K7" s="389">
        <v>2</v>
      </c>
      <c r="L7" s="339">
        <v>1</v>
      </c>
      <c r="M7" s="232">
        <v>2</v>
      </c>
      <c r="N7" s="388">
        <v>1</v>
      </c>
      <c r="O7" s="101">
        <v>2</v>
      </c>
      <c r="P7" s="222">
        <v>0</v>
      </c>
      <c r="Q7" s="390">
        <v>0</v>
      </c>
      <c r="R7" s="390">
        <v>0</v>
      </c>
      <c r="S7" s="390">
        <v>0</v>
      </c>
      <c r="T7" s="390">
        <v>0</v>
      </c>
      <c r="U7" s="223">
        <v>0</v>
      </c>
      <c r="V7" s="389" t="s">
        <v>66</v>
      </c>
      <c r="W7" s="340">
        <v>2</v>
      </c>
    </row>
    <row r="8" spans="1:24">
      <c r="A8" s="38">
        <v>6</v>
      </c>
      <c r="B8" s="318" t="s">
        <v>335</v>
      </c>
      <c r="C8" s="328" t="s">
        <v>510</v>
      </c>
      <c r="D8" s="328" t="s">
        <v>453</v>
      </c>
      <c r="E8" s="328"/>
      <c r="F8" s="100">
        <v>1</v>
      </c>
      <c r="G8" s="389">
        <v>1</v>
      </c>
      <c r="H8" s="91">
        <v>1</v>
      </c>
      <c r="I8" s="232">
        <v>1</v>
      </c>
      <c r="J8" s="389">
        <v>1</v>
      </c>
      <c r="K8" s="389">
        <v>1</v>
      </c>
      <c r="L8" s="91">
        <v>1</v>
      </c>
      <c r="M8" s="232">
        <v>1</v>
      </c>
      <c r="N8" s="389">
        <v>1</v>
      </c>
      <c r="O8" s="101">
        <v>1</v>
      </c>
      <c r="P8" s="222">
        <v>0</v>
      </c>
      <c r="Q8" s="390">
        <v>0</v>
      </c>
      <c r="R8" s="390">
        <v>0</v>
      </c>
      <c r="S8" s="390">
        <v>0</v>
      </c>
      <c r="T8" s="390">
        <v>0</v>
      </c>
      <c r="U8" s="223">
        <v>0</v>
      </c>
      <c r="V8" s="232" t="s">
        <v>62</v>
      </c>
      <c r="W8" s="340">
        <v>2</v>
      </c>
    </row>
    <row r="9" spans="1:24">
      <c r="A9" s="38">
        <v>7</v>
      </c>
      <c r="B9" s="318" t="s">
        <v>336</v>
      </c>
      <c r="C9" s="328" t="s">
        <v>511</v>
      </c>
      <c r="D9" s="328" t="s">
        <v>429</v>
      </c>
      <c r="E9" s="328"/>
      <c r="F9" s="100">
        <v>1</v>
      </c>
      <c r="G9" s="389">
        <v>1</v>
      </c>
      <c r="H9" s="91">
        <v>1</v>
      </c>
      <c r="I9" s="232">
        <v>1</v>
      </c>
      <c r="J9" s="389">
        <v>1</v>
      </c>
      <c r="K9" s="389">
        <v>1</v>
      </c>
      <c r="L9" s="91">
        <v>1</v>
      </c>
      <c r="M9" s="232">
        <v>1</v>
      </c>
      <c r="N9" s="389">
        <v>1</v>
      </c>
      <c r="O9" s="101">
        <v>1</v>
      </c>
      <c r="P9" s="222">
        <v>0</v>
      </c>
      <c r="Q9" s="390">
        <v>0</v>
      </c>
      <c r="R9" s="390">
        <v>0</v>
      </c>
      <c r="S9" s="390">
        <v>0</v>
      </c>
      <c r="T9" s="390">
        <v>0</v>
      </c>
      <c r="U9" s="223">
        <v>0</v>
      </c>
      <c r="V9" s="232" t="s">
        <v>62</v>
      </c>
      <c r="W9" s="99">
        <v>1</v>
      </c>
    </row>
    <row r="10" spans="1:24" s="12" customFormat="1">
      <c r="A10" s="38">
        <v>8</v>
      </c>
      <c r="B10" s="328" t="s">
        <v>337</v>
      </c>
      <c r="C10" s="328" t="s">
        <v>512</v>
      </c>
      <c r="D10" s="328" t="s">
        <v>488</v>
      </c>
      <c r="E10" s="328"/>
      <c r="F10" s="338">
        <v>1</v>
      </c>
      <c r="G10" s="389">
        <v>2</v>
      </c>
      <c r="H10" s="339">
        <v>1</v>
      </c>
      <c r="I10" s="232">
        <v>2</v>
      </c>
      <c r="J10" s="388">
        <v>1</v>
      </c>
      <c r="K10" s="389">
        <v>2</v>
      </c>
      <c r="L10" s="339">
        <v>1</v>
      </c>
      <c r="M10" s="232">
        <v>2</v>
      </c>
      <c r="N10" s="388">
        <v>1</v>
      </c>
      <c r="O10" s="101">
        <v>2</v>
      </c>
      <c r="P10" s="222">
        <v>0</v>
      </c>
      <c r="Q10" s="390">
        <v>0</v>
      </c>
      <c r="R10" s="390">
        <v>0</v>
      </c>
      <c r="S10" s="390">
        <v>0</v>
      </c>
      <c r="T10" s="390">
        <v>0</v>
      </c>
      <c r="U10" s="223">
        <v>0</v>
      </c>
      <c r="V10" s="232" t="s">
        <v>66</v>
      </c>
      <c r="W10" s="340">
        <v>2</v>
      </c>
    </row>
    <row r="11" spans="1:24">
      <c r="A11" s="38">
        <v>9</v>
      </c>
      <c r="B11" s="318" t="s">
        <v>338</v>
      </c>
      <c r="C11" s="328" t="s">
        <v>513</v>
      </c>
      <c r="D11" s="224" t="s">
        <v>488</v>
      </c>
      <c r="E11" s="224"/>
      <c r="F11" s="405">
        <v>1</v>
      </c>
      <c r="G11" s="234">
        <v>1</v>
      </c>
      <c r="H11" s="235">
        <v>1</v>
      </c>
      <c r="I11" s="225">
        <v>1</v>
      </c>
      <c r="J11" s="234">
        <v>1</v>
      </c>
      <c r="K11" s="234">
        <v>1</v>
      </c>
      <c r="L11" s="235">
        <v>1</v>
      </c>
      <c r="M11" s="225">
        <v>1</v>
      </c>
      <c r="N11" s="234">
        <v>1</v>
      </c>
      <c r="O11" s="236">
        <v>1</v>
      </c>
      <c r="P11" s="237">
        <v>0</v>
      </c>
      <c r="Q11" s="238">
        <v>0</v>
      </c>
      <c r="R11" s="238">
        <v>0</v>
      </c>
      <c r="S11" s="238">
        <v>0</v>
      </c>
      <c r="T11" s="238">
        <v>0</v>
      </c>
      <c r="U11" s="239">
        <v>0</v>
      </c>
      <c r="V11" s="225" t="s">
        <v>62</v>
      </c>
      <c r="W11" s="240">
        <v>1</v>
      </c>
    </row>
    <row r="12" spans="1:24">
      <c r="A12" s="38">
        <v>10</v>
      </c>
      <c r="B12" s="6" t="s">
        <v>339</v>
      </c>
      <c r="C12" s="221" t="s">
        <v>514</v>
      </c>
      <c r="D12" s="221" t="s">
        <v>443</v>
      </c>
      <c r="E12" s="221" t="s">
        <v>285</v>
      </c>
      <c r="F12" s="406">
        <v>2</v>
      </c>
      <c r="G12" s="242">
        <v>2</v>
      </c>
      <c r="H12" s="243">
        <v>2</v>
      </c>
      <c r="I12" s="242">
        <v>2</v>
      </c>
      <c r="J12" s="241">
        <v>2</v>
      </c>
      <c r="K12" s="242">
        <v>2</v>
      </c>
      <c r="L12" s="243">
        <v>2</v>
      </c>
      <c r="M12" s="242">
        <v>2</v>
      </c>
      <c r="N12" s="241">
        <v>2</v>
      </c>
      <c r="O12" s="244">
        <v>2</v>
      </c>
      <c r="P12" s="229">
        <v>0</v>
      </c>
      <c r="Q12" s="230">
        <v>0</v>
      </c>
      <c r="R12" s="230">
        <v>0</v>
      </c>
      <c r="S12" s="230">
        <v>0</v>
      </c>
      <c r="T12" s="230">
        <v>0</v>
      </c>
      <c r="U12" s="231">
        <v>0</v>
      </c>
      <c r="V12" s="232" t="s">
        <v>62</v>
      </c>
      <c r="W12" s="233">
        <v>2</v>
      </c>
    </row>
    <row r="13" spans="1:24">
      <c r="A13" s="38">
        <v>11</v>
      </c>
      <c r="B13" s="318" t="s">
        <v>340</v>
      </c>
      <c r="C13" s="328" t="s">
        <v>515</v>
      </c>
      <c r="D13" s="328" t="s">
        <v>454</v>
      </c>
      <c r="E13" s="328" t="s">
        <v>285</v>
      </c>
      <c r="F13" s="97">
        <v>4</v>
      </c>
      <c r="G13" s="245">
        <v>4</v>
      </c>
      <c r="H13" s="92">
        <v>4</v>
      </c>
      <c r="I13" s="245">
        <v>4</v>
      </c>
      <c r="J13" s="329">
        <v>4</v>
      </c>
      <c r="K13" s="245">
        <v>4</v>
      </c>
      <c r="L13" s="92">
        <v>4</v>
      </c>
      <c r="M13" s="245">
        <v>4</v>
      </c>
      <c r="N13" s="329">
        <v>4</v>
      </c>
      <c r="O13" s="98">
        <v>4</v>
      </c>
      <c r="P13" s="222">
        <v>0</v>
      </c>
      <c r="Q13" s="390">
        <v>0</v>
      </c>
      <c r="R13" s="390">
        <v>0</v>
      </c>
      <c r="S13" s="390">
        <v>0</v>
      </c>
      <c r="T13" s="390">
        <v>0</v>
      </c>
      <c r="U13" s="223">
        <v>0</v>
      </c>
      <c r="V13" s="232" t="s">
        <v>62</v>
      </c>
      <c r="W13" s="99">
        <v>2</v>
      </c>
    </row>
    <row r="14" spans="1:24">
      <c r="A14" s="38">
        <v>12</v>
      </c>
      <c r="B14" s="318" t="s">
        <v>341</v>
      </c>
      <c r="C14" s="328" t="s">
        <v>516</v>
      </c>
      <c r="D14" s="328" t="s">
        <v>455</v>
      </c>
      <c r="E14" s="328" t="s">
        <v>285</v>
      </c>
      <c r="F14" s="97">
        <v>3</v>
      </c>
      <c r="G14" s="245">
        <v>3</v>
      </c>
      <c r="H14" s="92">
        <v>3</v>
      </c>
      <c r="I14" s="245">
        <v>3</v>
      </c>
      <c r="J14" s="329">
        <v>3</v>
      </c>
      <c r="K14" s="245">
        <v>3</v>
      </c>
      <c r="L14" s="92">
        <v>3</v>
      </c>
      <c r="M14" s="245">
        <v>3</v>
      </c>
      <c r="N14" s="329">
        <v>3</v>
      </c>
      <c r="O14" s="98">
        <v>3</v>
      </c>
      <c r="P14" s="222">
        <v>0</v>
      </c>
      <c r="Q14" s="390">
        <v>0</v>
      </c>
      <c r="R14" s="390">
        <v>0</v>
      </c>
      <c r="S14" s="390">
        <v>0</v>
      </c>
      <c r="T14" s="390">
        <v>0</v>
      </c>
      <c r="U14" s="223">
        <v>0</v>
      </c>
      <c r="V14" s="232" t="s">
        <v>62</v>
      </c>
      <c r="W14" s="99">
        <v>2</v>
      </c>
    </row>
    <row r="15" spans="1:24">
      <c r="A15" s="38">
        <v>13</v>
      </c>
      <c r="B15" s="318" t="s">
        <v>342</v>
      </c>
      <c r="C15" s="328" t="s">
        <v>517</v>
      </c>
      <c r="D15" s="328" t="s">
        <v>442</v>
      </c>
      <c r="E15" s="328" t="s">
        <v>285</v>
      </c>
      <c r="F15" s="97">
        <v>2</v>
      </c>
      <c r="G15" s="245">
        <v>2</v>
      </c>
      <c r="H15" s="92">
        <v>2</v>
      </c>
      <c r="I15" s="245">
        <v>2</v>
      </c>
      <c r="J15" s="329">
        <v>2</v>
      </c>
      <c r="K15" s="245">
        <v>2</v>
      </c>
      <c r="L15" s="92">
        <v>2</v>
      </c>
      <c r="M15" s="245">
        <v>2</v>
      </c>
      <c r="N15" s="329">
        <v>2</v>
      </c>
      <c r="O15" s="98">
        <v>2</v>
      </c>
      <c r="P15" s="222">
        <v>0</v>
      </c>
      <c r="Q15" s="390">
        <v>0</v>
      </c>
      <c r="R15" s="390">
        <v>0</v>
      </c>
      <c r="S15" s="390">
        <v>0</v>
      </c>
      <c r="T15" s="390">
        <v>0</v>
      </c>
      <c r="U15" s="223">
        <v>0</v>
      </c>
      <c r="V15" s="232" t="s">
        <v>62</v>
      </c>
      <c r="W15" s="99">
        <v>3</v>
      </c>
    </row>
    <row r="16" spans="1:24">
      <c r="A16" s="38">
        <v>14</v>
      </c>
      <c r="B16" s="318" t="s">
        <v>343</v>
      </c>
      <c r="C16" s="328" t="s">
        <v>518</v>
      </c>
      <c r="D16" s="328" t="s">
        <v>489</v>
      </c>
      <c r="E16" s="328" t="s">
        <v>285</v>
      </c>
      <c r="F16" s="97">
        <v>4</v>
      </c>
      <c r="G16" s="245">
        <v>4</v>
      </c>
      <c r="H16" s="92">
        <v>4</v>
      </c>
      <c r="I16" s="245">
        <v>4</v>
      </c>
      <c r="J16" s="329">
        <v>4</v>
      </c>
      <c r="K16" s="245">
        <v>4</v>
      </c>
      <c r="L16" s="92">
        <v>4</v>
      </c>
      <c r="M16" s="245">
        <v>4</v>
      </c>
      <c r="N16" s="329">
        <v>4</v>
      </c>
      <c r="O16" s="98">
        <v>4</v>
      </c>
      <c r="P16" s="222">
        <v>0</v>
      </c>
      <c r="Q16" s="390">
        <v>0</v>
      </c>
      <c r="R16" s="390">
        <v>0</v>
      </c>
      <c r="S16" s="390">
        <v>0</v>
      </c>
      <c r="T16" s="390">
        <v>0</v>
      </c>
      <c r="U16" s="223">
        <v>0</v>
      </c>
      <c r="V16" s="232" t="s">
        <v>62</v>
      </c>
      <c r="W16" s="99">
        <v>2</v>
      </c>
    </row>
    <row r="17" spans="1:23">
      <c r="A17" s="38">
        <v>15</v>
      </c>
      <c r="B17" s="318" t="s">
        <v>344</v>
      </c>
      <c r="C17" s="328" t="s">
        <v>519</v>
      </c>
      <c r="D17" s="328" t="s">
        <v>490</v>
      </c>
      <c r="E17" s="328" t="s">
        <v>285</v>
      </c>
      <c r="F17" s="97">
        <v>2</v>
      </c>
      <c r="G17" s="245">
        <v>2</v>
      </c>
      <c r="H17" s="92">
        <v>2</v>
      </c>
      <c r="I17" s="245">
        <v>2</v>
      </c>
      <c r="J17" s="329">
        <v>2</v>
      </c>
      <c r="K17" s="245">
        <v>2</v>
      </c>
      <c r="L17" s="92">
        <v>2</v>
      </c>
      <c r="M17" s="245">
        <v>2</v>
      </c>
      <c r="N17" s="329">
        <v>2</v>
      </c>
      <c r="O17" s="98">
        <v>2</v>
      </c>
      <c r="P17" s="222">
        <v>0</v>
      </c>
      <c r="Q17" s="390">
        <v>0</v>
      </c>
      <c r="R17" s="390">
        <v>0</v>
      </c>
      <c r="S17" s="390">
        <v>0</v>
      </c>
      <c r="T17" s="390">
        <v>0</v>
      </c>
      <c r="U17" s="223">
        <v>0</v>
      </c>
      <c r="V17" s="232" t="s">
        <v>62</v>
      </c>
      <c r="W17" s="99">
        <v>1</v>
      </c>
    </row>
    <row r="18" spans="1:23">
      <c r="A18" s="38">
        <v>16</v>
      </c>
      <c r="B18" s="8" t="s">
        <v>345</v>
      </c>
      <c r="C18" s="224" t="s">
        <v>520</v>
      </c>
      <c r="D18" s="224" t="s">
        <v>491</v>
      </c>
      <c r="E18" s="224" t="s">
        <v>285</v>
      </c>
      <c r="F18" s="405">
        <v>1</v>
      </c>
      <c r="G18" s="246">
        <v>1</v>
      </c>
      <c r="H18" s="247">
        <v>1</v>
      </c>
      <c r="I18" s="246">
        <v>1</v>
      </c>
      <c r="J18" s="248">
        <v>1</v>
      </c>
      <c r="K18" s="225">
        <v>1</v>
      </c>
      <c r="L18" s="235">
        <v>1</v>
      </c>
      <c r="M18" s="225">
        <v>1</v>
      </c>
      <c r="N18" s="234">
        <v>1</v>
      </c>
      <c r="O18" s="236">
        <v>1</v>
      </c>
      <c r="P18" s="237">
        <v>0</v>
      </c>
      <c r="Q18" s="238">
        <v>0</v>
      </c>
      <c r="R18" s="238">
        <v>0</v>
      </c>
      <c r="S18" s="238">
        <v>0</v>
      </c>
      <c r="T18" s="238">
        <v>0</v>
      </c>
      <c r="U18" s="239">
        <v>0</v>
      </c>
      <c r="V18" s="225" t="s">
        <v>62</v>
      </c>
      <c r="W18" s="240">
        <v>0</v>
      </c>
    </row>
    <row r="19" spans="1:23">
      <c r="A19" s="38">
        <v>17</v>
      </c>
      <c r="B19" s="318" t="s">
        <v>535</v>
      </c>
      <c r="C19" s="328" t="s">
        <v>521</v>
      </c>
      <c r="D19" s="328"/>
      <c r="E19" s="328" t="s">
        <v>285</v>
      </c>
      <c r="F19" s="222">
        <v>0</v>
      </c>
      <c r="G19" s="249">
        <v>0</v>
      </c>
      <c r="H19" s="390">
        <v>0</v>
      </c>
      <c r="I19" s="390">
        <v>0</v>
      </c>
      <c r="J19" s="250">
        <v>0</v>
      </c>
      <c r="K19" s="249">
        <v>0</v>
      </c>
      <c r="L19" s="390">
        <v>0</v>
      </c>
      <c r="M19" s="390">
        <v>0</v>
      </c>
      <c r="N19" s="250">
        <v>0</v>
      </c>
      <c r="O19" s="223">
        <v>0</v>
      </c>
      <c r="P19" s="97">
        <v>1</v>
      </c>
      <c r="Q19" s="329">
        <v>1</v>
      </c>
      <c r="R19" s="92">
        <v>1</v>
      </c>
      <c r="S19" s="245">
        <v>1</v>
      </c>
      <c r="T19" s="329">
        <v>1</v>
      </c>
      <c r="U19" s="98">
        <v>1</v>
      </c>
      <c r="V19" s="232" t="s">
        <v>62</v>
      </c>
      <c r="W19" s="99">
        <v>3</v>
      </c>
    </row>
    <row r="20" spans="1:23">
      <c r="A20" s="38">
        <v>18</v>
      </c>
      <c r="B20" s="318" t="s">
        <v>536</v>
      </c>
      <c r="C20" s="328" t="s">
        <v>522</v>
      </c>
      <c r="D20" s="328"/>
      <c r="E20" s="328" t="s">
        <v>285</v>
      </c>
      <c r="F20" s="222">
        <v>0</v>
      </c>
      <c r="G20" s="249">
        <v>0</v>
      </c>
      <c r="H20" s="390">
        <v>0</v>
      </c>
      <c r="I20" s="390">
        <v>0</v>
      </c>
      <c r="J20" s="250">
        <v>0</v>
      </c>
      <c r="K20" s="249">
        <v>0</v>
      </c>
      <c r="L20" s="390">
        <v>0</v>
      </c>
      <c r="M20" s="390">
        <v>0</v>
      </c>
      <c r="N20" s="250">
        <v>0</v>
      </c>
      <c r="O20" s="223">
        <v>0</v>
      </c>
      <c r="P20" s="338">
        <v>0</v>
      </c>
      <c r="Q20" s="389">
        <v>1</v>
      </c>
      <c r="R20" s="339">
        <v>0</v>
      </c>
      <c r="S20" s="232">
        <v>1</v>
      </c>
      <c r="T20" s="388">
        <v>0</v>
      </c>
      <c r="U20" s="101">
        <v>1</v>
      </c>
      <c r="V20" s="232" t="s">
        <v>68</v>
      </c>
      <c r="W20" s="101">
        <v>1</v>
      </c>
    </row>
    <row r="21" spans="1:23">
      <c r="A21" s="38">
        <v>19</v>
      </c>
      <c r="B21" s="318" t="s">
        <v>537</v>
      </c>
      <c r="C21" s="328" t="s">
        <v>538</v>
      </c>
      <c r="D21" s="328"/>
      <c r="E21" s="328" t="s">
        <v>285</v>
      </c>
      <c r="F21" s="222">
        <v>0</v>
      </c>
      <c r="G21" s="249">
        <v>0</v>
      </c>
      <c r="H21" s="390">
        <v>0</v>
      </c>
      <c r="I21" s="390">
        <v>0</v>
      </c>
      <c r="J21" s="250">
        <v>0</v>
      </c>
      <c r="K21" s="249">
        <v>0</v>
      </c>
      <c r="L21" s="390">
        <v>0</v>
      </c>
      <c r="M21" s="390">
        <v>0</v>
      </c>
      <c r="N21" s="250">
        <v>0</v>
      </c>
      <c r="O21" s="223">
        <v>0</v>
      </c>
      <c r="P21" s="100">
        <v>1</v>
      </c>
      <c r="Q21" s="389">
        <v>1</v>
      </c>
      <c r="R21" s="91">
        <v>1</v>
      </c>
      <c r="S21" s="232">
        <v>1</v>
      </c>
      <c r="T21" s="389">
        <v>1</v>
      </c>
      <c r="U21" s="101">
        <v>1</v>
      </c>
      <c r="V21" s="232" t="s">
        <v>68</v>
      </c>
      <c r="W21" s="101">
        <v>1</v>
      </c>
    </row>
    <row r="22" spans="1:23">
      <c r="A22" s="38">
        <v>20</v>
      </c>
      <c r="B22" s="318" t="s">
        <v>539</v>
      </c>
      <c r="C22" s="328" t="s">
        <v>523</v>
      </c>
      <c r="D22" s="328"/>
      <c r="E22" s="328" t="s">
        <v>285</v>
      </c>
      <c r="F22" s="222">
        <v>0</v>
      </c>
      <c r="G22" s="249">
        <v>0</v>
      </c>
      <c r="H22" s="390">
        <v>0</v>
      </c>
      <c r="I22" s="390">
        <v>0</v>
      </c>
      <c r="J22" s="250">
        <v>0</v>
      </c>
      <c r="K22" s="249">
        <v>0</v>
      </c>
      <c r="L22" s="390">
        <v>0</v>
      </c>
      <c r="M22" s="390">
        <v>0</v>
      </c>
      <c r="N22" s="250">
        <v>0</v>
      </c>
      <c r="O22" s="223">
        <v>0</v>
      </c>
      <c r="P22" s="100">
        <v>2</v>
      </c>
      <c r="Q22" s="389">
        <v>2</v>
      </c>
      <c r="R22" s="91">
        <v>2</v>
      </c>
      <c r="S22" s="232">
        <v>2</v>
      </c>
      <c r="T22" s="389">
        <v>2</v>
      </c>
      <c r="U22" s="101">
        <v>2</v>
      </c>
      <c r="V22" s="232" t="s">
        <v>62</v>
      </c>
      <c r="W22" s="101">
        <v>0</v>
      </c>
    </row>
    <row r="23" spans="1:23">
      <c r="A23" s="38">
        <v>21</v>
      </c>
      <c r="B23" s="318" t="s">
        <v>533</v>
      </c>
      <c r="C23" s="328" t="s">
        <v>524</v>
      </c>
      <c r="D23" s="328"/>
      <c r="E23" s="328" t="s">
        <v>285</v>
      </c>
      <c r="F23" s="222">
        <v>0</v>
      </c>
      <c r="G23" s="249">
        <v>0</v>
      </c>
      <c r="H23" s="390">
        <v>0</v>
      </c>
      <c r="I23" s="390">
        <v>0</v>
      </c>
      <c r="J23" s="250">
        <v>0</v>
      </c>
      <c r="K23" s="249">
        <v>0</v>
      </c>
      <c r="L23" s="390">
        <v>0</v>
      </c>
      <c r="M23" s="390">
        <v>0</v>
      </c>
      <c r="N23" s="250">
        <v>0</v>
      </c>
      <c r="O23" s="223">
        <v>0</v>
      </c>
      <c r="P23" s="100">
        <v>1</v>
      </c>
      <c r="Q23" s="389">
        <v>1</v>
      </c>
      <c r="R23" s="91">
        <v>1</v>
      </c>
      <c r="S23" s="232">
        <v>1</v>
      </c>
      <c r="T23" s="389">
        <v>1</v>
      </c>
      <c r="U23" s="101">
        <v>1</v>
      </c>
      <c r="V23" s="232" t="s">
        <v>62</v>
      </c>
      <c r="W23" s="101">
        <v>0</v>
      </c>
    </row>
    <row r="24" spans="1:23" ht="13" thickBot="1">
      <c r="A24" s="38">
        <v>22</v>
      </c>
      <c r="B24" s="401" t="s">
        <v>534</v>
      </c>
      <c r="C24" s="251" t="s">
        <v>525</v>
      </c>
      <c r="D24" s="251"/>
      <c r="E24" s="251" t="s">
        <v>285</v>
      </c>
      <c r="F24" s="258">
        <v>0</v>
      </c>
      <c r="G24" s="259">
        <v>0</v>
      </c>
      <c r="H24" s="260">
        <v>0</v>
      </c>
      <c r="I24" s="260">
        <v>0</v>
      </c>
      <c r="J24" s="261">
        <v>0</v>
      </c>
      <c r="K24" s="259">
        <v>0</v>
      </c>
      <c r="L24" s="260">
        <v>0</v>
      </c>
      <c r="M24" s="260">
        <v>0</v>
      </c>
      <c r="N24" s="261">
        <v>0</v>
      </c>
      <c r="O24" s="262">
        <v>0</v>
      </c>
      <c r="P24" s="102">
        <v>1</v>
      </c>
      <c r="Q24" s="103">
        <v>1</v>
      </c>
      <c r="R24" s="104">
        <v>1</v>
      </c>
      <c r="S24" s="252">
        <v>1</v>
      </c>
      <c r="T24" s="103">
        <v>1</v>
      </c>
      <c r="U24" s="105">
        <v>1</v>
      </c>
      <c r="V24" s="252" t="s">
        <v>62</v>
      </c>
      <c r="W24" s="105">
        <v>0</v>
      </c>
    </row>
    <row r="25" spans="1:23">
      <c r="A25" s="38">
        <v>23</v>
      </c>
      <c r="B25" s="318" t="s">
        <v>346</v>
      </c>
      <c r="C25" s="328" t="s">
        <v>526</v>
      </c>
      <c r="D25" s="328"/>
      <c r="E25" s="318" t="s">
        <v>283</v>
      </c>
      <c r="F25" s="100">
        <v>1</v>
      </c>
      <c r="G25" s="232">
        <v>1</v>
      </c>
      <c r="H25" s="389">
        <v>1</v>
      </c>
      <c r="I25" s="389">
        <v>1</v>
      </c>
      <c r="J25" s="91">
        <v>1</v>
      </c>
      <c r="K25" s="232">
        <v>1</v>
      </c>
      <c r="L25" s="389">
        <v>1</v>
      </c>
      <c r="M25" s="389">
        <v>1</v>
      </c>
      <c r="N25" s="91">
        <v>1</v>
      </c>
      <c r="O25" s="101">
        <v>1</v>
      </c>
      <c r="P25" s="222">
        <v>0</v>
      </c>
      <c r="Q25" s="390">
        <v>0</v>
      </c>
      <c r="R25" s="250">
        <v>0</v>
      </c>
      <c r="S25" s="249">
        <v>0</v>
      </c>
      <c r="T25" s="390">
        <v>0</v>
      </c>
      <c r="U25" s="223">
        <v>0</v>
      </c>
      <c r="V25" s="232" t="s">
        <v>62</v>
      </c>
      <c r="W25" s="101">
        <v>0</v>
      </c>
    </row>
    <row r="26" spans="1:23">
      <c r="A26" s="38">
        <v>24</v>
      </c>
      <c r="B26" s="318" t="s">
        <v>347</v>
      </c>
      <c r="C26" s="328" t="s">
        <v>527</v>
      </c>
      <c r="D26" s="328"/>
      <c r="E26" s="318" t="s">
        <v>283</v>
      </c>
      <c r="F26" s="100">
        <v>1</v>
      </c>
      <c r="G26" s="232">
        <v>1</v>
      </c>
      <c r="H26" s="389">
        <v>1</v>
      </c>
      <c r="I26" s="389">
        <v>1</v>
      </c>
      <c r="J26" s="91">
        <v>1</v>
      </c>
      <c r="K26" s="232">
        <v>1</v>
      </c>
      <c r="L26" s="389">
        <v>1</v>
      </c>
      <c r="M26" s="389">
        <v>1</v>
      </c>
      <c r="N26" s="91">
        <v>1</v>
      </c>
      <c r="O26" s="101">
        <v>1</v>
      </c>
      <c r="P26" s="222">
        <v>0</v>
      </c>
      <c r="Q26" s="390">
        <v>0</v>
      </c>
      <c r="R26" s="250">
        <v>0</v>
      </c>
      <c r="S26" s="249">
        <v>0</v>
      </c>
      <c r="T26" s="390">
        <v>0</v>
      </c>
      <c r="U26" s="223">
        <v>0</v>
      </c>
      <c r="V26" s="232" t="s">
        <v>62</v>
      </c>
      <c r="W26" s="256">
        <v>1</v>
      </c>
    </row>
    <row r="27" spans="1:23">
      <c r="A27" s="38">
        <v>25</v>
      </c>
      <c r="B27" s="318" t="s">
        <v>348</v>
      </c>
      <c r="C27" s="328" t="s">
        <v>528</v>
      </c>
      <c r="D27" s="328"/>
      <c r="E27" s="318" t="s">
        <v>283</v>
      </c>
      <c r="F27" s="100">
        <v>1</v>
      </c>
      <c r="G27" s="232">
        <v>1</v>
      </c>
      <c r="H27" s="389">
        <v>1</v>
      </c>
      <c r="I27" s="389">
        <v>1</v>
      </c>
      <c r="J27" s="91">
        <v>1</v>
      </c>
      <c r="K27" s="232">
        <v>1</v>
      </c>
      <c r="L27" s="389">
        <v>1</v>
      </c>
      <c r="M27" s="389">
        <v>1</v>
      </c>
      <c r="N27" s="91">
        <v>1</v>
      </c>
      <c r="O27" s="101">
        <v>1</v>
      </c>
      <c r="P27" s="222">
        <v>0</v>
      </c>
      <c r="Q27" s="390">
        <v>0</v>
      </c>
      <c r="R27" s="250">
        <v>0</v>
      </c>
      <c r="S27" s="249">
        <v>0</v>
      </c>
      <c r="T27" s="390">
        <v>0</v>
      </c>
      <c r="U27" s="223">
        <v>0</v>
      </c>
      <c r="V27" s="232" t="s">
        <v>62</v>
      </c>
      <c r="W27" s="256">
        <v>1</v>
      </c>
    </row>
    <row r="28" spans="1:23">
      <c r="A28" s="38">
        <v>26</v>
      </c>
      <c r="B28" s="318" t="s">
        <v>349</v>
      </c>
      <c r="C28" s="328" t="s">
        <v>529</v>
      </c>
      <c r="D28" s="328"/>
      <c r="E28" s="318" t="s">
        <v>283</v>
      </c>
      <c r="F28" s="222">
        <v>0</v>
      </c>
      <c r="G28" s="232">
        <v>1</v>
      </c>
      <c r="H28" s="390">
        <v>0</v>
      </c>
      <c r="I28" s="389">
        <v>1</v>
      </c>
      <c r="J28" s="250">
        <v>0</v>
      </c>
      <c r="K28" s="232">
        <v>1</v>
      </c>
      <c r="L28" s="390">
        <v>0</v>
      </c>
      <c r="M28" s="389">
        <v>1</v>
      </c>
      <c r="N28" s="250">
        <v>0</v>
      </c>
      <c r="O28" s="101">
        <v>1</v>
      </c>
      <c r="P28" s="222">
        <v>0</v>
      </c>
      <c r="Q28" s="390">
        <v>0</v>
      </c>
      <c r="R28" s="250">
        <v>0</v>
      </c>
      <c r="S28" s="249">
        <v>0</v>
      </c>
      <c r="T28" s="390">
        <v>0</v>
      </c>
      <c r="U28" s="223">
        <v>0</v>
      </c>
      <c r="V28" s="232" t="s">
        <v>66</v>
      </c>
      <c r="W28" s="256">
        <v>0</v>
      </c>
    </row>
    <row r="29" spans="1:23">
      <c r="A29" s="38">
        <v>27</v>
      </c>
      <c r="B29" s="318" t="s">
        <v>350</v>
      </c>
      <c r="C29" s="328" t="s">
        <v>530</v>
      </c>
      <c r="D29" s="328" t="s">
        <v>438</v>
      </c>
      <c r="E29" s="318" t="s">
        <v>283</v>
      </c>
      <c r="F29" s="100">
        <v>1</v>
      </c>
      <c r="G29" s="232">
        <v>1</v>
      </c>
      <c r="H29" s="389">
        <v>1</v>
      </c>
      <c r="I29" s="389">
        <v>1</v>
      </c>
      <c r="J29" s="91">
        <v>1</v>
      </c>
      <c r="K29" s="232">
        <v>1</v>
      </c>
      <c r="L29" s="389">
        <v>1</v>
      </c>
      <c r="M29" s="389">
        <v>1</v>
      </c>
      <c r="N29" s="91">
        <v>1</v>
      </c>
      <c r="O29" s="101">
        <v>1</v>
      </c>
      <c r="P29" s="222">
        <v>0</v>
      </c>
      <c r="Q29" s="390">
        <v>0</v>
      </c>
      <c r="R29" s="250">
        <v>0</v>
      </c>
      <c r="S29" s="249">
        <v>0</v>
      </c>
      <c r="T29" s="390">
        <v>0</v>
      </c>
      <c r="U29" s="223">
        <v>0</v>
      </c>
      <c r="V29" s="232" t="s">
        <v>62</v>
      </c>
      <c r="W29" s="101">
        <v>0</v>
      </c>
    </row>
    <row r="30" spans="1:23">
      <c r="A30" s="38">
        <v>28</v>
      </c>
      <c r="B30" s="8" t="s">
        <v>351</v>
      </c>
      <c r="C30" s="224" t="s">
        <v>531</v>
      </c>
      <c r="D30" s="224"/>
      <c r="E30" s="8" t="s">
        <v>283</v>
      </c>
      <c r="F30" s="303">
        <v>0</v>
      </c>
      <c r="G30" s="246">
        <v>1</v>
      </c>
      <c r="H30" s="304">
        <v>0</v>
      </c>
      <c r="I30" s="246">
        <v>1</v>
      </c>
      <c r="J30" s="304">
        <v>0</v>
      </c>
      <c r="K30" s="246">
        <v>1</v>
      </c>
      <c r="L30" s="304">
        <v>0</v>
      </c>
      <c r="M30" s="246">
        <v>1</v>
      </c>
      <c r="N30" s="304">
        <v>0</v>
      </c>
      <c r="O30" s="305">
        <v>1</v>
      </c>
      <c r="P30" s="237">
        <v>0</v>
      </c>
      <c r="Q30" s="257">
        <v>0</v>
      </c>
      <c r="R30" s="238">
        <v>0</v>
      </c>
      <c r="S30" s="257">
        <v>0</v>
      </c>
      <c r="T30" s="238">
        <v>0</v>
      </c>
      <c r="U30" s="239">
        <v>0</v>
      </c>
      <c r="V30" s="225" t="s">
        <v>66</v>
      </c>
      <c r="W30" s="236">
        <v>0</v>
      </c>
    </row>
    <row r="31" spans="1:23" ht="13" thickBot="1">
      <c r="A31" s="38">
        <v>29</v>
      </c>
      <c r="B31" s="401" t="s">
        <v>352</v>
      </c>
      <c r="C31" s="251" t="s">
        <v>532</v>
      </c>
      <c r="D31" s="251"/>
      <c r="E31" s="401" t="s">
        <v>283</v>
      </c>
      <c r="F31" s="258">
        <v>0</v>
      </c>
      <c r="G31" s="259">
        <v>0</v>
      </c>
      <c r="H31" s="260">
        <v>0</v>
      </c>
      <c r="I31" s="260">
        <v>0</v>
      </c>
      <c r="J31" s="261">
        <v>0</v>
      </c>
      <c r="K31" s="259">
        <v>0</v>
      </c>
      <c r="L31" s="260">
        <v>0</v>
      </c>
      <c r="M31" s="260">
        <v>0</v>
      </c>
      <c r="N31" s="261">
        <v>0</v>
      </c>
      <c r="O31" s="262">
        <v>0</v>
      </c>
      <c r="P31" s="102">
        <v>1</v>
      </c>
      <c r="Q31" s="103">
        <v>1</v>
      </c>
      <c r="R31" s="104">
        <v>1</v>
      </c>
      <c r="S31" s="252">
        <v>1</v>
      </c>
      <c r="T31" s="103">
        <v>1</v>
      </c>
      <c r="U31" s="105">
        <v>1</v>
      </c>
      <c r="V31" s="409" t="s">
        <v>62</v>
      </c>
      <c r="W31" s="101">
        <v>0</v>
      </c>
    </row>
    <row r="32" spans="1:23">
      <c r="A32" s="38">
        <v>30</v>
      </c>
      <c r="B32" s="328" t="s">
        <v>485</v>
      </c>
      <c r="C32" s="328" t="s">
        <v>430</v>
      </c>
      <c r="D32" s="328"/>
      <c r="E32" s="328" t="s">
        <v>36</v>
      </c>
      <c r="F32" s="268">
        <v>0</v>
      </c>
      <c r="G32" s="245">
        <v>1</v>
      </c>
      <c r="H32" s="329">
        <v>1</v>
      </c>
      <c r="I32" s="329">
        <v>1</v>
      </c>
      <c r="J32" s="92">
        <v>0</v>
      </c>
      <c r="K32" s="245">
        <v>0</v>
      </c>
      <c r="L32" s="329">
        <v>1</v>
      </c>
      <c r="M32" s="329">
        <v>1</v>
      </c>
      <c r="N32" s="92">
        <v>1</v>
      </c>
      <c r="O32" s="98">
        <v>1</v>
      </c>
      <c r="P32" s="268">
        <v>0</v>
      </c>
      <c r="Q32" s="330">
        <v>0</v>
      </c>
      <c r="R32" s="269">
        <v>0</v>
      </c>
      <c r="S32" s="270">
        <v>0</v>
      </c>
      <c r="T32" s="330">
        <v>0</v>
      </c>
      <c r="U32" s="271">
        <v>0</v>
      </c>
      <c r="V32" s="232" t="s">
        <v>66</v>
      </c>
      <c r="W32" s="101">
        <v>0</v>
      </c>
    </row>
    <row r="33" spans="1:23" ht="13" thickBot="1">
      <c r="A33" s="38">
        <v>31</v>
      </c>
      <c r="B33" s="328" t="s">
        <v>486</v>
      </c>
      <c r="C33" s="328" t="s">
        <v>353</v>
      </c>
      <c r="D33" s="328" t="s">
        <v>431</v>
      </c>
      <c r="E33" s="328" t="s">
        <v>36</v>
      </c>
      <c r="F33" s="268">
        <v>0</v>
      </c>
      <c r="G33" s="245">
        <v>1</v>
      </c>
      <c r="H33" s="329">
        <v>1</v>
      </c>
      <c r="I33" s="329">
        <v>1</v>
      </c>
      <c r="J33" s="92">
        <v>0</v>
      </c>
      <c r="K33" s="245">
        <v>0</v>
      </c>
      <c r="L33" s="329">
        <v>0</v>
      </c>
      <c r="M33" s="329">
        <v>0</v>
      </c>
      <c r="N33" s="92">
        <v>1</v>
      </c>
      <c r="O33" s="98">
        <v>1</v>
      </c>
      <c r="P33" s="268">
        <v>0</v>
      </c>
      <c r="Q33" s="330">
        <v>0</v>
      </c>
      <c r="R33" s="269">
        <v>0</v>
      </c>
      <c r="S33" s="270">
        <v>0</v>
      </c>
      <c r="T33" s="330">
        <v>0</v>
      </c>
      <c r="U33" s="271">
        <v>0</v>
      </c>
      <c r="V33" s="232" t="s">
        <v>66</v>
      </c>
      <c r="W33" s="101">
        <v>0</v>
      </c>
    </row>
    <row r="34" spans="1:23">
      <c r="A34" s="38">
        <v>32</v>
      </c>
      <c r="B34" s="253" t="s">
        <v>354</v>
      </c>
      <c r="C34" s="253" t="s">
        <v>355</v>
      </c>
      <c r="D34" s="277"/>
      <c r="E34" s="277"/>
      <c r="F34" s="264">
        <v>0</v>
      </c>
      <c r="G34" s="263">
        <v>1</v>
      </c>
      <c r="H34" s="266">
        <v>0</v>
      </c>
      <c r="I34" s="263">
        <v>1</v>
      </c>
      <c r="J34" s="266">
        <v>0</v>
      </c>
      <c r="K34" s="263">
        <v>1</v>
      </c>
      <c r="L34" s="266">
        <v>0</v>
      </c>
      <c r="M34" s="263">
        <v>1</v>
      </c>
      <c r="N34" s="266">
        <v>0</v>
      </c>
      <c r="O34" s="407">
        <v>1</v>
      </c>
      <c r="P34" s="264">
        <v>0</v>
      </c>
      <c r="Q34" s="265">
        <v>0</v>
      </c>
      <c r="R34" s="265">
        <v>0</v>
      </c>
      <c r="S34" s="265">
        <v>0</v>
      </c>
      <c r="T34" s="265">
        <v>0</v>
      </c>
      <c r="U34" s="267">
        <v>0</v>
      </c>
      <c r="V34" s="254" t="s">
        <v>66</v>
      </c>
      <c r="W34" s="267">
        <v>1</v>
      </c>
    </row>
    <row r="35" spans="1:23" ht="13" thickBot="1">
      <c r="A35" s="485">
        <v>33</v>
      </c>
      <c r="B35" s="251" t="s">
        <v>356</v>
      </c>
      <c r="C35" s="251" t="s">
        <v>357</v>
      </c>
      <c r="D35" s="278"/>
      <c r="E35" s="278"/>
      <c r="F35" s="273">
        <v>0</v>
      </c>
      <c r="G35" s="272">
        <v>1</v>
      </c>
      <c r="H35" s="275">
        <v>0</v>
      </c>
      <c r="I35" s="272">
        <v>1</v>
      </c>
      <c r="J35" s="275">
        <v>0</v>
      </c>
      <c r="K35" s="272">
        <v>1</v>
      </c>
      <c r="L35" s="275">
        <v>0</v>
      </c>
      <c r="M35" s="272">
        <v>1</v>
      </c>
      <c r="N35" s="275">
        <v>0</v>
      </c>
      <c r="O35" s="408">
        <v>1</v>
      </c>
      <c r="P35" s="273">
        <v>0</v>
      </c>
      <c r="Q35" s="274">
        <v>0</v>
      </c>
      <c r="R35" s="274">
        <v>0</v>
      </c>
      <c r="S35" s="274">
        <v>0</v>
      </c>
      <c r="T35" s="274">
        <v>0</v>
      </c>
      <c r="U35" s="276">
        <v>0</v>
      </c>
      <c r="V35" s="252" t="s">
        <v>66</v>
      </c>
      <c r="W35" s="276">
        <v>1</v>
      </c>
    </row>
  </sheetData>
  <mergeCells count="1">
    <mergeCell ref="C1:D1"/>
  </mergeCells>
  <conditionalFormatting sqref="F10:U15 J16:K16 F7:U8 F3:U5">
    <cfRule type="containsText" dxfId="62" priority="5" operator="containsText" text="0">
      <formula>NOT(ISERROR(SEARCH("0",F3)))</formula>
    </cfRule>
  </conditionalFormatting>
  <conditionalFormatting sqref="F9:U9">
    <cfRule type="containsText" dxfId="61" priority="4" operator="containsText" text="0">
      <formula>NOT(ISERROR(SEARCH("0",F9)))</formula>
    </cfRule>
  </conditionalFormatting>
  <conditionalFormatting sqref="F16:I16">
    <cfRule type="containsText" dxfId="60" priority="3" operator="containsText" text="0">
      <formula>NOT(ISERROR(SEARCH("0",F16)))</formula>
    </cfRule>
  </conditionalFormatting>
  <conditionalFormatting sqref="L16:U16">
    <cfRule type="containsText" dxfId="59" priority="2" operator="containsText" text="0">
      <formula>NOT(ISERROR(SEARCH("0",L16)))</formula>
    </cfRule>
  </conditionalFormatting>
  <conditionalFormatting sqref="F6:U6">
    <cfRule type="containsText" dxfId="58" priority="1" operator="containsText" text="0">
      <formula>NOT(ISERROR(SEARCH("0",F6)))</formula>
    </cfRule>
  </conditionalFormatting>
  <pageMargins left="0.7" right="0.7" top="0.78740157499999996" bottom="0.78740157499999996"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1B1D1FB5-EA36-C843-BA9A-B3619714857C}">
          <x14:formula1>
            <xm:f>qualitativeGewichte!$A$2:$A$9</xm:f>
          </x14:formula1>
          <xm:sqref>V3:V35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082610-0A34-9240-92D8-6C1AA797EDE0}">
  <sheetPr codeName="Tabelle10"/>
  <dimension ref="A1:M4"/>
  <sheetViews>
    <sheetView workbookViewId="0">
      <selection activeCell="C7" sqref="C7"/>
    </sheetView>
  </sheetViews>
  <sheetFormatPr baseColWidth="10" defaultRowHeight="12.5"/>
  <cols>
    <col min="1" max="1" width="14.453125" customWidth="1"/>
  </cols>
  <sheetData>
    <row r="1" spans="1:13" ht="13">
      <c r="A1" s="31" t="s">
        <v>182</v>
      </c>
      <c r="B1" t="s">
        <v>331</v>
      </c>
    </row>
    <row r="2" spans="1:13" ht="13">
      <c r="A2" s="31" t="s">
        <v>181</v>
      </c>
      <c r="B2" s="76"/>
      <c r="C2" s="76"/>
      <c r="D2" s="76"/>
      <c r="E2" s="76"/>
      <c r="F2" s="76"/>
      <c r="G2" s="76"/>
      <c r="H2" s="76"/>
      <c r="I2" s="76"/>
      <c r="J2" s="76"/>
      <c r="K2" s="76"/>
      <c r="L2" s="76"/>
      <c r="M2" s="76"/>
    </row>
    <row r="4" spans="1:13">
      <c r="C4" s="76"/>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79FE8-C0CA-5C49-AD8E-71B6666DC1EC}">
  <sheetPr codeName="Tabelle8"/>
  <dimension ref="A1:C10"/>
  <sheetViews>
    <sheetView workbookViewId="0">
      <selection activeCell="E43" sqref="E43"/>
    </sheetView>
  </sheetViews>
  <sheetFormatPr baseColWidth="10" defaultColWidth="11.453125" defaultRowHeight="12.5"/>
  <cols>
    <col min="1" max="1" width="29" customWidth="1"/>
  </cols>
  <sheetData>
    <row r="1" spans="1:3" ht="15.5">
      <c r="A1" s="42" t="s">
        <v>154</v>
      </c>
      <c r="C1" s="42" t="s">
        <v>155</v>
      </c>
    </row>
    <row r="2" spans="1:3">
      <c r="A2" t="s">
        <v>62</v>
      </c>
      <c r="C2" t="s">
        <v>62</v>
      </c>
    </row>
    <row r="3" spans="1:3" ht="15.5">
      <c r="A3" s="43" t="s">
        <v>156</v>
      </c>
      <c r="C3" s="43" t="s">
        <v>67</v>
      </c>
    </row>
    <row r="4" spans="1:3" ht="15.5">
      <c r="A4" s="43" t="s">
        <v>157</v>
      </c>
      <c r="C4" s="43" t="s">
        <v>158</v>
      </c>
    </row>
    <row r="5" spans="1:3" ht="15.5">
      <c r="A5" s="43" t="s">
        <v>66</v>
      </c>
      <c r="C5" s="43" t="s">
        <v>106</v>
      </c>
    </row>
    <row r="6" spans="1:3" ht="15.5">
      <c r="A6" s="43" t="s">
        <v>64</v>
      </c>
      <c r="C6" s="43" t="s">
        <v>162</v>
      </c>
    </row>
    <row r="7" spans="1:3" ht="15.5">
      <c r="A7" s="43" t="s">
        <v>65</v>
      </c>
      <c r="C7" s="43" t="s">
        <v>183</v>
      </c>
    </row>
    <row r="8" spans="1:3" ht="15.5">
      <c r="A8" s="43" t="s">
        <v>68</v>
      </c>
    </row>
    <row r="9" spans="1:3" ht="15.5">
      <c r="A9" s="43" t="s">
        <v>63</v>
      </c>
    </row>
    <row r="10" spans="1:3" ht="15.5">
      <c r="A10" s="43"/>
    </row>
  </sheetData>
  <pageMargins left="0.7" right="0.7" top="0.78740157499999996" bottom="0.78740157499999996"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44F21-2AF2-4383-B544-86B693B6DEBB}">
  <sheetPr codeName="Tabelle12">
    <tabColor rgb="FFBAB9A8"/>
  </sheetPr>
  <dimension ref="A1:BP75"/>
  <sheetViews>
    <sheetView topLeftCell="A19" zoomScale="85" zoomScaleNormal="85" workbookViewId="0">
      <selection activeCell="Z54" sqref="Z38:BF54"/>
    </sheetView>
  </sheetViews>
  <sheetFormatPr baseColWidth="10" defaultColWidth="12" defaultRowHeight="15.5"/>
  <cols>
    <col min="1" max="1" width="12.90625" style="43" customWidth="1"/>
    <col min="2" max="7" width="2.6328125" style="43" customWidth="1"/>
    <col min="8" max="59" width="2.6328125" style="131" customWidth="1"/>
    <col min="60" max="61" width="2.6328125" style="132" customWidth="1"/>
    <col min="62" max="71" width="2.6328125" style="43" customWidth="1"/>
    <col min="72" max="16384" width="12" style="43"/>
  </cols>
  <sheetData>
    <row r="1" spans="1:61" ht="18">
      <c r="A1" s="130" t="s">
        <v>304</v>
      </c>
    </row>
    <row r="3" spans="1:61">
      <c r="A3" s="42" t="s">
        <v>305</v>
      </c>
      <c r="B3" s="589" t="s">
        <v>306</v>
      </c>
      <c r="C3" s="590"/>
      <c r="D3" s="590"/>
      <c r="E3" s="590"/>
      <c r="F3" s="590"/>
      <c r="G3" s="590"/>
      <c r="H3" s="590"/>
      <c r="I3" s="590"/>
      <c r="J3" s="590"/>
      <c r="K3" s="590"/>
      <c r="L3" s="590"/>
      <c r="M3" s="590"/>
      <c r="N3" s="591"/>
      <c r="O3" s="591"/>
      <c r="P3" s="591"/>
      <c r="Q3" s="591"/>
      <c r="R3" s="591"/>
      <c r="S3" s="591"/>
      <c r="T3" s="591"/>
      <c r="U3" s="591"/>
      <c r="V3" s="591"/>
      <c r="W3" s="591"/>
      <c r="X3" s="591"/>
      <c r="Y3" s="591"/>
      <c r="Z3" s="591"/>
      <c r="AA3" s="591"/>
      <c r="AB3" s="591"/>
      <c r="AC3" s="591"/>
      <c r="AD3" s="592"/>
    </row>
    <row r="4" spans="1:61">
      <c r="A4" s="42" t="s">
        <v>307</v>
      </c>
      <c r="B4" s="589" t="s">
        <v>308</v>
      </c>
      <c r="C4" s="590"/>
      <c r="D4" s="590"/>
      <c r="E4" s="590"/>
      <c r="F4" s="590"/>
      <c r="G4" s="590"/>
      <c r="H4" s="590"/>
      <c r="I4" s="590"/>
      <c r="J4" s="590"/>
      <c r="K4" s="590"/>
      <c r="L4" s="590"/>
      <c r="M4" s="590"/>
      <c r="N4" s="591"/>
      <c r="O4" s="591"/>
      <c r="P4" s="591"/>
      <c r="Q4" s="591"/>
      <c r="R4" s="591"/>
      <c r="S4" s="591"/>
      <c r="T4" s="591"/>
      <c r="U4" s="591"/>
      <c r="V4" s="591"/>
      <c r="W4" s="591"/>
      <c r="X4" s="591"/>
      <c r="Y4" s="591"/>
      <c r="Z4" s="591"/>
      <c r="AA4" s="591"/>
      <c r="AB4" s="591"/>
      <c r="AC4" s="591"/>
      <c r="AD4" s="592"/>
    </row>
    <row r="5" spans="1:61" ht="25.5" customHeight="1"/>
    <row r="6" spans="1:61" ht="25.5" customHeight="1">
      <c r="A6" s="332" t="s">
        <v>283</v>
      </c>
    </row>
    <row r="7" spans="1:61">
      <c r="A7" s="42" t="s">
        <v>309</v>
      </c>
    </row>
    <row r="9" spans="1:61">
      <c r="B9" s="133">
        <v>0</v>
      </c>
      <c r="C9" s="133">
        <v>1</v>
      </c>
      <c r="D9" s="133">
        <v>2</v>
      </c>
      <c r="E9" s="133">
        <v>3</v>
      </c>
      <c r="F9" s="133">
        <v>4</v>
      </c>
      <c r="G9" s="133">
        <v>5</v>
      </c>
      <c r="H9" s="134">
        <v>6</v>
      </c>
      <c r="I9" s="135"/>
      <c r="J9" s="135"/>
      <c r="K9" s="136"/>
      <c r="L9" s="134">
        <v>7</v>
      </c>
      <c r="M9" s="135"/>
      <c r="N9" s="135"/>
      <c r="O9" s="136"/>
      <c r="P9" s="134">
        <v>8</v>
      </c>
      <c r="Q9" s="135"/>
      <c r="R9" s="135"/>
      <c r="S9" s="136"/>
      <c r="T9" s="134">
        <v>9</v>
      </c>
      <c r="U9" s="135"/>
      <c r="V9" s="135"/>
      <c r="W9" s="136"/>
      <c r="X9" s="134">
        <v>10</v>
      </c>
      <c r="Y9" s="135"/>
      <c r="Z9" s="135"/>
      <c r="AA9" s="136"/>
      <c r="AB9" s="134">
        <v>11</v>
      </c>
      <c r="AC9" s="135"/>
      <c r="AD9" s="135"/>
      <c r="AE9" s="136"/>
      <c r="AF9" s="134">
        <v>12</v>
      </c>
      <c r="AG9" s="135"/>
      <c r="AH9" s="135"/>
      <c r="AI9" s="136"/>
      <c r="AJ9" s="134">
        <v>13</v>
      </c>
      <c r="AK9" s="135"/>
      <c r="AL9" s="135"/>
      <c r="AM9" s="136"/>
      <c r="AN9" s="134">
        <v>14</v>
      </c>
      <c r="AO9" s="135"/>
      <c r="AP9" s="135"/>
      <c r="AQ9" s="136"/>
      <c r="AR9" s="134">
        <v>15</v>
      </c>
      <c r="AS9" s="135"/>
      <c r="AT9" s="135"/>
      <c r="AU9" s="136"/>
      <c r="AV9" s="134">
        <v>16</v>
      </c>
      <c r="AW9" s="135"/>
      <c r="AX9" s="135"/>
      <c r="AY9" s="136"/>
      <c r="AZ9" s="134">
        <v>17</v>
      </c>
      <c r="BA9" s="135"/>
      <c r="BB9" s="135"/>
      <c r="BC9" s="136"/>
      <c r="BD9" s="134">
        <v>18</v>
      </c>
      <c r="BE9" s="135"/>
      <c r="BF9" s="135"/>
      <c r="BG9" s="136"/>
    </row>
    <row r="10" spans="1:61" ht="16" thickBot="1">
      <c r="A10" s="137" t="s">
        <v>310</v>
      </c>
      <c r="B10" s="138"/>
      <c r="C10" s="138"/>
      <c r="D10" s="138"/>
      <c r="E10" s="138"/>
      <c r="F10" s="138"/>
      <c r="G10" s="138"/>
      <c r="H10" s="139">
        <v>0</v>
      </c>
      <c r="I10" s="140">
        <v>15</v>
      </c>
      <c r="J10" s="140">
        <v>30</v>
      </c>
      <c r="K10" s="141">
        <v>45</v>
      </c>
      <c r="L10" s="139">
        <v>0</v>
      </c>
      <c r="M10" s="140">
        <v>15</v>
      </c>
      <c r="N10" s="140">
        <v>30</v>
      </c>
      <c r="O10" s="141">
        <v>45</v>
      </c>
      <c r="P10" s="139">
        <v>0</v>
      </c>
      <c r="Q10" s="140">
        <v>15</v>
      </c>
      <c r="R10" s="140">
        <v>30</v>
      </c>
      <c r="S10" s="141">
        <v>45</v>
      </c>
      <c r="T10" s="139">
        <v>0</v>
      </c>
      <c r="U10" s="140">
        <v>15</v>
      </c>
      <c r="V10" s="140">
        <v>30</v>
      </c>
      <c r="W10" s="141">
        <v>45</v>
      </c>
      <c r="X10" s="139">
        <v>0</v>
      </c>
      <c r="Y10" s="140">
        <v>15</v>
      </c>
      <c r="Z10" s="140">
        <v>30</v>
      </c>
      <c r="AA10" s="141">
        <v>45</v>
      </c>
      <c r="AB10" s="139">
        <v>0</v>
      </c>
      <c r="AC10" s="140">
        <v>15</v>
      </c>
      <c r="AD10" s="140">
        <v>30</v>
      </c>
      <c r="AE10" s="141">
        <v>45</v>
      </c>
      <c r="AF10" s="139">
        <v>0</v>
      </c>
      <c r="AG10" s="140">
        <v>15</v>
      </c>
      <c r="AH10" s="140">
        <v>30</v>
      </c>
      <c r="AI10" s="141">
        <v>45</v>
      </c>
      <c r="AJ10" s="139">
        <v>0</v>
      </c>
      <c r="AK10" s="140">
        <v>15</v>
      </c>
      <c r="AL10" s="140">
        <v>30</v>
      </c>
      <c r="AM10" s="141">
        <v>45</v>
      </c>
      <c r="AN10" s="139">
        <v>0</v>
      </c>
      <c r="AO10" s="140">
        <v>15</v>
      </c>
      <c r="AP10" s="140">
        <v>30</v>
      </c>
      <c r="AQ10" s="141">
        <v>45</v>
      </c>
      <c r="AR10" s="139">
        <v>0</v>
      </c>
      <c r="AS10" s="140">
        <v>15</v>
      </c>
      <c r="AT10" s="140">
        <v>30</v>
      </c>
      <c r="AU10" s="141">
        <v>45</v>
      </c>
      <c r="AV10" s="139">
        <v>0</v>
      </c>
      <c r="AW10" s="140">
        <v>15</v>
      </c>
      <c r="AX10" s="140">
        <v>30</v>
      </c>
      <c r="AY10" s="141">
        <v>45</v>
      </c>
      <c r="AZ10" s="139">
        <v>0</v>
      </c>
      <c r="BA10" s="140">
        <v>15</v>
      </c>
      <c r="BB10" s="140">
        <v>30</v>
      </c>
      <c r="BC10" s="141">
        <v>45</v>
      </c>
      <c r="BD10" s="139">
        <v>0</v>
      </c>
      <c r="BE10" s="140">
        <v>15</v>
      </c>
      <c r="BF10" s="140">
        <v>30</v>
      </c>
      <c r="BG10" s="141">
        <v>45</v>
      </c>
    </row>
    <row r="11" spans="1:61" s="156" customFormat="1" ht="16" thickBot="1">
      <c r="A11" s="142"/>
      <c r="B11" s="143"/>
      <c r="C11" s="143"/>
      <c r="D11" s="143"/>
      <c r="E11" s="143"/>
      <c r="F11" s="143"/>
      <c r="G11" s="143"/>
      <c r="H11" s="143"/>
      <c r="I11" s="143"/>
      <c r="J11" s="143"/>
      <c r="K11" s="143"/>
      <c r="L11" s="143"/>
      <c r="M11" s="144"/>
      <c r="N11" s="145"/>
      <c r="O11" s="146"/>
      <c r="P11" s="146"/>
      <c r="Q11" s="146"/>
      <c r="R11" s="146"/>
      <c r="S11" s="146"/>
      <c r="T11" s="146"/>
      <c r="U11" s="146"/>
      <c r="V11" s="146"/>
      <c r="W11" s="146"/>
      <c r="X11" s="146"/>
      <c r="Y11" s="146"/>
      <c r="Z11" s="146"/>
      <c r="AA11" s="146"/>
      <c r="AB11" s="146"/>
      <c r="AC11" s="146"/>
      <c r="AD11" s="146"/>
      <c r="AE11" s="147"/>
      <c r="AF11" s="147"/>
      <c r="AG11" s="147"/>
      <c r="AH11" s="147"/>
      <c r="AI11" s="147"/>
      <c r="AJ11" s="148"/>
      <c r="AK11" s="149"/>
      <c r="AL11" s="150"/>
      <c r="AM11" s="150"/>
      <c r="AN11" s="150"/>
      <c r="AO11" s="150"/>
      <c r="AP11" s="150"/>
      <c r="AQ11" s="150"/>
      <c r="AR11" s="150"/>
      <c r="AS11" s="150"/>
      <c r="AT11" s="150"/>
      <c r="AU11" s="150"/>
      <c r="AV11" s="151"/>
      <c r="AW11" s="152"/>
      <c r="AX11" s="147"/>
      <c r="AY11" s="147"/>
      <c r="AZ11" s="147"/>
      <c r="BA11" s="147"/>
      <c r="BB11" s="147"/>
      <c r="BC11" s="147"/>
      <c r="BD11" s="147"/>
      <c r="BE11" s="147"/>
      <c r="BF11" s="153"/>
      <c r="BG11" s="154"/>
      <c r="BH11" s="155"/>
      <c r="BI11" s="155"/>
    </row>
    <row r="12" spans="1:61" s="171" customFormat="1" ht="16" thickBot="1">
      <c r="A12" s="157"/>
      <c r="B12" s="158"/>
      <c r="C12" s="158"/>
      <c r="D12" s="158"/>
      <c r="E12" s="158"/>
      <c r="F12" s="158"/>
      <c r="G12" s="158"/>
      <c r="H12" s="158"/>
      <c r="I12" s="158"/>
      <c r="J12" s="158"/>
      <c r="K12" s="158"/>
      <c r="L12" s="158"/>
      <c r="M12" s="158"/>
      <c r="N12" s="159"/>
      <c r="O12" s="159"/>
      <c r="P12" s="159"/>
      <c r="Q12" s="159"/>
      <c r="R12" s="159"/>
      <c r="S12" s="159"/>
      <c r="T12" s="159"/>
      <c r="U12" s="159"/>
      <c r="V12" s="159"/>
      <c r="W12" s="159"/>
      <c r="X12" s="159"/>
      <c r="Y12" s="149"/>
      <c r="Z12" s="150"/>
      <c r="AA12" s="150"/>
      <c r="AB12" s="150"/>
      <c r="AC12" s="150"/>
      <c r="AD12" s="151"/>
      <c r="AE12" s="160"/>
      <c r="AF12" s="150"/>
      <c r="AG12" s="150"/>
      <c r="AH12" s="150"/>
      <c r="AI12" s="150"/>
      <c r="AJ12" s="151"/>
      <c r="AK12" s="161"/>
      <c r="AL12" s="162"/>
      <c r="AM12" s="162"/>
      <c r="AN12" s="162"/>
      <c r="AO12" s="162"/>
      <c r="AP12" s="162"/>
      <c r="AQ12" s="162"/>
      <c r="AR12" s="162"/>
      <c r="AS12" s="163"/>
      <c r="AT12" s="164"/>
      <c r="AU12" s="162"/>
      <c r="AV12" s="165"/>
      <c r="AW12" s="166"/>
      <c r="AX12" s="167"/>
      <c r="AY12" s="167"/>
      <c r="AZ12" s="167"/>
      <c r="BA12" s="167"/>
      <c r="BB12" s="167"/>
      <c r="BC12" s="167"/>
      <c r="BD12" s="167"/>
      <c r="BE12" s="167"/>
      <c r="BF12" s="168"/>
      <c r="BG12" s="169"/>
      <c r="BH12" s="170"/>
      <c r="BI12" s="170"/>
    </row>
    <row r="13" spans="1:61" ht="16" thickBot="1">
      <c r="A13" s="137" t="s">
        <v>311</v>
      </c>
      <c r="B13" s="172"/>
      <c r="C13" s="172"/>
      <c r="D13" s="172"/>
      <c r="E13" s="172"/>
      <c r="F13" s="172"/>
      <c r="G13" s="172"/>
      <c r="H13" s="172"/>
      <c r="I13" s="172"/>
      <c r="J13" s="172"/>
      <c r="K13" s="172"/>
      <c r="L13" s="172"/>
      <c r="M13" s="172"/>
      <c r="N13" s="172"/>
      <c r="O13" s="172"/>
      <c r="P13" s="172"/>
      <c r="Q13" s="172"/>
      <c r="R13" s="172"/>
      <c r="S13" s="172"/>
      <c r="T13" s="172"/>
      <c r="U13" s="172"/>
      <c r="V13" s="172"/>
      <c r="W13" s="172"/>
      <c r="X13" s="172"/>
      <c r="Y13" s="172"/>
      <c r="Z13" s="172"/>
      <c r="AA13" s="172"/>
      <c r="AB13" s="172"/>
      <c r="AC13" s="172"/>
      <c r="AD13" s="172"/>
      <c r="AE13" s="172"/>
      <c r="AF13" s="172"/>
      <c r="AG13" s="172"/>
      <c r="AH13" s="172"/>
      <c r="AI13" s="172"/>
      <c r="AJ13" s="172"/>
      <c r="AK13" s="172"/>
      <c r="AL13" s="172"/>
      <c r="AM13" s="172"/>
      <c r="AN13" s="172"/>
      <c r="AO13" s="172"/>
      <c r="AP13" s="172"/>
      <c r="AQ13" s="172"/>
      <c r="AR13" s="172"/>
      <c r="AS13" s="172"/>
      <c r="AT13" s="172"/>
      <c r="AU13" s="172"/>
      <c r="AV13" s="172"/>
      <c r="AW13" s="172"/>
      <c r="AX13" s="172"/>
      <c r="AY13" s="172"/>
      <c r="AZ13" s="172"/>
      <c r="BA13" s="172"/>
      <c r="BB13" s="172"/>
      <c r="BC13" s="172"/>
      <c r="BD13" s="172"/>
      <c r="BE13" s="172"/>
      <c r="BF13" s="172"/>
      <c r="BG13" s="172"/>
    </row>
    <row r="14" spans="1:61" ht="16" thickBot="1">
      <c r="A14" s="142" t="s">
        <v>239</v>
      </c>
      <c r="B14" s="143"/>
      <c r="C14" s="143"/>
      <c r="D14" s="143"/>
      <c r="E14" s="143"/>
      <c r="F14" s="143"/>
      <c r="G14" s="143"/>
      <c r="H14" s="143"/>
      <c r="I14" s="143"/>
      <c r="J14" s="143"/>
      <c r="K14" s="143"/>
      <c r="L14" s="143"/>
      <c r="M14" s="143"/>
      <c r="N14" s="143" t="s">
        <v>312</v>
      </c>
      <c r="O14" s="143" t="s">
        <v>312</v>
      </c>
      <c r="P14" s="143" t="s">
        <v>312</v>
      </c>
      <c r="Q14" s="143" t="s">
        <v>312</v>
      </c>
      <c r="R14" s="143" t="s">
        <v>312</v>
      </c>
      <c r="S14" s="143" t="s">
        <v>312</v>
      </c>
      <c r="T14" s="143" t="s">
        <v>312</v>
      </c>
      <c r="U14" s="143" t="s">
        <v>312</v>
      </c>
      <c r="V14" s="143" t="s">
        <v>312</v>
      </c>
      <c r="W14" s="143" t="s">
        <v>312</v>
      </c>
      <c r="X14" s="143" t="s">
        <v>312</v>
      </c>
      <c r="Y14" s="143" t="s">
        <v>312</v>
      </c>
      <c r="Z14" s="143" t="s">
        <v>312</v>
      </c>
      <c r="AA14" s="143" t="s">
        <v>312</v>
      </c>
      <c r="AB14" s="143" t="s">
        <v>312</v>
      </c>
      <c r="AC14" s="143" t="s">
        <v>312</v>
      </c>
      <c r="AD14" s="143" t="s">
        <v>312</v>
      </c>
      <c r="AE14" s="143" t="s">
        <v>312</v>
      </c>
      <c r="AF14" s="143" t="s">
        <v>312</v>
      </c>
      <c r="AG14" s="143" t="s">
        <v>312</v>
      </c>
      <c r="AH14" s="143" t="s">
        <v>312</v>
      </c>
      <c r="AI14" s="143" t="s">
        <v>312</v>
      </c>
      <c r="AJ14" s="143" t="s">
        <v>312</v>
      </c>
      <c r="AK14" s="143"/>
      <c r="AL14" s="143"/>
      <c r="AM14" s="143"/>
      <c r="AN14" s="143"/>
      <c r="AO14" s="143"/>
      <c r="AP14" s="143"/>
      <c r="AQ14" s="143"/>
      <c r="AR14" s="143"/>
      <c r="AS14" s="143"/>
      <c r="AT14" s="143"/>
      <c r="AU14" s="143"/>
      <c r="AV14" s="143"/>
      <c r="AW14" s="143" t="s">
        <v>312</v>
      </c>
      <c r="AX14" s="143" t="s">
        <v>312</v>
      </c>
      <c r="AY14" s="143" t="s">
        <v>312</v>
      </c>
      <c r="AZ14" s="143" t="s">
        <v>312</v>
      </c>
      <c r="BA14" s="143" t="s">
        <v>312</v>
      </c>
      <c r="BB14" s="143" t="s">
        <v>312</v>
      </c>
      <c r="BC14" s="143" t="s">
        <v>312</v>
      </c>
      <c r="BD14" s="143" t="s">
        <v>312</v>
      </c>
      <c r="BE14" s="143" t="s">
        <v>312</v>
      </c>
      <c r="BF14" s="173" t="s">
        <v>312</v>
      </c>
      <c r="BG14" s="174"/>
    </row>
    <row r="15" spans="1:61" ht="16" thickBot="1">
      <c r="A15" s="175" t="s">
        <v>242</v>
      </c>
      <c r="B15" s="176"/>
      <c r="C15" s="176"/>
      <c r="D15" s="176"/>
      <c r="E15" s="176"/>
      <c r="F15" s="176"/>
      <c r="G15" s="176"/>
      <c r="H15" s="176"/>
      <c r="I15" s="176"/>
      <c r="J15" s="176"/>
      <c r="K15" s="176"/>
      <c r="L15" s="176"/>
      <c r="M15" s="176"/>
      <c r="N15" s="177" t="s">
        <v>312</v>
      </c>
      <c r="O15" s="178" t="s">
        <v>312</v>
      </c>
      <c r="P15" s="178" t="s">
        <v>312</v>
      </c>
      <c r="Q15" s="178" t="s">
        <v>312</v>
      </c>
      <c r="R15" s="178" t="s">
        <v>312</v>
      </c>
      <c r="S15" s="178" t="s">
        <v>312</v>
      </c>
      <c r="T15" s="178" t="s">
        <v>312</v>
      </c>
      <c r="U15" s="178" t="s">
        <v>312</v>
      </c>
      <c r="V15" s="178" t="s">
        <v>312</v>
      </c>
      <c r="W15" s="178" t="s">
        <v>312</v>
      </c>
      <c r="X15" s="178" t="s">
        <v>312</v>
      </c>
      <c r="Y15" s="178" t="s">
        <v>312</v>
      </c>
      <c r="Z15" s="178" t="s">
        <v>312</v>
      </c>
      <c r="AA15" s="178" t="s">
        <v>312</v>
      </c>
      <c r="AB15" s="178" t="s">
        <v>312</v>
      </c>
      <c r="AC15" s="178" t="s">
        <v>312</v>
      </c>
      <c r="AD15" s="178" t="s">
        <v>312</v>
      </c>
      <c r="AE15" s="179" t="s">
        <v>312</v>
      </c>
      <c r="AF15" s="179" t="s">
        <v>312</v>
      </c>
      <c r="AG15" s="179" t="s">
        <v>312</v>
      </c>
      <c r="AH15" s="179" t="s">
        <v>312</v>
      </c>
      <c r="AI15" s="179" t="s">
        <v>312</v>
      </c>
      <c r="AJ15" s="180" t="s">
        <v>312</v>
      </c>
      <c r="AK15" s="176"/>
      <c r="AL15" s="176"/>
      <c r="AM15" s="176"/>
      <c r="AN15" s="176"/>
      <c r="AO15" s="176"/>
      <c r="AP15" s="176"/>
      <c r="AQ15" s="176"/>
      <c r="AR15" s="176"/>
      <c r="AS15" s="176"/>
      <c r="AT15" s="176"/>
      <c r="AU15" s="176"/>
      <c r="AV15" s="176"/>
      <c r="AW15" s="176"/>
      <c r="AX15" s="176"/>
      <c r="AY15" s="176"/>
      <c r="AZ15" s="176"/>
      <c r="BA15" s="176"/>
      <c r="BB15" s="176"/>
      <c r="BC15" s="176"/>
      <c r="BD15" s="176"/>
      <c r="BE15" s="176"/>
      <c r="BF15" s="181"/>
      <c r="BG15" s="174"/>
    </row>
    <row r="16" spans="1:61">
      <c r="A16" s="175" t="s">
        <v>244</v>
      </c>
      <c r="B16" s="176"/>
      <c r="C16" s="176"/>
      <c r="D16" s="176"/>
      <c r="E16" s="176"/>
      <c r="F16" s="176"/>
      <c r="G16" s="176"/>
      <c r="H16" s="176"/>
      <c r="I16" s="176"/>
      <c r="J16" s="176"/>
      <c r="K16" s="176"/>
      <c r="L16" s="176"/>
      <c r="M16" s="176"/>
      <c r="N16" s="176" t="s">
        <v>312</v>
      </c>
      <c r="O16" s="176" t="s">
        <v>312</v>
      </c>
      <c r="P16" s="176" t="s">
        <v>312</v>
      </c>
      <c r="Q16" s="176" t="s">
        <v>312</v>
      </c>
      <c r="R16" s="176" t="s">
        <v>312</v>
      </c>
      <c r="S16" s="176" t="s">
        <v>312</v>
      </c>
      <c r="T16" s="176" t="s">
        <v>312</v>
      </c>
      <c r="U16" s="176" t="s">
        <v>312</v>
      </c>
      <c r="V16" s="176" t="s">
        <v>312</v>
      </c>
      <c r="W16" s="176" t="s">
        <v>312</v>
      </c>
      <c r="X16" s="176" t="s">
        <v>312</v>
      </c>
      <c r="Y16" s="176" t="s">
        <v>312</v>
      </c>
      <c r="Z16" s="176" t="s">
        <v>312</v>
      </c>
      <c r="AA16" s="176" t="s">
        <v>312</v>
      </c>
      <c r="AB16" s="176" t="s">
        <v>312</v>
      </c>
      <c r="AC16" s="176" t="s">
        <v>312</v>
      </c>
      <c r="AD16" s="176" t="s">
        <v>312</v>
      </c>
      <c r="AE16" s="176" t="s">
        <v>312</v>
      </c>
      <c r="AF16" s="176" t="s">
        <v>312</v>
      </c>
      <c r="AG16" s="176" t="s">
        <v>312</v>
      </c>
      <c r="AH16" s="176" t="s">
        <v>312</v>
      </c>
      <c r="AI16" s="176" t="s">
        <v>312</v>
      </c>
      <c r="AJ16" s="176" t="s">
        <v>312</v>
      </c>
      <c r="AK16" s="176" t="s">
        <v>312</v>
      </c>
      <c r="AL16" s="176" t="s">
        <v>312</v>
      </c>
      <c r="AM16" s="176" t="s">
        <v>312</v>
      </c>
      <c r="AN16" s="176" t="s">
        <v>312</v>
      </c>
      <c r="AO16" s="176" t="s">
        <v>312</v>
      </c>
      <c r="AP16" s="176" t="s">
        <v>312</v>
      </c>
      <c r="AQ16" s="176" t="s">
        <v>312</v>
      </c>
      <c r="AR16" s="176" t="s">
        <v>312</v>
      </c>
      <c r="AS16" s="176" t="s">
        <v>312</v>
      </c>
      <c r="AT16" s="176" t="s">
        <v>312</v>
      </c>
      <c r="AU16" s="176" t="s">
        <v>312</v>
      </c>
      <c r="AV16" s="176" t="s">
        <v>312</v>
      </c>
      <c r="AW16" s="176"/>
      <c r="AX16" s="176"/>
      <c r="AY16" s="176"/>
      <c r="AZ16" s="176"/>
      <c r="BA16" s="176"/>
      <c r="BB16" s="176"/>
      <c r="BC16" s="176"/>
      <c r="BD16" s="176"/>
      <c r="BE16" s="176"/>
      <c r="BF16" s="181"/>
      <c r="BG16" s="174"/>
    </row>
    <row r="17" spans="1:67">
      <c r="A17" s="175" t="s">
        <v>246</v>
      </c>
      <c r="B17" s="176"/>
      <c r="C17" s="176"/>
      <c r="D17" s="176"/>
      <c r="E17" s="176"/>
      <c r="F17" s="176"/>
      <c r="G17" s="176"/>
      <c r="H17" s="176"/>
      <c r="I17" s="176"/>
      <c r="J17" s="176"/>
      <c r="K17" s="176"/>
      <c r="L17" s="176"/>
      <c r="M17" s="176"/>
      <c r="N17" s="176"/>
      <c r="O17" s="176"/>
      <c r="P17" s="176"/>
      <c r="Q17" s="176"/>
      <c r="R17" s="176"/>
      <c r="S17" s="176"/>
      <c r="T17" s="176"/>
      <c r="U17" s="176"/>
      <c r="V17" s="176"/>
      <c r="W17" s="176"/>
      <c r="X17" s="176"/>
      <c r="Y17" s="176" t="s">
        <v>312</v>
      </c>
      <c r="Z17" s="176" t="s">
        <v>312</v>
      </c>
      <c r="AA17" s="176" t="s">
        <v>312</v>
      </c>
      <c r="AB17" s="176" t="s">
        <v>312</v>
      </c>
      <c r="AC17" s="176" t="s">
        <v>312</v>
      </c>
      <c r="AD17" s="176" t="s">
        <v>312</v>
      </c>
      <c r="AE17" s="176" t="s">
        <v>312</v>
      </c>
      <c r="AF17" s="176" t="s">
        <v>312</v>
      </c>
      <c r="AG17" s="176" t="s">
        <v>312</v>
      </c>
      <c r="AH17" s="176" t="s">
        <v>312</v>
      </c>
      <c r="AI17" s="176" t="s">
        <v>312</v>
      </c>
      <c r="AJ17" s="176" t="s">
        <v>312</v>
      </c>
      <c r="AK17" s="176" t="s">
        <v>312</v>
      </c>
      <c r="AL17" s="176" t="s">
        <v>312</v>
      </c>
      <c r="AM17" s="176" t="s">
        <v>312</v>
      </c>
      <c r="AN17" s="176" t="s">
        <v>312</v>
      </c>
      <c r="AO17" s="176" t="s">
        <v>312</v>
      </c>
      <c r="AP17" s="176" t="s">
        <v>312</v>
      </c>
      <c r="AQ17" s="176" t="s">
        <v>312</v>
      </c>
      <c r="AR17" s="176" t="s">
        <v>312</v>
      </c>
      <c r="AS17" s="176" t="s">
        <v>312</v>
      </c>
      <c r="AT17" s="176" t="s">
        <v>312</v>
      </c>
      <c r="AU17" s="176" t="s">
        <v>312</v>
      </c>
      <c r="AV17" s="176" t="s">
        <v>312</v>
      </c>
      <c r="AW17" s="176" t="s">
        <v>312</v>
      </c>
      <c r="AX17" s="176" t="s">
        <v>312</v>
      </c>
      <c r="AY17" s="176" t="s">
        <v>312</v>
      </c>
      <c r="AZ17" s="176" t="s">
        <v>312</v>
      </c>
      <c r="BA17" s="176" t="s">
        <v>312</v>
      </c>
      <c r="BB17" s="176" t="s">
        <v>312</v>
      </c>
      <c r="BC17" s="176" t="s">
        <v>312</v>
      </c>
      <c r="BD17" s="176" t="s">
        <v>312</v>
      </c>
      <c r="BE17" s="176" t="s">
        <v>312</v>
      </c>
      <c r="BF17" s="181" t="s">
        <v>312</v>
      </c>
      <c r="BG17" s="174"/>
    </row>
    <row r="18" spans="1:67" ht="16" thickBot="1">
      <c r="A18" s="175" t="s">
        <v>248</v>
      </c>
      <c r="B18" s="176"/>
      <c r="C18" s="176"/>
      <c r="D18" s="176"/>
      <c r="E18" s="176"/>
      <c r="F18" s="176"/>
      <c r="G18" s="176"/>
      <c r="H18" s="176"/>
      <c r="I18" s="176"/>
      <c r="J18" s="176"/>
      <c r="K18" s="86"/>
      <c r="L18" s="182"/>
      <c r="M18" s="182"/>
      <c r="N18" s="182"/>
      <c r="O18" s="182"/>
      <c r="P18" s="182"/>
      <c r="Q18" s="182"/>
      <c r="R18" s="176"/>
      <c r="S18" s="176"/>
      <c r="T18" s="176"/>
      <c r="U18" s="176"/>
      <c r="V18" s="176"/>
      <c r="W18" s="176"/>
      <c r="X18" s="176"/>
      <c r="Y18" s="176"/>
      <c r="Z18" s="176"/>
      <c r="AA18" s="176"/>
      <c r="AB18" s="176"/>
      <c r="AC18" s="176"/>
      <c r="AD18" s="176"/>
      <c r="AE18" s="176"/>
      <c r="AF18" s="176"/>
      <c r="AG18" s="176"/>
      <c r="AH18" s="176"/>
      <c r="AI18" s="176"/>
      <c r="AJ18" s="176"/>
      <c r="AK18" s="176"/>
      <c r="AL18" s="176"/>
      <c r="AM18" s="176"/>
      <c r="AN18" s="176"/>
      <c r="AO18" s="176"/>
      <c r="AP18" s="176"/>
      <c r="AQ18" s="176"/>
      <c r="AR18" s="176"/>
      <c r="AS18" s="176"/>
      <c r="AT18" s="176"/>
      <c r="AU18" s="176"/>
      <c r="AV18" s="176"/>
      <c r="AW18" s="176" t="s">
        <v>312</v>
      </c>
      <c r="AX18" s="176" t="s">
        <v>312</v>
      </c>
      <c r="AY18" s="176" t="s">
        <v>312</v>
      </c>
      <c r="AZ18" s="176" t="s">
        <v>312</v>
      </c>
      <c r="BA18" s="176" t="s">
        <v>312</v>
      </c>
      <c r="BB18" s="176" t="s">
        <v>312</v>
      </c>
      <c r="BC18" s="176" t="s">
        <v>312</v>
      </c>
      <c r="BD18" s="176" t="s">
        <v>312</v>
      </c>
      <c r="BE18" s="176" t="s">
        <v>312</v>
      </c>
      <c r="BF18" s="181" t="s">
        <v>312</v>
      </c>
      <c r="BG18" s="174"/>
    </row>
    <row r="19" spans="1:67" ht="16" thickBot="1">
      <c r="A19" s="157" t="s">
        <v>250</v>
      </c>
      <c r="B19" s="158"/>
      <c r="C19" s="158"/>
      <c r="D19" s="158"/>
      <c r="E19" s="158"/>
      <c r="F19" s="158"/>
      <c r="G19" s="158"/>
      <c r="H19" s="158"/>
      <c r="I19" s="158"/>
      <c r="J19" s="158"/>
      <c r="K19" s="183"/>
      <c r="L19" s="158"/>
      <c r="M19" s="158"/>
      <c r="N19" s="158"/>
      <c r="O19" s="158"/>
      <c r="P19" s="158"/>
      <c r="Q19" s="158"/>
      <c r="R19" s="158"/>
      <c r="S19" s="158"/>
      <c r="T19" s="158"/>
      <c r="U19" s="158"/>
      <c r="V19" s="158"/>
      <c r="W19" s="158"/>
      <c r="X19" s="158"/>
      <c r="Y19" s="158"/>
      <c r="Z19" s="158"/>
      <c r="AA19" s="158"/>
      <c r="AB19" s="158"/>
      <c r="AC19" s="158"/>
      <c r="AD19" s="158"/>
      <c r="AE19" s="184" t="s">
        <v>312</v>
      </c>
      <c r="AF19" s="167" t="s">
        <v>312</v>
      </c>
      <c r="AG19" s="167" t="s">
        <v>312</v>
      </c>
      <c r="AH19" s="167" t="s">
        <v>312</v>
      </c>
      <c r="AI19" s="167" t="s">
        <v>312</v>
      </c>
      <c r="AJ19" s="167" t="s">
        <v>312</v>
      </c>
      <c r="AK19" s="167" t="s">
        <v>312</v>
      </c>
      <c r="AL19" s="167" t="s">
        <v>312</v>
      </c>
      <c r="AM19" s="167" t="s">
        <v>312</v>
      </c>
      <c r="AN19" s="167" t="s">
        <v>312</v>
      </c>
      <c r="AO19" s="167" t="s">
        <v>312</v>
      </c>
      <c r="AP19" s="167" t="s">
        <v>312</v>
      </c>
      <c r="AQ19" s="167" t="s">
        <v>312</v>
      </c>
      <c r="AR19" s="167" t="s">
        <v>312</v>
      </c>
      <c r="AS19" s="185" t="s">
        <v>312</v>
      </c>
      <c r="AT19" s="169" t="s">
        <v>312</v>
      </c>
      <c r="AU19" s="158" t="s">
        <v>312</v>
      </c>
      <c r="AV19" s="186" t="s">
        <v>312</v>
      </c>
      <c r="AW19" s="184" t="s">
        <v>312</v>
      </c>
      <c r="AX19" s="167" t="s">
        <v>312</v>
      </c>
      <c r="AY19" s="167" t="s">
        <v>312</v>
      </c>
      <c r="AZ19" s="167" t="s">
        <v>312</v>
      </c>
      <c r="BA19" s="167" t="s">
        <v>312</v>
      </c>
      <c r="BB19" s="167" t="s">
        <v>312</v>
      </c>
      <c r="BC19" s="167" t="s">
        <v>312</v>
      </c>
      <c r="BD19" s="167" t="s">
        <v>312</v>
      </c>
      <c r="BE19" s="167" t="s">
        <v>312</v>
      </c>
      <c r="BF19" s="168" t="s">
        <v>312</v>
      </c>
      <c r="BG19" s="174"/>
    </row>
    <row r="21" spans="1:67">
      <c r="A21" s="42" t="s">
        <v>313</v>
      </c>
    </row>
    <row r="23" spans="1:67">
      <c r="A23" s="187" t="s">
        <v>314</v>
      </c>
      <c r="B23" s="133">
        <v>0</v>
      </c>
      <c r="C23" s="133">
        <v>1</v>
      </c>
      <c r="D23" s="133">
        <v>2</v>
      </c>
      <c r="E23" s="133">
        <v>3</v>
      </c>
      <c r="F23" s="133">
        <v>4</v>
      </c>
      <c r="G23" s="133">
        <v>5</v>
      </c>
      <c r="H23" s="134">
        <v>6</v>
      </c>
      <c r="I23" s="135"/>
      <c r="J23" s="135"/>
      <c r="K23" s="136"/>
      <c r="L23" s="134">
        <v>7</v>
      </c>
      <c r="M23" s="135"/>
      <c r="N23" s="135"/>
      <c r="O23" s="136"/>
      <c r="P23" s="134">
        <v>8</v>
      </c>
      <c r="Q23" s="135"/>
      <c r="R23" s="135"/>
      <c r="S23" s="136"/>
      <c r="T23" s="134">
        <v>9</v>
      </c>
      <c r="U23" s="135"/>
      <c r="V23" s="135"/>
      <c r="W23" s="136"/>
      <c r="X23" s="134">
        <v>10</v>
      </c>
      <c r="Y23" s="135"/>
      <c r="Z23" s="135"/>
      <c r="AA23" s="136"/>
      <c r="AB23" s="134">
        <v>11</v>
      </c>
      <c r="AC23" s="135"/>
      <c r="AD23" s="135"/>
      <c r="AE23" s="136"/>
      <c r="AF23" s="134">
        <v>12</v>
      </c>
      <c r="AG23" s="135"/>
      <c r="AH23" s="135"/>
      <c r="AI23" s="136"/>
      <c r="AJ23" s="134">
        <v>13</v>
      </c>
      <c r="AK23" s="135"/>
      <c r="AL23" s="135"/>
      <c r="AM23" s="136"/>
      <c r="AN23" s="134">
        <v>14</v>
      </c>
      <c r="AO23" s="135"/>
      <c r="AP23" s="135"/>
      <c r="AQ23" s="136"/>
      <c r="AR23" s="134">
        <v>15</v>
      </c>
      <c r="AS23" s="135"/>
      <c r="AT23" s="135"/>
      <c r="AU23" s="136"/>
      <c r="AV23" s="134">
        <v>16</v>
      </c>
      <c r="AW23" s="135"/>
      <c r="AX23" s="135"/>
      <c r="AY23" s="136"/>
      <c r="AZ23" s="134">
        <v>17</v>
      </c>
      <c r="BA23" s="135"/>
      <c r="BB23" s="135"/>
      <c r="BC23" s="136"/>
      <c r="BD23" s="134">
        <v>18</v>
      </c>
      <c r="BE23" s="135"/>
      <c r="BF23" s="135"/>
      <c r="BG23" s="136"/>
    </row>
    <row r="24" spans="1:67" ht="16" thickBot="1">
      <c r="A24" s="187"/>
      <c r="B24" s="188"/>
      <c r="C24" s="188"/>
      <c r="D24" s="188"/>
      <c r="E24" s="188"/>
      <c r="F24" s="188"/>
      <c r="G24" s="188"/>
      <c r="H24" s="189">
        <v>0</v>
      </c>
      <c r="I24" s="190">
        <v>15</v>
      </c>
      <c r="J24" s="190">
        <v>30</v>
      </c>
      <c r="K24" s="191">
        <v>45</v>
      </c>
      <c r="L24" s="139">
        <v>0</v>
      </c>
      <c r="M24" s="140">
        <v>15</v>
      </c>
      <c r="N24" s="140">
        <v>30</v>
      </c>
      <c r="O24" s="141">
        <v>45</v>
      </c>
      <c r="P24" s="139">
        <v>0</v>
      </c>
      <c r="Q24" s="140">
        <v>15</v>
      </c>
      <c r="R24" s="140">
        <v>30</v>
      </c>
      <c r="S24" s="141">
        <v>45</v>
      </c>
      <c r="T24" s="139">
        <v>0</v>
      </c>
      <c r="U24" s="140">
        <v>15</v>
      </c>
      <c r="V24" s="140">
        <v>30</v>
      </c>
      <c r="W24" s="141">
        <v>45</v>
      </c>
      <c r="X24" s="139">
        <v>0</v>
      </c>
      <c r="Y24" s="140">
        <v>15</v>
      </c>
      <c r="Z24" s="140">
        <v>30</v>
      </c>
      <c r="AA24" s="141">
        <v>45</v>
      </c>
      <c r="AB24" s="139">
        <v>0</v>
      </c>
      <c r="AC24" s="140">
        <v>15</v>
      </c>
      <c r="AD24" s="140">
        <v>30</v>
      </c>
      <c r="AE24" s="141">
        <v>45</v>
      </c>
      <c r="AF24" s="139">
        <v>0</v>
      </c>
      <c r="AG24" s="140">
        <v>15</v>
      </c>
      <c r="AH24" s="140">
        <v>30</v>
      </c>
      <c r="AI24" s="141">
        <v>45</v>
      </c>
      <c r="AJ24" s="189">
        <v>0</v>
      </c>
      <c r="AK24" s="190">
        <v>15</v>
      </c>
      <c r="AL24" s="190">
        <v>30</v>
      </c>
      <c r="AM24" s="141">
        <v>45</v>
      </c>
      <c r="AN24" s="139">
        <v>0</v>
      </c>
      <c r="AO24" s="140">
        <v>15</v>
      </c>
      <c r="AP24" s="140">
        <v>30</v>
      </c>
      <c r="AQ24" s="141">
        <v>45</v>
      </c>
      <c r="AR24" s="139">
        <v>0</v>
      </c>
      <c r="AS24" s="140">
        <v>15</v>
      </c>
      <c r="AT24" s="140">
        <v>30</v>
      </c>
      <c r="AU24" s="141">
        <v>45</v>
      </c>
      <c r="AV24" s="139">
        <v>0</v>
      </c>
      <c r="AW24" s="190">
        <v>15</v>
      </c>
      <c r="AX24" s="190">
        <v>30</v>
      </c>
      <c r="AY24" s="191">
        <v>45</v>
      </c>
      <c r="AZ24" s="189">
        <v>0</v>
      </c>
      <c r="BA24" s="190">
        <v>15</v>
      </c>
      <c r="BB24" s="190">
        <v>30</v>
      </c>
      <c r="BC24" s="191">
        <v>45</v>
      </c>
      <c r="BD24" s="189">
        <v>0</v>
      </c>
      <c r="BE24" s="190">
        <v>15</v>
      </c>
      <c r="BF24" s="190">
        <v>30</v>
      </c>
      <c r="BG24" s="191">
        <v>45</v>
      </c>
    </row>
    <row r="25" spans="1:67" ht="16" thickBot="1">
      <c r="A25" s="172" t="s">
        <v>239</v>
      </c>
      <c r="B25" s="176"/>
      <c r="C25" s="176"/>
      <c r="D25" s="176"/>
      <c r="E25" s="176"/>
      <c r="F25" s="176"/>
      <c r="G25" s="176"/>
      <c r="H25" s="176"/>
      <c r="I25" s="176"/>
      <c r="J25" s="176"/>
      <c r="K25" s="176"/>
      <c r="L25" s="176"/>
      <c r="M25" s="192"/>
      <c r="N25" s="193" t="s">
        <v>312</v>
      </c>
      <c r="O25" s="194" t="s">
        <v>312</v>
      </c>
      <c r="P25" s="194" t="s">
        <v>312</v>
      </c>
      <c r="Q25" s="194" t="s">
        <v>312</v>
      </c>
      <c r="R25" s="194" t="s">
        <v>312</v>
      </c>
      <c r="S25" s="194" t="s">
        <v>312</v>
      </c>
      <c r="T25" s="194" t="s">
        <v>312</v>
      </c>
      <c r="U25" s="194" t="s">
        <v>312</v>
      </c>
      <c r="V25" s="194" t="s">
        <v>312</v>
      </c>
      <c r="W25" s="194" t="s">
        <v>312</v>
      </c>
      <c r="X25" s="194" t="s">
        <v>312</v>
      </c>
      <c r="Y25" s="194" t="s">
        <v>312</v>
      </c>
      <c r="Z25" s="194" t="s">
        <v>312</v>
      </c>
      <c r="AA25" s="194" t="s">
        <v>312</v>
      </c>
      <c r="AB25" s="194" t="s">
        <v>312</v>
      </c>
      <c r="AC25" s="195" t="s">
        <v>312</v>
      </c>
      <c r="AD25" s="195" t="s">
        <v>312</v>
      </c>
      <c r="AE25" s="195" t="s">
        <v>312</v>
      </c>
      <c r="AF25" s="195" t="s">
        <v>312</v>
      </c>
      <c r="AG25" s="195" t="s">
        <v>312</v>
      </c>
      <c r="AH25" s="195" t="s">
        <v>312</v>
      </c>
      <c r="AI25" s="195" t="s">
        <v>312</v>
      </c>
      <c r="AJ25" s="195" t="s">
        <v>312</v>
      </c>
      <c r="AK25" s="196" t="s">
        <v>312</v>
      </c>
      <c r="AL25" s="174"/>
      <c r="AM25" s="176"/>
      <c r="AN25" s="176"/>
      <c r="AO25" s="176"/>
      <c r="AP25" s="176"/>
      <c r="AQ25" s="176"/>
      <c r="AR25" s="176"/>
      <c r="AS25" s="176"/>
      <c r="AT25" s="176"/>
      <c r="AU25" s="176"/>
      <c r="AV25" s="197"/>
      <c r="AW25" s="193" t="s">
        <v>312</v>
      </c>
      <c r="AX25" s="194" t="s">
        <v>312</v>
      </c>
      <c r="AY25" s="194" t="s">
        <v>312</v>
      </c>
      <c r="AZ25" s="194" t="s">
        <v>312</v>
      </c>
      <c r="BA25" s="194" t="s">
        <v>312</v>
      </c>
      <c r="BB25" s="194" t="s">
        <v>312</v>
      </c>
      <c r="BC25" s="194" t="s">
        <v>312</v>
      </c>
      <c r="BD25" s="194" t="s">
        <v>312</v>
      </c>
      <c r="BE25" s="194" t="s">
        <v>312</v>
      </c>
      <c r="BF25" s="198" t="s">
        <v>312</v>
      </c>
      <c r="BG25" s="199"/>
    </row>
    <row r="28" spans="1:67" ht="17.5">
      <c r="A28" s="331" t="s">
        <v>285</v>
      </c>
    </row>
    <row r="29" spans="1:67">
      <c r="A29" s="42" t="s">
        <v>309</v>
      </c>
    </row>
    <row r="31" spans="1:67">
      <c r="B31" s="133">
        <v>0</v>
      </c>
      <c r="C31" s="133">
        <v>1</v>
      </c>
      <c r="D31" s="133">
        <v>2</v>
      </c>
      <c r="E31" s="133">
        <v>3</v>
      </c>
      <c r="F31" s="133">
        <v>4</v>
      </c>
      <c r="G31" s="133">
        <v>5</v>
      </c>
      <c r="H31" s="134">
        <v>6</v>
      </c>
      <c r="I31" s="135"/>
      <c r="J31" s="135"/>
      <c r="K31" s="136"/>
      <c r="L31" s="134">
        <v>7</v>
      </c>
      <c r="M31" s="135"/>
      <c r="N31" s="135"/>
      <c r="O31" s="136"/>
      <c r="P31" s="134">
        <v>8</v>
      </c>
      <c r="Q31" s="135"/>
      <c r="R31" s="135"/>
      <c r="S31" s="136"/>
      <c r="T31" s="134">
        <v>9</v>
      </c>
      <c r="U31" s="135"/>
      <c r="V31" s="135"/>
      <c r="W31" s="136"/>
      <c r="X31" s="134">
        <v>10</v>
      </c>
      <c r="Y31" s="135"/>
      <c r="Z31" s="135"/>
      <c r="AA31" s="136"/>
      <c r="AB31" s="134">
        <v>11</v>
      </c>
      <c r="AC31" s="135"/>
      <c r="AD31" s="135"/>
      <c r="AE31" s="136"/>
      <c r="AF31" s="134">
        <v>12</v>
      </c>
      <c r="AG31" s="135"/>
      <c r="AH31" s="135"/>
      <c r="AI31" s="136"/>
      <c r="AJ31" s="134">
        <v>13</v>
      </c>
      <c r="AK31" s="135"/>
      <c r="AL31" s="135"/>
      <c r="AM31" s="136"/>
      <c r="AN31" s="134">
        <v>14</v>
      </c>
      <c r="AO31" s="135"/>
      <c r="AP31" s="135"/>
      <c r="AQ31" s="136"/>
      <c r="AR31" s="134">
        <v>15</v>
      </c>
      <c r="AS31" s="135"/>
      <c r="AT31" s="135"/>
      <c r="AU31" s="136"/>
      <c r="AV31" s="134">
        <v>16</v>
      </c>
      <c r="AW31" s="135"/>
      <c r="AX31" s="135"/>
      <c r="AY31" s="136"/>
      <c r="AZ31" s="134">
        <v>17</v>
      </c>
      <c r="BA31" s="135"/>
      <c r="BB31" s="135"/>
      <c r="BC31" s="136"/>
      <c r="BD31" s="134">
        <v>18</v>
      </c>
      <c r="BE31" s="135"/>
      <c r="BF31" s="135"/>
      <c r="BG31" s="136"/>
      <c r="BH31" s="134">
        <v>19</v>
      </c>
      <c r="BI31" s="135"/>
      <c r="BJ31" s="135"/>
      <c r="BK31" s="136"/>
      <c r="BL31" s="134">
        <v>20</v>
      </c>
      <c r="BM31" s="135"/>
      <c r="BN31" s="135"/>
      <c r="BO31" s="136"/>
    </row>
    <row r="32" spans="1:67" ht="16" thickBot="1">
      <c r="A32" s="137" t="s">
        <v>310</v>
      </c>
      <c r="B32" s="138"/>
      <c r="C32" s="138"/>
      <c r="D32" s="138"/>
      <c r="E32" s="138"/>
      <c r="F32" s="138"/>
      <c r="G32" s="138"/>
      <c r="H32" s="139">
        <v>0</v>
      </c>
      <c r="I32" s="140">
        <v>15</v>
      </c>
      <c r="J32" s="140">
        <v>30</v>
      </c>
      <c r="K32" s="141">
        <v>45</v>
      </c>
      <c r="L32" s="139">
        <v>0</v>
      </c>
      <c r="M32" s="140">
        <v>15</v>
      </c>
      <c r="N32" s="140">
        <v>30</v>
      </c>
      <c r="O32" s="141">
        <v>45</v>
      </c>
      <c r="P32" s="139">
        <v>0</v>
      </c>
      <c r="Q32" s="140">
        <v>15</v>
      </c>
      <c r="R32" s="140">
        <v>30</v>
      </c>
      <c r="S32" s="141">
        <v>45</v>
      </c>
      <c r="T32" s="139">
        <v>0</v>
      </c>
      <c r="U32" s="140">
        <v>15</v>
      </c>
      <c r="V32" s="140">
        <v>30</v>
      </c>
      <c r="W32" s="141">
        <v>45</v>
      </c>
      <c r="X32" s="139">
        <v>0</v>
      </c>
      <c r="Y32" s="140">
        <v>15</v>
      </c>
      <c r="Z32" s="140">
        <v>30</v>
      </c>
      <c r="AA32" s="141">
        <v>45</v>
      </c>
      <c r="AB32" s="139">
        <v>0</v>
      </c>
      <c r="AC32" s="140">
        <v>15</v>
      </c>
      <c r="AD32" s="140">
        <v>30</v>
      </c>
      <c r="AE32" s="141">
        <v>45</v>
      </c>
      <c r="AF32" s="139">
        <v>0</v>
      </c>
      <c r="AG32" s="140">
        <v>15</v>
      </c>
      <c r="AH32" s="140">
        <v>30</v>
      </c>
      <c r="AI32" s="141">
        <v>45</v>
      </c>
      <c r="AJ32" s="139">
        <v>0</v>
      </c>
      <c r="AK32" s="140">
        <v>15</v>
      </c>
      <c r="AL32" s="140">
        <v>30</v>
      </c>
      <c r="AM32" s="141">
        <v>45</v>
      </c>
      <c r="AN32" s="139">
        <v>0</v>
      </c>
      <c r="AO32" s="140">
        <v>15</v>
      </c>
      <c r="AP32" s="140">
        <v>30</v>
      </c>
      <c r="AQ32" s="141">
        <v>45</v>
      </c>
      <c r="AR32" s="139">
        <v>0</v>
      </c>
      <c r="AS32" s="140">
        <v>15</v>
      </c>
      <c r="AT32" s="140">
        <v>30</v>
      </c>
      <c r="AU32" s="141">
        <v>45</v>
      </c>
      <c r="AV32" s="139">
        <v>0</v>
      </c>
      <c r="AW32" s="140">
        <v>15</v>
      </c>
      <c r="AX32" s="140">
        <v>30</v>
      </c>
      <c r="AY32" s="141">
        <v>45</v>
      </c>
      <c r="AZ32" s="139">
        <v>0</v>
      </c>
      <c r="BA32" s="140">
        <v>15</v>
      </c>
      <c r="BB32" s="140">
        <v>30</v>
      </c>
      <c r="BC32" s="141">
        <v>45</v>
      </c>
      <c r="BD32" s="139">
        <v>0</v>
      </c>
      <c r="BE32" s="140">
        <v>15</v>
      </c>
      <c r="BF32" s="140">
        <v>30</v>
      </c>
      <c r="BG32" s="141">
        <v>45</v>
      </c>
      <c r="BH32" s="139">
        <v>0</v>
      </c>
      <c r="BI32" s="140">
        <v>15</v>
      </c>
      <c r="BJ32" s="140">
        <v>30</v>
      </c>
      <c r="BK32" s="141">
        <v>45</v>
      </c>
      <c r="BL32" s="139">
        <v>0</v>
      </c>
      <c r="BM32" s="140">
        <v>15</v>
      </c>
      <c r="BN32" s="140">
        <v>30</v>
      </c>
      <c r="BO32" s="141">
        <v>45</v>
      </c>
    </row>
    <row r="33" spans="1:68">
      <c r="A33" s="142"/>
      <c r="B33" s="333"/>
      <c r="C33" s="333"/>
      <c r="D33" s="333"/>
      <c r="E33" s="333"/>
      <c r="F33" s="333"/>
      <c r="G33" s="333"/>
      <c r="H33" s="333"/>
      <c r="I33" s="333"/>
      <c r="J33" s="333"/>
      <c r="K33" s="333"/>
      <c r="L33" s="336"/>
      <c r="M33" s="336"/>
      <c r="N33" s="336"/>
      <c r="O33" s="336"/>
      <c r="P33" s="336"/>
      <c r="Q33" s="336"/>
      <c r="R33" s="336"/>
      <c r="S33" s="336"/>
      <c r="T33" s="336"/>
      <c r="U33" s="336"/>
      <c r="V33" s="336"/>
      <c r="W33" s="336"/>
      <c r="X33" s="336"/>
      <c r="Y33" s="336"/>
      <c r="Z33" s="336"/>
      <c r="AA33" s="336"/>
      <c r="AB33" s="336"/>
      <c r="AC33" s="336"/>
      <c r="AD33" s="336"/>
      <c r="AE33" s="336"/>
      <c r="AF33" s="336"/>
      <c r="AG33" s="336"/>
      <c r="AH33" s="336"/>
      <c r="AI33" s="336"/>
      <c r="AJ33" s="336"/>
      <c r="AK33" s="336"/>
      <c r="AL33" s="336"/>
      <c r="AM33" s="336"/>
      <c r="AN33" s="336"/>
      <c r="AO33" s="336"/>
      <c r="AP33" s="336"/>
      <c r="AQ33" s="336"/>
      <c r="AR33" s="336"/>
      <c r="AS33" s="336"/>
      <c r="AT33" s="336"/>
      <c r="AU33" s="336"/>
      <c r="AV33" s="336"/>
      <c r="AW33" s="336"/>
      <c r="AX33" s="336"/>
      <c r="AY33" s="336"/>
      <c r="AZ33" s="336"/>
      <c r="BA33" s="336"/>
      <c r="BB33" s="336"/>
      <c r="BC33" s="336"/>
      <c r="BD33" s="336"/>
      <c r="BE33" s="336"/>
      <c r="BF33" s="335"/>
      <c r="BG33" s="335"/>
      <c r="BH33" s="335"/>
      <c r="BI33" s="335"/>
      <c r="BJ33" s="335"/>
      <c r="BK33" s="335"/>
      <c r="BL33" s="335"/>
      <c r="BM33" s="335"/>
    </row>
    <row r="34" spans="1:68">
      <c r="A34" s="175"/>
      <c r="B34" s="333"/>
      <c r="C34" s="333"/>
      <c r="D34" s="333"/>
      <c r="E34" s="333"/>
      <c r="F34" s="333"/>
      <c r="G34" s="333"/>
      <c r="H34" s="333"/>
      <c r="I34" s="333"/>
      <c r="J34" s="333"/>
      <c r="K34" s="333"/>
      <c r="L34" s="336"/>
      <c r="M34" s="336"/>
      <c r="N34" s="336"/>
      <c r="O34" s="336"/>
      <c r="P34" s="336"/>
      <c r="Q34" s="336"/>
      <c r="R34" s="336"/>
      <c r="S34" s="336"/>
      <c r="T34" s="336"/>
      <c r="U34" s="336"/>
      <c r="V34" s="336"/>
      <c r="W34" s="336"/>
      <c r="X34" s="336"/>
      <c r="Y34" s="336"/>
      <c r="Z34" s="336"/>
      <c r="AA34" s="336"/>
      <c r="AB34" s="336"/>
      <c r="AC34" s="336"/>
      <c r="AD34" s="336"/>
      <c r="AE34" s="336"/>
      <c r="AF34" s="336"/>
      <c r="AG34" s="336"/>
      <c r="AH34" s="336"/>
      <c r="AI34" s="336"/>
      <c r="AJ34" s="336"/>
      <c r="AK34" s="336"/>
      <c r="AL34" s="336"/>
      <c r="AM34" s="336"/>
      <c r="AN34" s="336"/>
      <c r="AO34" s="336"/>
      <c r="AP34" s="336"/>
      <c r="AQ34" s="336"/>
      <c r="AR34" s="336"/>
      <c r="AS34" s="336"/>
      <c r="AT34" s="336"/>
      <c r="AU34" s="336"/>
      <c r="AV34" s="336"/>
      <c r="AW34" s="336"/>
      <c r="AX34" s="336"/>
      <c r="AY34" s="336"/>
      <c r="AZ34" s="336"/>
      <c r="BA34" s="336"/>
      <c r="BB34" s="336"/>
      <c r="BC34" s="336"/>
      <c r="BD34" s="336"/>
      <c r="BE34" s="336"/>
      <c r="BF34" s="335"/>
      <c r="BG34" s="43"/>
      <c r="BH34" s="43"/>
      <c r="BI34" s="43"/>
    </row>
    <row r="35" spans="1:68">
      <c r="A35" s="175"/>
      <c r="B35" s="333"/>
      <c r="C35" s="333"/>
      <c r="D35" s="333"/>
      <c r="E35" s="333"/>
      <c r="F35" s="333"/>
      <c r="G35" s="333"/>
      <c r="H35" s="333"/>
      <c r="I35" s="333"/>
      <c r="J35" s="333"/>
      <c r="K35" s="333"/>
      <c r="L35" s="333"/>
      <c r="M35" s="334"/>
      <c r="N35" s="336"/>
      <c r="O35" s="336"/>
      <c r="P35" s="336"/>
      <c r="Q35" s="336"/>
      <c r="R35" s="336"/>
      <c r="S35" s="336"/>
      <c r="T35" s="336"/>
      <c r="U35" s="336"/>
      <c r="V35" s="336"/>
      <c r="W35" s="336"/>
      <c r="X35" s="336"/>
      <c r="Y35" s="336"/>
      <c r="Z35" s="336"/>
      <c r="AA35" s="336"/>
      <c r="AB35" s="336"/>
      <c r="AC35" s="336"/>
      <c r="AD35" s="336"/>
      <c r="AE35" s="336"/>
      <c r="AF35" s="336"/>
      <c r="AG35" s="336"/>
      <c r="AH35" s="336"/>
      <c r="AI35" s="336"/>
      <c r="AJ35" s="337"/>
      <c r="AK35" s="337"/>
      <c r="AL35" s="337"/>
      <c r="AM35" s="337"/>
      <c r="AN35" s="337"/>
      <c r="AO35" s="337"/>
      <c r="AP35" s="337"/>
      <c r="AQ35" s="337"/>
      <c r="AR35" s="337"/>
      <c r="AS35" s="337"/>
      <c r="AT35" s="337"/>
      <c r="AU35" s="337"/>
      <c r="AV35" s="335"/>
      <c r="AW35" s="43"/>
      <c r="AX35" s="43"/>
      <c r="AY35" s="43"/>
      <c r="AZ35" s="43"/>
      <c r="BA35" s="43"/>
      <c r="BB35" s="43"/>
      <c r="BC35" s="43"/>
      <c r="BD35" s="43"/>
      <c r="BE35" s="43"/>
      <c r="BF35" s="43"/>
      <c r="BG35" s="43"/>
    </row>
    <row r="36" spans="1:68">
      <c r="A36" s="175"/>
      <c r="B36" s="333"/>
      <c r="C36" s="333"/>
      <c r="D36" s="333"/>
      <c r="E36" s="333"/>
      <c r="F36" s="333"/>
      <c r="G36" s="333"/>
      <c r="H36" s="333"/>
      <c r="I36" s="333"/>
      <c r="J36" s="333"/>
      <c r="K36" s="333"/>
      <c r="L36" s="333"/>
      <c r="M36" s="334"/>
      <c r="N36" s="336"/>
      <c r="O36" s="336"/>
      <c r="P36" s="336"/>
      <c r="Q36" s="336"/>
      <c r="R36" s="336"/>
      <c r="S36" s="336"/>
      <c r="T36" s="336"/>
      <c r="U36" s="336"/>
      <c r="V36" s="336"/>
      <c r="W36" s="336"/>
      <c r="X36" s="336"/>
      <c r="Y36" s="336"/>
      <c r="Z36" s="336"/>
      <c r="AA36" s="336"/>
      <c r="AB36" s="336"/>
      <c r="AC36" s="337"/>
      <c r="AD36" s="337"/>
      <c r="AE36" s="337"/>
      <c r="AF36" s="337"/>
      <c r="AG36" s="337"/>
      <c r="AH36" s="337"/>
      <c r="AI36" s="337"/>
      <c r="AJ36" s="337"/>
      <c r="AK36" s="337"/>
      <c r="AL36" s="337"/>
      <c r="AM36" s="337"/>
      <c r="AN36" s="337"/>
      <c r="AO36" s="337"/>
      <c r="AP36" s="337"/>
      <c r="AQ36" s="337"/>
      <c r="AR36" s="337"/>
      <c r="AS36" s="337"/>
      <c r="AT36" s="337"/>
      <c r="AU36" s="337"/>
      <c r="AV36" s="335"/>
      <c r="AW36" s="43"/>
      <c r="AX36" s="43"/>
      <c r="AY36" s="43"/>
      <c r="AZ36" s="43"/>
      <c r="BA36" s="43"/>
      <c r="BB36" s="43"/>
      <c r="BC36" s="43"/>
      <c r="BD36" s="43"/>
      <c r="BE36" s="43"/>
      <c r="BF36" s="43"/>
      <c r="BG36" s="43"/>
      <c r="BH36" s="43"/>
    </row>
    <row r="37" spans="1:68" s="359" customFormat="1">
      <c r="A37" s="356"/>
      <c r="B37" s="357"/>
      <c r="C37" s="357"/>
      <c r="D37" s="357"/>
      <c r="E37" s="357"/>
      <c r="F37" s="357"/>
      <c r="G37" s="357"/>
      <c r="H37" s="357"/>
      <c r="I37" s="357"/>
      <c r="J37" s="357"/>
      <c r="K37" s="357"/>
      <c r="L37" s="357">
        <v>2</v>
      </c>
      <c r="M37" s="357">
        <v>2</v>
      </c>
      <c r="N37" s="357">
        <v>4</v>
      </c>
      <c r="O37" s="357">
        <v>4</v>
      </c>
      <c r="P37" s="357">
        <v>4</v>
      </c>
      <c r="Q37" s="357">
        <v>4</v>
      </c>
      <c r="R37" s="357">
        <v>4</v>
      </c>
      <c r="S37" s="357">
        <v>4</v>
      </c>
      <c r="T37" s="357">
        <v>4</v>
      </c>
      <c r="U37" s="357">
        <v>4</v>
      </c>
      <c r="V37" s="357">
        <v>4</v>
      </c>
      <c r="W37" s="357">
        <v>4</v>
      </c>
      <c r="X37" s="357">
        <v>4</v>
      </c>
      <c r="Y37" s="357">
        <v>4</v>
      </c>
      <c r="Z37" s="357">
        <v>4</v>
      </c>
      <c r="AA37" s="357">
        <v>4</v>
      </c>
      <c r="AB37" s="357">
        <v>4</v>
      </c>
      <c r="AC37" s="357">
        <v>3</v>
      </c>
      <c r="AD37" s="357">
        <v>3</v>
      </c>
      <c r="AE37" s="357">
        <v>3</v>
      </c>
      <c r="AF37" s="357">
        <v>3</v>
      </c>
      <c r="AG37" s="357">
        <v>3</v>
      </c>
      <c r="AH37" s="357">
        <v>3</v>
      </c>
      <c r="AI37" s="357">
        <v>3</v>
      </c>
      <c r="AJ37" s="357">
        <v>2</v>
      </c>
      <c r="AK37" s="357">
        <v>2</v>
      </c>
      <c r="AL37" s="357">
        <v>2</v>
      </c>
      <c r="AM37" s="357">
        <v>2</v>
      </c>
      <c r="AN37" s="357">
        <v>2</v>
      </c>
      <c r="AO37" s="357">
        <v>2</v>
      </c>
      <c r="AP37" s="357">
        <v>2</v>
      </c>
      <c r="AQ37" s="357">
        <v>2</v>
      </c>
      <c r="AR37" s="357">
        <v>2</v>
      </c>
      <c r="AS37" s="357">
        <v>2</v>
      </c>
      <c r="AT37" s="357">
        <v>2</v>
      </c>
      <c r="AU37" s="357">
        <v>2</v>
      </c>
      <c r="AV37" s="357">
        <v>4</v>
      </c>
      <c r="AW37" s="357">
        <v>2</v>
      </c>
      <c r="AX37" s="357">
        <v>2</v>
      </c>
      <c r="AY37" s="357">
        <v>2</v>
      </c>
      <c r="AZ37" s="357">
        <v>2</v>
      </c>
      <c r="BA37" s="357">
        <v>2</v>
      </c>
      <c r="BB37" s="357">
        <v>2</v>
      </c>
      <c r="BC37" s="357">
        <v>2</v>
      </c>
      <c r="BD37" s="357">
        <v>2</v>
      </c>
      <c r="BE37" s="357">
        <v>2</v>
      </c>
      <c r="BF37" s="357">
        <v>2</v>
      </c>
      <c r="BG37" s="357">
        <v>1</v>
      </c>
      <c r="BH37" s="357">
        <v>1</v>
      </c>
      <c r="BI37" s="357">
        <v>1</v>
      </c>
      <c r="BJ37" s="357">
        <v>1</v>
      </c>
      <c r="BK37" s="357">
        <v>1</v>
      </c>
      <c r="BL37" s="357">
        <v>1</v>
      </c>
      <c r="BM37" s="357">
        <v>1</v>
      </c>
      <c r="BN37" s="357"/>
      <c r="BO37" s="357"/>
      <c r="BP37" s="357"/>
    </row>
    <row r="38" spans="1:68" ht="16" thickBot="1">
      <c r="A38" s="137" t="s">
        <v>311</v>
      </c>
      <c r="B38" s="172"/>
      <c r="C38" s="172"/>
      <c r="D38" s="172"/>
      <c r="E38" s="172"/>
      <c r="F38" s="172"/>
      <c r="G38" s="172"/>
      <c r="H38" s="172"/>
      <c r="I38" s="172"/>
      <c r="J38" s="172"/>
      <c r="K38" s="172"/>
      <c r="L38" s="172"/>
      <c r="M38" s="172"/>
      <c r="N38" s="172"/>
      <c r="O38" s="172"/>
      <c r="P38" s="172"/>
      <c r="Q38" s="172"/>
      <c r="R38" s="172"/>
      <c r="S38" s="172"/>
      <c r="T38" s="172"/>
      <c r="U38" s="172"/>
      <c r="V38" s="172"/>
      <c r="W38" s="172"/>
      <c r="X38" s="172"/>
      <c r="Y38" s="172"/>
      <c r="Z38" s="172"/>
      <c r="AA38" s="172"/>
      <c r="AB38" s="172"/>
      <c r="AC38" s="172"/>
      <c r="AD38" s="172"/>
      <c r="AE38" s="172"/>
      <c r="AF38" s="172"/>
      <c r="AG38" s="172"/>
      <c r="AH38" s="172"/>
      <c r="AI38" s="172"/>
      <c r="AJ38" s="172"/>
      <c r="AK38" s="172"/>
      <c r="AL38" s="172"/>
      <c r="AM38" s="172"/>
      <c r="AN38" s="172"/>
      <c r="AO38" s="172"/>
      <c r="AP38" s="172"/>
      <c r="AQ38" s="172"/>
      <c r="AR38" s="172"/>
      <c r="AS38" s="172"/>
      <c r="AT38" s="172"/>
      <c r="AU38" s="172"/>
      <c r="AV38" s="172"/>
      <c r="AW38" s="172"/>
      <c r="AX38" s="172"/>
      <c r="AY38" s="172"/>
      <c r="AZ38" s="172"/>
      <c r="BA38" s="172"/>
      <c r="BB38" s="172"/>
      <c r="BC38" s="172"/>
      <c r="BD38" s="172"/>
      <c r="BE38" s="172"/>
      <c r="BF38" s="172"/>
      <c r="BG38" s="172"/>
    </row>
    <row r="39" spans="1:68">
      <c r="A39" s="142" t="s">
        <v>204</v>
      </c>
      <c r="B39" s="143"/>
      <c r="C39" s="143"/>
      <c r="D39" s="143"/>
      <c r="E39" s="143"/>
      <c r="F39" s="143"/>
      <c r="G39" s="143"/>
      <c r="H39" s="143"/>
      <c r="I39" s="143"/>
      <c r="J39" s="143"/>
      <c r="K39" s="143"/>
      <c r="L39" s="336"/>
      <c r="M39" s="336"/>
      <c r="N39" s="336"/>
      <c r="O39" s="336"/>
      <c r="P39" s="336"/>
      <c r="Q39" s="336"/>
      <c r="R39" s="336"/>
      <c r="S39" s="336"/>
      <c r="T39" s="336"/>
      <c r="U39" s="336"/>
      <c r="V39" s="336"/>
      <c r="W39" s="336"/>
      <c r="X39" s="336"/>
      <c r="Y39" s="336"/>
      <c r="Z39" s="336"/>
      <c r="AA39" s="336"/>
      <c r="AB39" s="336"/>
      <c r="AC39" s="336"/>
      <c r="AD39" s="336"/>
      <c r="AE39" s="336"/>
      <c r="AF39" s="336"/>
      <c r="AG39" s="336"/>
      <c r="AH39" s="336"/>
      <c r="AI39" s="336"/>
      <c r="AJ39" s="336"/>
      <c r="AK39" s="336"/>
      <c r="AL39" s="336"/>
      <c r="AM39" s="336"/>
      <c r="AN39" s="336"/>
      <c r="AO39" s="336"/>
      <c r="AP39" s="336"/>
      <c r="AQ39" s="336"/>
      <c r="AR39" s="336"/>
      <c r="AS39" s="336"/>
      <c r="AT39" s="336"/>
      <c r="AU39" s="336"/>
      <c r="AV39" s="336"/>
      <c r="AW39" s="43"/>
      <c r="AX39" s="43"/>
      <c r="AY39" s="43"/>
      <c r="AZ39" s="43"/>
      <c r="BA39" s="43"/>
      <c r="BB39" s="43"/>
      <c r="BC39" s="43"/>
      <c r="BD39" s="43"/>
      <c r="BE39" s="43"/>
      <c r="BF39" s="43"/>
      <c r="BG39" s="43"/>
      <c r="BH39" s="43"/>
      <c r="BI39" s="43"/>
    </row>
    <row r="40" spans="1:68">
      <c r="A40" s="175" t="s">
        <v>225</v>
      </c>
      <c r="B40" s="176"/>
      <c r="C40" s="176"/>
      <c r="D40" s="176"/>
      <c r="E40" s="176"/>
      <c r="F40" s="176"/>
      <c r="G40" s="176"/>
      <c r="H40" s="176"/>
      <c r="I40" s="176"/>
      <c r="J40" s="176"/>
      <c r="K40" s="176"/>
      <c r="L40" s="176"/>
      <c r="M40" s="176"/>
      <c r="N40" s="336"/>
      <c r="O40" s="336"/>
      <c r="P40" s="336"/>
      <c r="Q40" s="336"/>
      <c r="R40" s="336"/>
      <c r="S40" s="336"/>
      <c r="T40" s="336"/>
      <c r="U40" s="336"/>
      <c r="V40" s="336"/>
      <c r="W40" s="336"/>
      <c r="X40" s="336"/>
      <c r="Y40" s="336"/>
      <c r="Z40" s="336"/>
      <c r="AA40" s="336"/>
      <c r="AB40" s="336"/>
      <c r="AC40" s="336"/>
      <c r="AD40" s="336"/>
      <c r="AE40" s="336"/>
      <c r="AF40" s="336"/>
      <c r="AG40" s="336"/>
      <c r="AH40" s="336"/>
      <c r="AI40" s="336"/>
      <c r="AJ40" s="176"/>
      <c r="AK40" s="176"/>
      <c r="AL40" s="176"/>
      <c r="AM40" s="176"/>
      <c r="AN40" s="176"/>
      <c r="AO40" s="176"/>
      <c r="AP40" s="176"/>
      <c r="AQ40" s="176"/>
      <c r="AR40" s="176"/>
      <c r="AS40" s="176"/>
      <c r="AT40" s="176"/>
      <c r="AU40" s="176"/>
      <c r="AV40" s="336"/>
      <c r="AW40" s="336"/>
      <c r="AX40" s="336"/>
      <c r="AY40" s="336"/>
      <c r="AZ40" s="336"/>
      <c r="BA40" s="336"/>
      <c r="BB40" s="336"/>
      <c r="BC40" s="336"/>
      <c r="BD40" s="336"/>
      <c r="BE40" s="336"/>
      <c r="BF40" s="335"/>
      <c r="BG40" s="174"/>
    </row>
    <row r="41" spans="1:68">
      <c r="A41" s="175" t="s">
        <v>230</v>
      </c>
      <c r="B41" s="176"/>
      <c r="C41" s="176"/>
      <c r="D41" s="176"/>
      <c r="E41" s="176"/>
      <c r="F41" s="176"/>
      <c r="G41" s="176"/>
      <c r="H41" s="176"/>
      <c r="I41" s="176"/>
      <c r="J41" s="176"/>
      <c r="K41" s="176"/>
      <c r="L41" s="176"/>
      <c r="M41" s="176"/>
      <c r="N41" s="336"/>
      <c r="O41" s="336"/>
      <c r="P41" s="336"/>
      <c r="Q41" s="336"/>
      <c r="R41" s="336"/>
      <c r="S41" s="336"/>
      <c r="T41" s="336"/>
      <c r="U41" s="336"/>
      <c r="V41" s="336"/>
      <c r="W41" s="336"/>
      <c r="X41" s="336"/>
      <c r="Y41" s="336"/>
      <c r="Z41" s="336"/>
      <c r="AA41" s="336"/>
      <c r="AB41" s="336"/>
      <c r="AC41" s="132"/>
      <c r="AD41" s="132"/>
      <c r="AE41" s="132"/>
      <c r="AF41" s="132"/>
      <c r="AG41" s="132"/>
      <c r="AH41" s="132"/>
      <c r="AI41" s="132"/>
      <c r="AJ41" s="132"/>
      <c r="AK41" s="132"/>
      <c r="AL41" s="132"/>
      <c r="AM41" s="132"/>
      <c r="AN41" s="132"/>
      <c r="AO41" s="132"/>
      <c r="AP41" s="132"/>
      <c r="AQ41" s="132"/>
      <c r="AR41" s="132"/>
      <c r="AS41" s="132"/>
      <c r="AT41" s="132"/>
      <c r="AU41" s="132"/>
      <c r="AV41" s="336"/>
      <c r="AW41" s="336"/>
      <c r="AX41" s="336"/>
      <c r="AY41" s="336"/>
      <c r="AZ41" s="336"/>
      <c r="BA41" s="336"/>
      <c r="BB41" s="336"/>
      <c r="BC41" s="336"/>
      <c r="BD41" s="336"/>
      <c r="BE41" s="336"/>
      <c r="BF41" s="335"/>
      <c r="BG41" s="335"/>
      <c r="BH41" s="335"/>
      <c r="BI41" s="335"/>
      <c r="BJ41" s="335"/>
      <c r="BK41" s="335"/>
      <c r="BL41" s="335"/>
      <c r="BM41" s="335"/>
    </row>
    <row r="42" spans="1:68">
      <c r="A42" s="175" t="s">
        <v>237</v>
      </c>
      <c r="B42" s="176"/>
      <c r="C42" s="176"/>
      <c r="D42" s="176"/>
      <c r="E42" s="176"/>
      <c r="F42" s="176"/>
      <c r="G42" s="176"/>
      <c r="H42" s="176"/>
      <c r="I42" s="176"/>
      <c r="J42" s="176"/>
      <c r="K42" s="86"/>
      <c r="L42" s="182"/>
      <c r="M42" s="182"/>
      <c r="N42" s="182"/>
      <c r="O42" s="182"/>
      <c r="P42" s="182"/>
      <c r="Q42" s="182"/>
      <c r="R42" s="176"/>
      <c r="S42" s="176"/>
      <c r="T42" s="176"/>
      <c r="U42" s="176"/>
      <c r="V42" s="176"/>
      <c r="W42" s="176"/>
      <c r="X42" s="176"/>
      <c r="Y42" s="176"/>
      <c r="Z42" s="176"/>
      <c r="AA42" s="176"/>
      <c r="AB42" s="176"/>
      <c r="AC42" s="176"/>
      <c r="AD42" s="336"/>
      <c r="AE42" s="336"/>
      <c r="AF42" s="336"/>
      <c r="AG42" s="336"/>
      <c r="AH42" s="336"/>
      <c r="AI42" s="336"/>
      <c r="AJ42" s="336"/>
      <c r="AK42" s="336"/>
      <c r="AL42" s="336"/>
      <c r="AM42" s="336"/>
      <c r="AN42" s="336"/>
      <c r="AO42" s="336"/>
      <c r="AP42" s="336"/>
      <c r="AQ42" s="336"/>
      <c r="AR42" s="336"/>
      <c r="AS42" s="336"/>
      <c r="AT42" s="336"/>
      <c r="AU42" s="336"/>
      <c r="AV42" s="336"/>
      <c r="AW42" s="336"/>
      <c r="AX42" s="336"/>
      <c r="AY42" s="336"/>
      <c r="AZ42" s="336"/>
      <c r="BA42" s="336"/>
      <c r="BB42" s="336"/>
      <c r="BC42" s="336"/>
      <c r="BD42" s="336"/>
      <c r="BE42" s="336"/>
      <c r="BF42" s="335"/>
      <c r="BG42" s="335"/>
      <c r="BH42" s="335"/>
      <c r="BI42" s="335"/>
      <c r="BJ42" s="335"/>
      <c r="BK42" s="335"/>
      <c r="BL42" s="335"/>
      <c r="BM42" s="335"/>
    </row>
    <row r="43" spans="1:68">
      <c r="A43" s="175" t="s">
        <v>235</v>
      </c>
      <c r="B43" s="176"/>
      <c r="C43" s="176"/>
      <c r="D43" s="176"/>
      <c r="E43" s="176"/>
      <c r="F43" s="176"/>
      <c r="G43" s="176"/>
      <c r="H43" s="176"/>
      <c r="I43" s="176"/>
      <c r="J43" s="176"/>
      <c r="K43" s="176"/>
      <c r="L43" s="336"/>
      <c r="M43" s="336"/>
      <c r="N43" s="336"/>
      <c r="O43" s="336"/>
      <c r="P43" s="336"/>
      <c r="Q43" s="336"/>
      <c r="R43" s="336"/>
      <c r="S43" s="336"/>
      <c r="T43" s="336"/>
      <c r="U43" s="336"/>
      <c r="V43" s="336"/>
      <c r="W43" s="336"/>
      <c r="X43" s="336"/>
      <c r="Y43" s="336"/>
      <c r="Z43" s="336"/>
      <c r="AA43" s="336"/>
      <c r="AB43" s="336"/>
      <c r="AC43" s="336"/>
      <c r="AD43" s="336"/>
      <c r="AE43" s="336"/>
      <c r="AF43" s="336"/>
      <c r="AG43" s="336"/>
      <c r="AH43" s="336"/>
      <c r="AI43" s="336"/>
      <c r="AJ43" s="176"/>
      <c r="AK43" s="176"/>
      <c r="AL43" s="176"/>
      <c r="AM43" s="176"/>
      <c r="AN43" s="176"/>
      <c r="AO43" s="176"/>
      <c r="AP43" s="176"/>
      <c r="AQ43" s="176"/>
      <c r="AR43" s="176"/>
      <c r="AS43" s="176"/>
      <c r="AT43" s="176"/>
      <c r="AU43" s="176"/>
      <c r="AV43" s="176"/>
      <c r="AW43" s="176"/>
      <c r="AX43" s="176"/>
      <c r="AY43" s="176"/>
      <c r="AZ43" s="176"/>
      <c r="BA43" s="176"/>
      <c r="BB43" s="176"/>
      <c r="BC43" s="43"/>
      <c r="BD43" s="43"/>
      <c r="BE43" s="43"/>
      <c r="BF43" s="43"/>
      <c r="BG43" s="43"/>
      <c r="BH43" s="43"/>
      <c r="BI43" s="43"/>
    </row>
    <row r="46" spans="1:68">
      <c r="A46" s="137" t="s">
        <v>311</v>
      </c>
      <c r="B46" s="172"/>
      <c r="C46" s="172"/>
      <c r="D46" s="172"/>
      <c r="E46" s="172"/>
      <c r="F46" s="172"/>
      <c r="G46" s="172"/>
      <c r="H46" s="172"/>
      <c r="I46" s="172"/>
      <c r="J46" s="172"/>
      <c r="K46" s="172"/>
      <c r="L46" s="172"/>
      <c r="M46" s="172"/>
      <c r="N46" s="172"/>
      <c r="O46" s="172"/>
      <c r="P46" s="172"/>
      <c r="Q46" s="172"/>
      <c r="R46" s="172"/>
      <c r="S46" s="172"/>
      <c r="T46" s="172"/>
      <c r="U46" s="172"/>
      <c r="V46" s="172"/>
      <c r="W46" s="172"/>
      <c r="X46" s="172"/>
      <c r="Y46" s="172"/>
      <c r="Z46" s="172"/>
      <c r="AA46" s="172"/>
      <c r="AB46" s="172"/>
      <c r="AC46" s="172"/>
      <c r="AD46" s="172"/>
      <c r="AE46" s="172"/>
      <c r="AF46" s="172"/>
      <c r="AG46" s="172"/>
      <c r="AH46" s="172"/>
      <c r="AI46" s="172"/>
      <c r="AJ46" s="172"/>
      <c r="AK46" s="172"/>
      <c r="AL46" s="172"/>
      <c r="AM46" s="172"/>
      <c r="AN46" s="172"/>
      <c r="AO46" s="172"/>
      <c r="AP46" s="172"/>
      <c r="AQ46" s="172"/>
      <c r="AR46" s="172"/>
      <c r="AS46" s="172"/>
      <c r="AT46" s="172"/>
      <c r="AU46" s="172"/>
      <c r="AV46" s="172"/>
      <c r="AW46" s="172"/>
      <c r="AX46" s="172"/>
      <c r="AY46" s="172"/>
      <c r="AZ46" s="172"/>
      <c r="BA46" s="172"/>
      <c r="BB46" s="172"/>
      <c r="BC46" s="172"/>
      <c r="BD46" s="172"/>
      <c r="BE46" s="172"/>
      <c r="BF46" s="172"/>
      <c r="BG46" s="172"/>
    </row>
    <row r="47" spans="1:68">
      <c r="A47" s="175" t="s">
        <v>225</v>
      </c>
      <c r="B47" s="176"/>
      <c r="C47" s="176"/>
      <c r="D47" s="176"/>
      <c r="E47" s="176"/>
      <c r="F47" s="176"/>
      <c r="G47" s="176"/>
      <c r="H47" s="176"/>
      <c r="I47" s="176"/>
      <c r="J47" s="176"/>
      <c r="K47" s="176"/>
      <c r="L47" s="176"/>
      <c r="M47" s="176"/>
      <c r="N47" s="336"/>
      <c r="O47" s="336"/>
      <c r="P47" s="336"/>
      <c r="Q47" s="336"/>
      <c r="R47" s="336"/>
      <c r="S47" s="336"/>
      <c r="T47" s="336"/>
      <c r="U47" s="336"/>
      <c r="V47" s="336"/>
      <c r="W47" s="336"/>
      <c r="X47" s="336"/>
      <c r="Y47" s="336"/>
      <c r="Z47" s="336"/>
      <c r="AA47" s="336"/>
      <c r="AB47" s="336"/>
      <c r="AC47" s="336"/>
      <c r="AD47" s="336"/>
      <c r="AE47" s="336"/>
      <c r="AF47" s="336"/>
      <c r="AG47" s="336"/>
      <c r="AH47" s="336"/>
      <c r="AI47" s="336"/>
      <c r="AJ47" s="176"/>
      <c r="AK47" s="176"/>
      <c r="AL47" s="176"/>
      <c r="AM47" s="176"/>
      <c r="AN47" s="176"/>
      <c r="AO47" s="176"/>
      <c r="AP47" s="176"/>
      <c r="AQ47" s="176"/>
      <c r="AR47" s="176"/>
      <c r="AS47" s="176"/>
      <c r="AT47" s="176"/>
      <c r="AU47" s="176"/>
      <c r="AV47" s="336"/>
      <c r="AW47" s="336"/>
      <c r="AX47" s="336"/>
      <c r="AY47" s="336"/>
      <c r="AZ47" s="336"/>
      <c r="BA47" s="336"/>
      <c r="BB47" s="336"/>
      <c r="BC47" s="336"/>
      <c r="BD47" s="336"/>
      <c r="BE47" s="336"/>
      <c r="BF47" s="335"/>
      <c r="BG47" s="174"/>
    </row>
    <row r="48" spans="1:68">
      <c r="A48" s="175" t="s">
        <v>235</v>
      </c>
      <c r="B48" s="176"/>
      <c r="C48" s="176"/>
      <c r="D48" s="176"/>
      <c r="E48" s="176"/>
      <c r="F48" s="176"/>
      <c r="G48" s="176"/>
      <c r="H48" s="176"/>
      <c r="I48" s="176"/>
      <c r="J48" s="176"/>
      <c r="K48" s="176"/>
      <c r="L48" s="336"/>
      <c r="M48" s="336"/>
      <c r="N48" s="336"/>
      <c r="O48" s="336"/>
      <c r="P48" s="336"/>
      <c r="Q48" s="336"/>
      <c r="R48" s="336"/>
      <c r="S48" s="336"/>
      <c r="T48" s="336"/>
      <c r="U48" s="336"/>
      <c r="V48" s="336"/>
      <c r="W48" s="336"/>
      <c r="X48" s="336"/>
      <c r="Y48" s="336"/>
      <c r="Z48" s="336"/>
      <c r="AA48" s="336"/>
      <c r="AB48" s="336"/>
      <c r="AC48" s="336"/>
      <c r="AD48" s="336"/>
      <c r="AE48" s="336"/>
      <c r="AF48" s="336"/>
      <c r="AG48" s="336"/>
      <c r="AH48" s="336"/>
      <c r="AI48" s="336"/>
      <c r="AJ48" s="176"/>
      <c r="AK48" s="176"/>
      <c r="AL48" s="176"/>
      <c r="AM48" s="176"/>
      <c r="AN48" s="176"/>
      <c r="AO48" s="176"/>
      <c r="AP48" s="176"/>
      <c r="AQ48" s="176"/>
      <c r="AR48" s="176"/>
      <c r="AS48" s="176"/>
      <c r="AT48" s="176"/>
      <c r="AU48" s="176"/>
      <c r="AV48" s="176"/>
      <c r="AW48" s="176"/>
      <c r="AX48" s="176"/>
      <c r="AY48" s="176"/>
      <c r="AZ48" s="176"/>
      <c r="BA48" s="176"/>
      <c r="BB48" s="176"/>
      <c r="BC48" s="43"/>
      <c r="BD48" s="43"/>
      <c r="BE48" s="43"/>
      <c r="BF48" s="43"/>
      <c r="BG48" s="43"/>
      <c r="BH48" s="43"/>
      <c r="BI48" s="43"/>
    </row>
    <row r="49" spans="1:67">
      <c r="A49" s="175" t="s">
        <v>235</v>
      </c>
      <c r="B49" s="182"/>
      <c r="C49" s="182"/>
      <c r="D49" s="182"/>
      <c r="E49" s="182"/>
      <c r="F49" s="182"/>
      <c r="G49" s="182"/>
      <c r="H49" s="182"/>
      <c r="I49" s="182"/>
      <c r="J49" s="182"/>
      <c r="K49" s="182"/>
      <c r="L49" s="336"/>
      <c r="M49" s="336"/>
      <c r="N49" s="336"/>
      <c r="O49" s="336"/>
      <c r="P49" s="336"/>
      <c r="Q49" s="336"/>
      <c r="R49" s="336"/>
      <c r="S49" s="336"/>
      <c r="T49" s="336"/>
      <c r="U49" s="336"/>
      <c r="V49" s="336"/>
      <c r="W49" s="336"/>
      <c r="X49" s="336"/>
      <c r="Y49" s="336"/>
      <c r="Z49" s="336"/>
      <c r="AA49" s="336"/>
      <c r="AB49" s="336"/>
      <c r="AC49" s="336"/>
      <c r="AD49" s="336"/>
      <c r="AE49" s="336"/>
      <c r="AF49" s="336"/>
      <c r="AG49" s="336"/>
      <c r="AH49" s="336"/>
      <c r="AI49" s="336"/>
      <c r="AJ49" s="176"/>
      <c r="AK49" s="176"/>
      <c r="AL49" s="176"/>
      <c r="AM49" s="176"/>
      <c r="AN49" s="176"/>
      <c r="AO49" s="176"/>
      <c r="AP49" s="176"/>
      <c r="AQ49" s="176"/>
      <c r="AR49" s="176"/>
      <c r="AS49" s="176"/>
      <c r="AT49" s="176"/>
      <c r="AU49" s="176"/>
      <c r="AV49" s="176"/>
      <c r="AW49" s="176"/>
      <c r="AX49" s="176"/>
      <c r="AY49" s="176"/>
      <c r="AZ49" s="176"/>
      <c r="BA49" s="176"/>
      <c r="BB49" s="176"/>
      <c r="BC49" s="43"/>
      <c r="BD49" s="43"/>
      <c r="BE49" s="43"/>
      <c r="BF49" s="43"/>
      <c r="BG49" s="43"/>
      <c r="BH49" s="43"/>
      <c r="BI49" s="43"/>
    </row>
    <row r="50" spans="1:67">
      <c r="A50" s="347" t="s">
        <v>253</v>
      </c>
      <c r="B50" s="346"/>
      <c r="C50" s="346"/>
      <c r="D50" s="346"/>
      <c r="E50" s="346"/>
      <c r="F50" s="346"/>
      <c r="G50" s="346"/>
      <c r="H50" s="346"/>
      <c r="I50" s="346"/>
      <c r="J50" s="346"/>
      <c r="K50" s="346"/>
      <c r="L50" s="336"/>
      <c r="M50" s="336"/>
      <c r="N50" s="336"/>
      <c r="O50" s="336"/>
      <c r="P50" s="336"/>
      <c r="Q50" s="336"/>
      <c r="R50" s="336"/>
      <c r="S50" s="336"/>
      <c r="T50" s="336"/>
      <c r="U50" s="336"/>
      <c r="V50" s="336"/>
      <c r="W50" s="336"/>
      <c r="X50" s="336"/>
      <c r="Y50" s="336"/>
      <c r="Z50" s="336"/>
      <c r="AA50" s="336"/>
      <c r="AB50" s="336"/>
      <c r="AC50" s="336"/>
      <c r="AD50" s="336"/>
      <c r="AE50" s="336"/>
      <c r="AF50" s="336"/>
      <c r="AG50" s="336"/>
      <c r="AH50" s="336"/>
      <c r="AI50" s="336"/>
      <c r="AJ50" s="336"/>
      <c r="AK50" s="336"/>
      <c r="AL50" s="336"/>
      <c r="AM50" s="336"/>
      <c r="AN50" s="336"/>
      <c r="AO50" s="336"/>
      <c r="AP50" s="336"/>
      <c r="AQ50" s="336"/>
      <c r="AR50" s="336"/>
      <c r="AS50" s="336"/>
      <c r="AT50" s="336"/>
      <c r="AU50" s="336"/>
      <c r="AV50" s="336"/>
      <c r="AW50" s="43"/>
      <c r="AX50" s="43"/>
      <c r="AY50" s="43"/>
      <c r="AZ50" s="43"/>
      <c r="BA50" s="43"/>
      <c r="BB50" s="43"/>
      <c r="BC50" s="43"/>
      <c r="BD50" s="43"/>
      <c r="BE50" s="43"/>
      <c r="BF50" s="43"/>
      <c r="BG50" s="43"/>
      <c r="BH50" s="43"/>
      <c r="BI50" s="43"/>
    </row>
    <row r="51" spans="1:67">
      <c r="A51" s="347" t="s">
        <v>255</v>
      </c>
      <c r="B51" s="348"/>
      <c r="C51" s="348"/>
      <c r="D51" s="348"/>
      <c r="E51" s="348"/>
      <c r="F51" s="348"/>
      <c r="G51" s="348"/>
      <c r="H51" s="355"/>
      <c r="I51" s="355"/>
      <c r="J51" s="355"/>
      <c r="K51" s="355"/>
      <c r="L51" s="355"/>
      <c r="M51" s="355"/>
      <c r="N51" s="355"/>
      <c r="O51" s="355"/>
      <c r="P51" s="355"/>
      <c r="Q51" s="355"/>
      <c r="R51" s="355"/>
      <c r="S51" s="355"/>
      <c r="T51" s="355"/>
      <c r="U51" s="355"/>
      <c r="V51" s="355"/>
      <c r="W51" s="355"/>
      <c r="X51" s="355"/>
      <c r="Y51" s="355"/>
      <c r="Z51" s="336"/>
      <c r="AA51" s="336"/>
      <c r="AB51" s="336"/>
      <c r="AC51" s="336"/>
      <c r="AD51" s="336"/>
      <c r="AE51" s="336"/>
      <c r="AF51" s="336"/>
      <c r="AG51" s="336"/>
      <c r="AH51" s="336"/>
      <c r="AI51" s="336"/>
      <c r="AJ51" s="336"/>
      <c r="AK51" s="336"/>
      <c r="AL51" s="336"/>
      <c r="AM51" s="336"/>
      <c r="AN51" s="336"/>
      <c r="AO51" s="336"/>
      <c r="AP51" s="336"/>
      <c r="AQ51" s="336"/>
      <c r="AR51" s="336"/>
      <c r="AS51" s="336"/>
      <c r="AT51" s="336"/>
      <c r="AU51" s="336"/>
      <c r="AV51" s="336"/>
      <c r="AW51" s="336"/>
      <c r="AX51" s="336"/>
      <c r="AY51" s="336"/>
      <c r="AZ51" s="336"/>
      <c r="BA51" s="336"/>
      <c r="BB51" s="336"/>
      <c r="BC51" s="336"/>
      <c r="BD51" s="336"/>
      <c r="BE51" s="336"/>
      <c r="BF51" s="336"/>
      <c r="BG51" s="132"/>
    </row>
    <row r="52" spans="1:67">
      <c r="A52" s="175" t="s">
        <v>237</v>
      </c>
      <c r="B52" s="176"/>
      <c r="C52" s="176"/>
      <c r="D52" s="176"/>
      <c r="E52" s="176"/>
      <c r="F52" s="176"/>
      <c r="G52" s="176"/>
      <c r="H52" s="176"/>
      <c r="I52" s="176"/>
      <c r="J52" s="176"/>
      <c r="K52" s="86"/>
      <c r="L52" s="182"/>
      <c r="M52" s="182"/>
      <c r="N52" s="182"/>
      <c r="O52" s="182"/>
      <c r="P52" s="182"/>
      <c r="Q52" s="182"/>
      <c r="R52" s="176"/>
      <c r="S52" s="176"/>
      <c r="T52" s="176"/>
      <c r="U52" s="176"/>
      <c r="V52" s="176"/>
      <c r="W52" s="176"/>
      <c r="X52" s="176"/>
      <c r="Y52" s="176"/>
      <c r="Z52" s="176"/>
      <c r="AA52" s="176"/>
      <c r="AB52" s="176"/>
      <c r="AC52" s="176"/>
      <c r="AD52" s="336"/>
      <c r="AE52" s="336"/>
      <c r="AF52" s="336"/>
      <c r="AG52" s="336"/>
      <c r="AH52" s="336"/>
      <c r="AI52" s="336"/>
      <c r="AJ52" s="336"/>
      <c r="AK52" s="336"/>
      <c r="AL52" s="336"/>
      <c r="AM52" s="336"/>
      <c r="AN52" s="336"/>
      <c r="AO52" s="336"/>
      <c r="AP52" s="336"/>
      <c r="AQ52" s="336"/>
      <c r="AR52" s="336"/>
      <c r="AS52" s="336"/>
      <c r="AT52" s="336"/>
      <c r="AU52" s="336"/>
      <c r="AV52" s="336"/>
      <c r="AW52" s="336"/>
      <c r="AX52" s="336"/>
      <c r="AY52" s="336"/>
      <c r="AZ52" s="336"/>
      <c r="BA52" s="336"/>
      <c r="BB52" s="336"/>
      <c r="BC52" s="336"/>
      <c r="BD52" s="336"/>
      <c r="BE52" s="336"/>
      <c r="BF52" s="335"/>
      <c r="BG52" s="335"/>
      <c r="BH52" s="335"/>
      <c r="BI52" s="335"/>
      <c r="BJ52" s="335"/>
      <c r="BK52" s="335"/>
      <c r="BL52" s="335"/>
      <c r="BM52" s="335"/>
    </row>
    <row r="53" spans="1:67">
      <c r="L53" s="131">
        <v>3</v>
      </c>
      <c r="M53" s="131">
        <v>3</v>
      </c>
      <c r="N53" s="131">
        <v>4</v>
      </c>
      <c r="O53" s="131">
        <v>4</v>
      </c>
      <c r="P53" s="131">
        <v>4</v>
      </c>
      <c r="Q53" s="131">
        <v>4</v>
      </c>
      <c r="R53" s="131">
        <v>4</v>
      </c>
      <c r="S53" s="131">
        <v>4</v>
      </c>
      <c r="T53" s="131">
        <v>4</v>
      </c>
      <c r="U53" s="131">
        <v>4</v>
      </c>
      <c r="V53" s="131">
        <v>4</v>
      </c>
      <c r="W53" s="131">
        <v>4</v>
      </c>
      <c r="X53" s="131">
        <v>4</v>
      </c>
      <c r="Y53" s="131">
        <v>4</v>
      </c>
      <c r="Z53" s="131">
        <v>5</v>
      </c>
      <c r="AA53" s="131">
        <v>5</v>
      </c>
      <c r="AB53" s="131">
        <v>5</v>
      </c>
      <c r="AC53" s="131">
        <v>5</v>
      </c>
      <c r="AD53" s="131">
        <v>6</v>
      </c>
      <c r="AE53" s="131">
        <v>6</v>
      </c>
      <c r="AF53" s="131">
        <v>6</v>
      </c>
      <c r="AG53" s="131">
        <v>6</v>
      </c>
      <c r="AH53" s="131">
        <v>6</v>
      </c>
      <c r="AI53" s="131">
        <v>6</v>
      </c>
      <c r="AJ53" s="131">
        <v>3</v>
      </c>
      <c r="AK53" s="131">
        <v>3</v>
      </c>
      <c r="AL53" s="131">
        <v>3</v>
      </c>
      <c r="AM53" s="131">
        <v>3</v>
      </c>
      <c r="AN53" s="131">
        <v>3</v>
      </c>
      <c r="AO53" s="131">
        <v>3</v>
      </c>
      <c r="AP53" s="131">
        <v>3</v>
      </c>
      <c r="AQ53" s="131">
        <v>3</v>
      </c>
      <c r="AR53" s="131">
        <v>3</v>
      </c>
      <c r="AS53" s="131">
        <v>3</v>
      </c>
      <c r="AT53" s="131">
        <v>3</v>
      </c>
      <c r="AU53" s="131">
        <v>3</v>
      </c>
      <c r="AV53" s="131">
        <v>4</v>
      </c>
      <c r="AW53" s="131">
        <v>3</v>
      </c>
      <c r="AX53" s="131">
        <v>3</v>
      </c>
      <c r="AY53" s="131">
        <v>3</v>
      </c>
      <c r="AZ53" s="131">
        <v>3</v>
      </c>
      <c r="BA53" s="131">
        <v>3</v>
      </c>
      <c r="BB53" s="131">
        <v>3</v>
      </c>
      <c r="BC53" s="131">
        <v>3</v>
      </c>
      <c r="BD53" s="131">
        <v>3</v>
      </c>
      <c r="BE53" s="131">
        <v>3</v>
      </c>
      <c r="BF53" s="131">
        <v>3</v>
      </c>
      <c r="BG53" s="131">
        <v>1</v>
      </c>
      <c r="BH53" s="131">
        <v>1</v>
      </c>
      <c r="BI53" s="131">
        <v>1</v>
      </c>
      <c r="BJ53" s="131">
        <v>1</v>
      </c>
      <c r="BK53" s="131">
        <v>1</v>
      </c>
      <c r="BL53" s="131">
        <v>1</v>
      </c>
      <c r="BM53" s="131">
        <v>1</v>
      </c>
    </row>
    <row r="54" spans="1:67">
      <c r="L54" s="131">
        <f>L53-L37</f>
        <v>1</v>
      </c>
      <c r="M54" s="131">
        <f t="shared" ref="M54:BM54" si="0">M53-M37</f>
        <v>1</v>
      </c>
      <c r="N54" s="131">
        <f t="shared" si="0"/>
        <v>0</v>
      </c>
      <c r="O54" s="131">
        <f t="shared" si="0"/>
        <v>0</v>
      </c>
      <c r="P54" s="131">
        <f t="shared" si="0"/>
        <v>0</v>
      </c>
      <c r="Q54" s="131">
        <f t="shared" si="0"/>
        <v>0</v>
      </c>
      <c r="R54" s="131">
        <f t="shared" si="0"/>
        <v>0</v>
      </c>
      <c r="S54" s="131">
        <f t="shared" si="0"/>
        <v>0</v>
      </c>
      <c r="T54" s="131">
        <f t="shared" si="0"/>
        <v>0</v>
      </c>
      <c r="U54" s="131">
        <f t="shared" si="0"/>
        <v>0</v>
      </c>
      <c r="V54" s="131">
        <f t="shared" si="0"/>
        <v>0</v>
      </c>
      <c r="W54" s="131">
        <f t="shared" si="0"/>
        <v>0</v>
      </c>
      <c r="X54" s="131">
        <f t="shared" si="0"/>
        <v>0</v>
      </c>
      <c r="Y54" s="131">
        <f t="shared" si="0"/>
        <v>0</v>
      </c>
      <c r="Z54" s="131">
        <f t="shared" si="0"/>
        <v>1</v>
      </c>
      <c r="AA54" s="131">
        <f t="shared" si="0"/>
        <v>1</v>
      </c>
      <c r="AB54" s="131">
        <f t="shared" si="0"/>
        <v>1</v>
      </c>
      <c r="AC54" s="131">
        <f t="shared" si="0"/>
        <v>2</v>
      </c>
      <c r="AD54" s="131">
        <f t="shared" si="0"/>
        <v>3</v>
      </c>
      <c r="AE54" s="131">
        <f t="shared" si="0"/>
        <v>3</v>
      </c>
      <c r="AF54" s="131">
        <f t="shared" si="0"/>
        <v>3</v>
      </c>
      <c r="AG54" s="131">
        <f t="shared" si="0"/>
        <v>3</v>
      </c>
      <c r="AH54" s="131">
        <f t="shared" si="0"/>
        <v>3</v>
      </c>
      <c r="AI54" s="131">
        <f t="shared" si="0"/>
        <v>3</v>
      </c>
      <c r="AJ54" s="131">
        <f t="shared" si="0"/>
        <v>1</v>
      </c>
      <c r="AK54" s="131">
        <f t="shared" si="0"/>
        <v>1</v>
      </c>
      <c r="AL54" s="131">
        <f t="shared" si="0"/>
        <v>1</v>
      </c>
      <c r="AM54" s="131">
        <f t="shared" si="0"/>
        <v>1</v>
      </c>
      <c r="AN54" s="131">
        <f t="shared" si="0"/>
        <v>1</v>
      </c>
      <c r="AO54" s="131">
        <f t="shared" si="0"/>
        <v>1</v>
      </c>
      <c r="AP54" s="131">
        <f t="shared" si="0"/>
        <v>1</v>
      </c>
      <c r="AQ54" s="131">
        <f t="shared" si="0"/>
        <v>1</v>
      </c>
      <c r="AR54" s="131">
        <f t="shared" si="0"/>
        <v>1</v>
      </c>
      <c r="AS54" s="131">
        <f t="shared" si="0"/>
        <v>1</v>
      </c>
      <c r="AT54" s="131">
        <f t="shared" si="0"/>
        <v>1</v>
      </c>
      <c r="AU54" s="131">
        <f t="shared" si="0"/>
        <v>1</v>
      </c>
      <c r="AV54" s="131">
        <f t="shared" si="0"/>
        <v>0</v>
      </c>
      <c r="AW54" s="131">
        <f t="shared" si="0"/>
        <v>1</v>
      </c>
      <c r="AX54" s="131">
        <f t="shared" si="0"/>
        <v>1</v>
      </c>
      <c r="AY54" s="131">
        <f t="shared" si="0"/>
        <v>1</v>
      </c>
      <c r="AZ54" s="131">
        <f t="shared" si="0"/>
        <v>1</v>
      </c>
      <c r="BA54" s="131">
        <f t="shared" si="0"/>
        <v>1</v>
      </c>
      <c r="BB54" s="131">
        <f t="shared" si="0"/>
        <v>1</v>
      </c>
      <c r="BC54" s="131">
        <f t="shared" si="0"/>
        <v>1</v>
      </c>
      <c r="BD54" s="131">
        <f t="shared" si="0"/>
        <v>1</v>
      </c>
      <c r="BE54" s="131">
        <f t="shared" si="0"/>
        <v>1</v>
      </c>
      <c r="BF54" s="131">
        <f t="shared" si="0"/>
        <v>1</v>
      </c>
      <c r="BG54" s="131">
        <f t="shared" si="0"/>
        <v>0</v>
      </c>
      <c r="BH54" s="131">
        <f t="shared" si="0"/>
        <v>0</v>
      </c>
      <c r="BI54" s="131">
        <f t="shared" si="0"/>
        <v>0</v>
      </c>
      <c r="BJ54" s="131">
        <f t="shared" si="0"/>
        <v>0</v>
      </c>
      <c r="BK54" s="131">
        <f t="shared" si="0"/>
        <v>0</v>
      </c>
      <c r="BL54" s="131">
        <f t="shared" si="0"/>
        <v>0</v>
      </c>
      <c r="BM54" s="131">
        <f t="shared" si="0"/>
        <v>0</v>
      </c>
    </row>
    <row r="56" spans="1:67">
      <c r="B56" s="133">
        <v>0</v>
      </c>
      <c r="C56" s="133">
        <v>1</v>
      </c>
      <c r="D56" s="133">
        <v>2</v>
      </c>
      <c r="E56" s="133">
        <v>3</v>
      </c>
      <c r="F56" s="133">
        <v>4</v>
      </c>
      <c r="G56" s="133">
        <v>5</v>
      </c>
      <c r="H56" s="134">
        <v>6</v>
      </c>
      <c r="I56" s="135"/>
      <c r="J56" s="135"/>
      <c r="K56" s="136"/>
      <c r="L56" s="134">
        <v>7</v>
      </c>
      <c r="M56" s="135"/>
      <c r="N56" s="135"/>
      <c r="O56" s="136"/>
      <c r="P56" s="134">
        <v>8</v>
      </c>
      <c r="Q56" s="135"/>
      <c r="R56" s="135"/>
      <c r="S56" s="136"/>
      <c r="T56" s="134">
        <v>9</v>
      </c>
      <c r="U56" s="135"/>
      <c r="V56" s="135"/>
      <c r="W56" s="136"/>
      <c r="X56" s="134">
        <v>10</v>
      </c>
      <c r="Y56" s="135"/>
      <c r="Z56" s="135"/>
      <c r="AA56" s="136"/>
      <c r="AB56" s="134">
        <v>11</v>
      </c>
      <c r="AC56" s="135"/>
      <c r="AD56" s="135"/>
      <c r="AE56" s="136"/>
      <c r="AF56" s="134">
        <v>12</v>
      </c>
      <c r="AG56" s="135"/>
      <c r="AH56" s="135"/>
      <c r="AI56" s="136"/>
      <c r="AJ56" s="134">
        <v>13</v>
      </c>
      <c r="AK56" s="135"/>
      <c r="AL56" s="135"/>
      <c r="AM56" s="136"/>
      <c r="AN56" s="134">
        <v>14</v>
      </c>
      <c r="AO56" s="135"/>
      <c r="AP56" s="135"/>
      <c r="AQ56" s="136"/>
      <c r="AR56" s="134">
        <v>15</v>
      </c>
      <c r="AS56" s="135"/>
      <c r="AT56" s="135"/>
      <c r="AU56" s="136"/>
      <c r="AV56" s="134">
        <v>16</v>
      </c>
      <c r="AW56" s="135"/>
      <c r="AX56" s="135"/>
      <c r="AY56" s="136"/>
      <c r="AZ56" s="134">
        <v>17</v>
      </c>
      <c r="BA56" s="135"/>
      <c r="BB56" s="135"/>
      <c r="BC56" s="136"/>
      <c r="BD56" s="134">
        <v>18</v>
      </c>
      <c r="BE56" s="135"/>
      <c r="BF56" s="135"/>
      <c r="BG56" s="136"/>
      <c r="BH56" s="134">
        <v>19</v>
      </c>
      <c r="BI56" s="135"/>
      <c r="BJ56" s="135"/>
      <c r="BK56" s="136"/>
      <c r="BL56" s="134">
        <v>20</v>
      </c>
      <c r="BM56" s="135"/>
      <c r="BN56" s="135"/>
      <c r="BO56" s="136"/>
    </row>
    <row r="57" spans="1:67" ht="16" thickBot="1">
      <c r="A57" s="137" t="s">
        <v>310</v>
      </c>
      <c r="B57" s="138"/>
      <c r="C57" s="138"/>
      <c r="D57" s="138"/>
      <c r="E57" s="138"/>
      <c r="F57" s="138"/>
      <c r="G57" s="138"/>
      <c r="H57" s="139">
        <v>0</v>
      </c>
      <c r="I57" s="140">
        <v>15</v>
      </c>
      <c r="J57" s="140">
        <v>30</v>
      </c>
      <c r="K57" s="141">
        <v>45</v>
      </c>
      <c r="L57" s="139">
        <v>0</v>
      </c>
      <c r="M57" s="140">
        <v>15</v>
      </c>
      <c r="N57" s="140">
        <v>30</v>
      </c>
      <c r="O57" s="141">
        <v>45</v>
      </c>
      <c r="P57" s="139">
        <v>0</v>
      </c>
      <c r="Q57" s="140">
        <v>15</v>
      </c>
      <c r="R57" s="140">
        <v>30</v>
      </c>
      <c r="S57" s="141">
        <v>45</v>
      </c>
      <c r="T57" s="139">
        <v>0</v>
      </c>
      <c r="U57" s="140">
        <v>15</v>
      </c>
      <c r="V57" s="140">
        <v>30</v>
      </c>
      <c r="W57" s="141">
        <v>45</v>
      </c>
      <c r="X57" s="139">
        <v>0</v>
      </c>
      <c r="Y57" s="140">
        <v>15</v>
      </c>
      <c r="Z57" s="140">
        <v>30</v>
      </c>
      <c r="AA57" s="141">
        <v>45</v>
      </c>
      <c r="AB57" s="139">
        <v>0</v>
      </c>
      <c r="AC57" s="140">
        <v>15</v>
      </c>
      <c r="AD57" s="140">
        <v>30</v>
      </c>
      <c r="AE57" s="141">
        <v>45</v>
      </c>
      <c r="AF57" s="139">
        <v>0</v>
      </c>
      <c r="AG57" s="140">
        <v>15</v>
      </c>
      <c r="AH57" s="140">
        <v>30</v>
      </c>
      <c r="AI57" s="141">
        <v>45</v>
      </c>
      <c r="AJ57" s="139">
        <v>0</v>
      </c>
      <c r="AK57" s="140">
        <v>15</v>
      </c>
      <c r="AL57" s="140">
        <v>30</v>
      </c>
      <c r="AM57" s="141">
        <v>45</v>
      </c>
      <c r="AN57" s="139">
        <v>0</v>
      </c>
      <c r="AO57" s="140">
        <v>15</v>
      </c>
      <c r="AP57" s="140">
        <v>30</v>
      </c>
      <c r="AQ57" s="141">
        <v>45</v>
      </c>
      <c r="AR57" s="139">
        <v>0</v>
      </c>
      <c r="AS57" s="140">
        <v>15</v>
      </c>
      <c r="AT57" s="140">
        <v>30</v>
      </c>
      <c r="AU57" s="141">
        <v>45</v>
      </c>
      <c r="AV57" s="139">
        <v>0</v>
      </c>
      <c r="AW57" s="140">
        <v>15</v>
      </c>
      <c r="AX57" s="140">
        <v>30</v>
      </c>
      <c r="AY57" s="141">
        <v>45</v>
      </c>
      <c r="AZ57" s="139">
        <v>0</v>
      </c>
      <c r="BA57" s="140">
        <v>15</v>
      </c>
      <c r="BB57" s="140">
        <v>30</v>
      </c>
      <c r="BC57" s="141">
        <v>45</v>
      </c>
      <c r="BD57" s="139">
        <v>0</v>
      </c>
      <c r="BE57" s="140">
        <v>15</v>
      </c>
      <c r="BF57" s="140">
        <v>30</v>
      </c>
      <c r="BG57" s="141">
        <v>45</v>
      </c>
      <c r="BH57" s="139">
        <v>0</v>
      </c>
      <c r="BI57" s="140">
        <v>15</v>
      </c>
      <c r="BJ57" s="140">
        <v>30</v>
      </c>
      <c r="BK57" s="141">
        <v>45</v>
      </c>
      <c r="BL57" s="139">
        <v>0</v>
      </c>
      <c r="BM57" s="140">
        <v>15</v>
      </c>
      <c r="BN57" s="140">
        <v>30</v>
      </c>
      <c r="BO57" s="141">
        <v>45</v>
      </c>
    </row>
    <row r="58" spans="1:67">
      <c r="A58" s="142"/>
      <c r="B58" s="333"/>
      <c r="C58" s="333"/>
      <c r="D58" s="333"/>
      <c r="E58" s="333"/>
      <c r="F58" s="333"/>
      <c r="G58" s="333"/>
      <c r="H58" s="342"/>
      <c r="I58" s="342"/>
      <c r="J58" s="342"/>
      <c r="K58" s="342"/>
      <c r="L58" s="341"/>
      <c r="M58" s="341"/>
      <c r="N58" s="341"/>
      <c r="O58" s="341"/>
      <c r="P58" s="341"/>
      <c r="Q58" s="341"/>
      <c r="R58" s="341"/>
      <c r="S58" s="341"/>
      <c r="T58" s="341"/>
      <c r="U58" s="341"/>
      <c r="V58" s="341"/>
      <c r="W58" s="341"/>
      <c r="X58" s="341"/>
      <c r="Y58" s="341"/>
      <c r="Z58" s="341"/>
      <c r="AA58" s="341"/>
      <c r="AB58" s="341"/>
      <c r="AC58" s="341"/>
      <c r="AD58" s="341"/>
      <c r="AE58" s="341"/>
      <c r="AF58" s="341"/>
      <c r="AG58" s="341"/>
      <c r="AH58" s="341"/>
      <c r="AI58" s="341"/>
      <c r="AJ58" s="341"/>
      <c r="AK58" s="341"/>
      <c r="AL58" s="341"/>
      <c r="AM58" s="341"/>
      <c r="AN58" s="341"/>
      <c r="AO58" s="341"/>
      <c r="AP58" s="341"/>
      <c r="AQ58" s="341"/>
      <c r="AR58" s="341"/>
      <c r="AS58" s="341"/>
      <c r="AT58" s="341"/>
      <c r="AU58" s="341"/>
      <c r="AV58" s="341"/>
      <c r="AW58" s="341"/>
      <c r="AX58" s="342"/>
      <c r="AY58" s="342"/>
      <c r="AZ58" s="342"/>
      <c r="BA58" s="342"/>
      <c r="BB58" s="342"/>
      <c r="BC58" s="342"/>
      <c r="BD58" s="342"/>
      <c r="BE58" s="342"/>
      <c r="BF58" s="343"/>
      <c r="BG58" s="343"/>
      <c r="BH58" s="344"/>
      <c r="BI58" s="344"/>
      <c r="BJ58" s="344"/>
      <c r="BK58" s="344"/>
      <c r="BL58" s="344"/>
      <c r="BM58" s="344"/>
      <c r="BN58" s="345"/>
      <c r="BO58" s="345"/>
    </row>
    <row r="62" spans="1:67">
      <c r="B62" s="350">
        <v>0</v>
      </c>
      <c r="C62" s="350">
        <v>1</v>
      </c>
      <c r="D62" s="350">
        <v>2</v>
      </c>
      <c r="E62" s="350">
        <v>3</v>
      </c>
      <c r="F62" s="350">
        <v>4</v>
      </c>
      <c r="G62" s="350">
        <v>5</v>
      </c>
      <c r="H62" s="351">
        <v>6</v>
      </c>
      <c r="I62" s="352"/>
      <c r="J62" s="352"/>
      <c r="K62" s="353"/>
      <c r="L62" s="351">
        <v>7</v>
      </c>
      <c r="M62" s="352"/>
      <c r="N62" s="352"/>
      <c r="O62" s="353"/>
      <c r="P62" s="351">
        <v>8</v>
      </c>
      <c r="Q62" s="352"/>
      <c r="R62" s="352"/>
      <c r="S62" s="353"/>
      <c r="T62" s="351">
        <v>9</v>
      </c>
      <c r="U62" s="352"/>
      <c r="V62" s="352"/>
      <c r="W62" s="353"/>
      <c r="X62" s="351">
        <v>10</v>
      </c>
      <c r="Y62" s="352"/>
      <c r="Z62" s="352"/>
      <c r="AA62" s="353"/>
      <c r="AB62" s="351">
        <v>11</v>
      </c>
      <c r="AC62" s="352"/>
      <c r="AD62" s="352"/>
      <c r="AE62" s="353"/>
      <c r="AF62" s="351">
        <v>12</v>
      </c>
      <c r="AG62" s="352"/>
      <c r="AH62" s="352"/>
      <c r="AI62" s="353"/>
      <c r="AJ62" s="351">
        <v>13</v>
      </c>
      <c r="AK62" s="352"/>
      <c r="AL62" s="352"/>
      <c r="AM62" s="353"/>
      <c r="AN62" s="351">
        <v>14</v>
      </c>
      <c r="AO62" s="352"/>
      <c r="AP62" s="352"/>
      <c r="AQ62" s="353"/>
      <c r="AR62" s="351">
        <v>15</v>
      </c>
      <c r="AS62" s="352"/>
      <c r="AT62" s="352"/>
      <c r="AU62" s="353"/>
      <c r="AV62" s="351">
        <v>16</v>
      </c>
      <c r="AW62" s="352"/>
      <c r="AX62" s="352"/>
      <c r="AY62" s="353"/>
      <c r="AZ62" s="351">
        <v>17</v>
      </c>
      <c r="BA62" s="352"/>
      <c r="BB62" s="352"/>
      <c r="BC62" s="353"/>
      <c r="BD62" s="351">
        <v>18</v>
      </c>
      <c r="BE62" s="352"/>
      <c r="BF62" s="352"/>
      <c r="BG62" s="353"/>
      <c r="BH62" s="351">
        <v>19</v>
      </c>
      <c r="BI62" s="352"/>
      <c r="BJ62" s="352"/>
      <c r="BK62" s="353"/>
      <c r="BL62" s="351">
        <v>20</v>
      </c>
      <c r="BM62" s="352"/>
      <c r="BN62" s="352"/>
      <c r="BO62" s="353"/>
    </row>
    <row r="63" spans="1:67">
      <c r="A63" s="354" t="s">
        <v>311</v>
      </c>
      <c r="B63" s="348"/>
      <c r="C63" s="348"/>
      <c r="D63" s="348"/>
      <c r="E63" s="348"/>
      <c r="F63" s="348"/>
      <c r="G63" s="348"/>
      <c r="H63" s="355">
        <v>0</v>
      </c>
      <c r="I63" s="355">
        <v>15</v>
      </c>
      <c r="J63" s="355">
        <v>30</v>
      </c>
      <c r="K63" s="355">
        <v>45</v>
      </c>
      <c r="L63" s="355">
        <v>0</v>
      </c>
      <c r="M63" s="355">
        <v>15</v>
      </c>
      <c r="N63" s="355">
        <v>30</v>
      </c>
      <c r="O63" s="355">
        <v>45</v>
      </c>
      <c r="P63" s="355">
        <v>0</v>
      </c>
      <c r="Q63" s="355">
        <v>15</v>
      </c>
      <c r="R63" s="355">
        <v>30</v>
      </c>
      <c r="S63" s="355">
        <v>45</v>
      </c>
      <c r="T63" s="355">
        <v>0</v>
      </c>
      <c r="U63" s="355">
        <v>15</v>
      </c>
      <c r="V63" s="355">
        <v>30</v>
      </c>
      <c r="W63" s="355">
        <v>45</v>
      </c>
      <c r="X63" s="355">
        <v>0</v>
      </c>
      <c r="Y63" s="355">
        <v>15</v>
      </c>
      <c r="Z63" s="355">
        <v>30</v>
      </c>
      <c r="AA63" s="355">
        <v>45</v>
      </c>
      <c r="AB63" s="355">
        <v>0</v>
      </c>
      <c r="AC63" s="355">
        <v>15</v>
      </c>
      <c r="AD63" s="355">
        <v>30</v>
      </c>
      <c r="AE63" s="355">
        <v>45</v>
      </c>
      <c r="AF63" s="355">
        <v>0</v>
      </c>
      <c r="AG63" s="355">
        <v>15</v>
      </c>
      <c r="AH63" s="355">
        <v>30</v>
      </c>
      <c r="AI63" s="355">
        <v>45</v>
      </c>
      <c r="AJ63" s="355">
        <v>0</v>
      </c>
      <c r="AK63" s="355">
        <v>15</v>
      </c>
      <c r="AL63" s="355">
        <v>30</v>
      </c>
      <c r="AM63" s="355">
        <v>45</v>
      </c>
      <c r="AN63" s="355">
        <v>0</v>
      </c>
      <c r="AO63" s="355">
        <v>15</v>
      </c>
      <c r="AP63" s="355">
        <v>30</v>
      </c>
      <c r="AQ63" s="355">
        <v>45</v>
      </c>
      <c r="AR63" s="355">
        <v>0</v>
      </c>
      <c r="AS63" s="355">
        <v>15</v>
      </c>
      <c r="AT63" s="355">
        <v>30</v>
      </c>
      <c r="AU63" s="355">
        <v>45</v>
      </c>
      <c r="AV63" s="355">
        <v>0</v>
      </c>
      <c r="AW63" s="355">
        <v>15</v>
      </c>
      <c r="AX63" s="355">
        <v>30</v>
      </c>
      <c r="AY63" s="355">
        <v>45</v>
      </c>
      <c r="AZ63" s="355">
        <v>0</v>
      </c>
      <c r="BA63" s="355">
        <v>15</v>
      </c>
      <c r="BB63" s="355">
        <v>30</v>
      </c>
      <c r="BC63" s="355">
        <v>45</v>
      </c>
      <c r="BD63" s="355">
        <v>0</v>
      </c>
      <c r="BE63" s="355">
        <v>15</v>
      </c>
      <c r="BF63" s="355">
        <v>30</v>
      </c>
      <c r="BG63" s="355">
        <v>45</v>
      </c>
      <c r="BH63" s="355">
        <v>0</v>
      </c>
      <c r="BI63" s="355">
        <v>15</v>
      </c>
      <c r="BJ63" s="355">
        <v>30</v>
      </c>
      <c r="BK63" s="355">
        <v>45</v>
      </c>
      <c r="BL63" s="355">
        <v>0</v>
      </c>
      <c r="BM63" s="355">
        <v>15</v>
      </c>
      <c r="BN63" s="355">
        <v>30</v>
      </c>
      <c r="BO63" s="355">
        <v>45</v>
      </c>
    </row>
    <row r="64" spans="1:67">
      <c r="A64" s="347" t="s">
        <v>204</v>
      </c>
      <c r="B64" s="346"/>
      <c r="C64" s="346"/>
      <c r="D64" s="346"/>
      <c r="E64" s="346"/>
      <c r="F64" s="346"/>
      <c r="G64" s="346"/>
      <c r="H64" s="346"/>
      <c r="I64" s="346"/>
      <c r="J64" s="346"/>
      <c r="K64" s="346"/>
      <c r="L64" s="336"/>
      <c r="M64" s="336"/>
      <c r="N64" s="336"/>
      <c r="O64" s="336"/>
      <c r="P64" s="336"/>
      <c r="Q64" s="336"/>
      <c r="R64" s="336"/>
      <c r="S64" s="336"/>
      <c r="T64" s="336"/>
      <c r="U64" s="336"/>
      <c r="V64" s="336"/>
      <c r="W64" s="336"/>
      <c r="X64" s="336"/>
      <c r="Y64" s="336"/>
      <c r="Z64" s="336"/>
      <c r="AA64" s="336"/>
      <c r="AB64" s="336"/>
      <c r="AC64" s="336"/>
      <c r="AD64" s="336"/>
      <c r="AE64" s="336"/>
      <c r="AF64" s="336"/>
      <c r="AG64" s="336"/>
      <c r="AH64" s="336"/>
      <c r="AI64" s="336"/>
      <c r="AJ64" s="336"/>
      <c r="AK64" s="336"/>
      <c r="AL64" s="336"/>
      <c r="AM64" s="336"/>
      <c r="AN64" s="336"/>
      <c r="AO64" s="336"/>
      <c r="AP64" s="336"/>
      <c r="AQ64" s="336"/>
      <c r="AR64" s="336"/>
      <c r="AS64" s="336"/>
      <c r="AT64" s="336"/>
      <c r="AU64" s="336"/>
      <c r="AV64" s="336"/>
      <c r="AW64" s="348"/>
      <c r="AX64" s="348"/>
      <c r="AY64" s="348"/>
      <c r="AZ64" s="348"/>
      <c r="BA64" s="348"/>
      <c r="BB64" s="348"/>
      <c r="BC64" s="348"/>
      <c r="BD64" s="348"/>
      <c r="BE64" s="348"/>
      <c r="BF64" s="348"/>
      <c r="BG64" s="348"/>
      <c r="BH64" s="348"/>
      <c r="BI64" s="348"/>
      <c r="BJ64" s="348"/>
      <c r="BK64" s="348"/>
      <c r="BL64" s="348"/>
      <c r="BM64" s="348"/>
      <c r="BN64" s="348"/>
      <c r="BO64" s="348"/>
    </row>
    <row r="65" spans="1:67">
      <c r="A65" s="347" t="s">
        <v>204</v>
      </c>
      <c r="B65" s="346"/>
      <c r="C65" s="346"/>
      <c r="D65" s="346"/>
      <c r="E65" s="346"/>
      <c r="F65" s="346"/>
      <c r="G65" s="346"/>
      <c r="H65" s="346"/>
      <c r="I65" s="346"/>
      <c r="J65" s="346"/>
      <c r="K65" s="346"/>
      <c r="L65" s="336"/>
      <c r="M65" s="336"/>
      <c r="N65" s="336"/>
      <c r="O65" s="336"/>
      <c r="P65" s="336"/>
      <c r="Q65" s="336"/>
      <c r="R65" s="336"/>
      <c r="S65" s="336"/>
      <c r="T65" s="336"/>
      <c r="U65" s="336"/>
      <c r="V65" s="336"/>
      <c r="W65" s="336"/>
      <c r="X65" s="336"/>
      <c r="Y65" s="336"/>
      <c r="Z65" s="336"/>
      <c r="AA65" s="336"/>
      <c r="AB65" s="336"/>
      <c r="AC65" s="336"/>
      <c r="AD65" s="336"/>
      <c r="AE65" s="336"/>
      <c r="AF65" s="336"/>
      <c r="AG65" s="336"/>
      <c r="AH65" s="336"/>
      <c r="AI65" s="336"/>
      <c r="AJ65" s="336"/>
      <c r="AK65" s="336"/>
      <c r="AL65" s="336"/>
      <c r="AM65" s="336"/>
      <c r="AN65" s="336"/>
      <c r="AO65" s="336"/>
      <c r="AP65" s="336"/>
      <c r="AQ65" s="336"/>
      <c r="AR65" s="336"/>
      <c r="AS65" s="336"/>
      <c r="AT65" s="336"/>
      <c r="AU65" s="336"/>
      <c r="AV65" s="336"/>
      <c r="AW65" s="348"/>
      <c r="AX65" s="348"/>
      <c r="AY65" s="348"/>
      <c r="AZ65" s="348"/>
      <c r="BA65" s="348"/>
      <c r="BB65" s="348"/>
      <c r="BC65" s="348"/>
      <c r="BD65" s="348"/>
      <c r="BE65" s="348"/>
      <c r="BF65" s="348"/>
      <c r="BG65" s="348"/>
      <c r="BH65" s="348"/>
      <c r="BI65" s="348"/>
      <c r="BJ65" s="348"/>
      <c r="BK65" s="348"/>
      <c r="BL65" s="348"/>
      <c r="BM65" s="348"/>
      <c r="BN65" s="348"/>
      <c r="BO65" s="348"/>
    </row>
    <row r="66" spans="1:67">
      <c r="A66" s="347" t="s">
        <v>225</v>
      </c>
      <c r="B66" s="346"/>
      <c r="C66" s="346"/>
      <c r="D66" s="346"/>
      <c r="E66" s="346"/>
      <c r="F66" s="346"/>
      <c r="G66" s="346"/>
      <c r="H66" s="346"/>
      <c r="I66" s="346"/>
      <c r="J66" s="346"/>
      <c r="K66" s="346"/>
      <c r="L66" s="346"/>
      <c r="M66" s="346"/>
      <c r="N66" s="336"/>
      <c r="O66" s="336"/>
      <c r="P66" s="336"/>
      <c r="Q66" s="336"/>
      <c r="R66" s="336"/>
      <c r="S66" s="336"/>
      <c r="T66" s="336"/>
      <c r="U66" s="336"/>
      <c r="V66" s="336"/>
      <c r="W66" s="336"/>
      <c r="X66" s="336"/>
      <c r="Y66" s="336"/>
      <c r="Z66" s="336"/>
      <c r="AA66" s="336"/>
      <c r="AB66" s="336"/>
      <c r="AC66" s="336"/>
      <c r="AD66" s="336"/>
      <c r="AE66" s="336"/>
      <c r="AF66" s="336"/>
      <c r="AG66" s="336"/>
      <c r="AH66" s="336"/>
      <c r="AI66" s="336"/>
      <c r="AJ66" s="346"/>
      <c r="AK66" s="346"/>
      <c r="AL66" s="346"/>
      <c r="AM66" s="346"/>
      <c r="AN66" s="346"/>
      <c r="AO66" s="346"/>
      <c r="AP66" s="346"/>
      <c r="AQ66" s="346"/>
      <c r="AR66" s="346"/>
      <c r="AS66" s="346"/>
      <c r="AT66" s="346"/>
      <c r="AU66" s="346"/>
      <c r="AV66" s="336"/>
      <c r="AW66" s="336"/>
      <c r="AX66" s="336"/>
      <c r="AY66" s="336"/>
      <c r="AZ66" s="336"/>
      <c r="BA66" s="336"/>
      <c r="BB66" s="336"/>
      <c r="BC66" s="336"/>
      <c r="BD66" s="336"/>
      <c r="BE66" s="336"/>
      <c r="BF66" s="336"/>
      <c r="BG66" s="346"/>
      <c r="BH66" s="349"/>
      <c r="BI66" s="349"/>
      <c r="BJ66" s="348"/>
      <c r="BK66" s="348"/>
      <c r="BL66" s="348"/>
      <c r="BM66" s="348"/>
      <c r="BN66" s="348"/>
      <c r="BO66" s="348"/>
    </row>
    <row r="67" spans="1:67">
      <c r="A67" s="347" t="s">
        <v>230</v>
      </c>
      <c r="B67" s="346"/>
      <c r="C67" s="346"/>
      <c r="D67" s="346"/>
      <c r="E67" s="346"/>
      <c r="F67" s="346"/>
      <c r="G67" s="346"/>
      <c r="H67" s="346"/>
      <c r="I67" s="346"/>
      <c r="J67" s="346"/>
      <c r="K67" s="346"/>
      <c r="L67" s="346"/>
      <c r="M67" s="346"/>
      <c r="N67" s="336"/>
      <c r="O67" s="336"/>
      <c r="P67" s="336"/>
      <c r="Q67" s="336"/>
      <c r="R67" s="336"/>
      <c r="S67" s="336"/>
      <c r="T67" s="336"/>
      <c r="U67" s="336"/>
      <c r="V67" s="336"/>
      <c r="W67" s="336"/>
      <c r="X67" s="336"/>
      <c r="Y67" s="336"/>
      <c r="Z67" s="336"/>
      <c r="AA67" s="336"/>
      <c r="AB67" s="336"/>
      <c r="AC67" s="349"/>
      <c r="AD67" s="349"/>
      <c r="AE67" s="349"/>
      <c r="AF67" s="349"/>
      <c r="AG67" s="349"/>
      <c r="AH67" s="349"/>
      <c r="AI67" s="349"/>
      <c r="AJ67" s="349"/>
      <c r="AK67" s="349"/>
      <c r="AL67" s="349"/>
      <c r="AM67" s="349"/>
      <c r="AN67" s="349"/>
      <c r="AO67" s="349"/>
      <c r="AP67" s="349"/>
      <c r="AQ67" s="349"/>
      <c r="AR67" s="349"/>
      <c r="AS67" s="349"/>
      <c r="AT67" s="349"/>
      <c r="AU67" s="349"/>
      <c r="AV67" s="336"/>
      <c r="AW67" s="336"/>
      <c r="AX67" s="336"/>
      <c r="AY67" s="336"/>
      <c r="AZ67" s="336"/>
      <c r="BA67" s="336"/>
      <c r="BB67" s="336"/>
      <c r="BC67" s="336"/>
      <c r="BD67" s="336"/>
      <c r="BE67" s="336"/>
      <c r="BF67" s="336"/>
      <c r="BG67" s="336"/>
      <c r="BH67" s="336"/>
      <c r="BI67" s="336"/>
      <c r="BJ67" s="336"/>
      <c r="BK67" s="336"/>
      <c r="BL67" s="336"/>
      <c r="BM67" s="336"/>
      <c r="BN67" s="348"/>
      <c r="BO67" s="348"/>
    </row>
    <row r="68" spans="1:67" s="359" customFormat="1">
      <c r="A68" s="356"/>
      <c r="B68" s="357"/>
      <c r="C68" s="357"/>
      <c r="D68" s="357"/>
      <c r="E68" s="357"/>
      <c r="F68" s="357"/>
      <c r="G68" s="357"/>
      <c r="H68" s="357"/>
      <c r="I68" s="357"/>
      <c r="J68" s="357"/>
      <c r="K68" s="357"/>
      <c r="L68" s="357"/>
      <c r="M68" s="357"/>
      <c r="N68" s="357"/>
      <c r="O68" s="357"/>
      <c r="P68" s="357"/>
      <c r="Q68" s="357"/>
      <c r="R68" s="357"/>
      <c r="S68" s="357"/>
      <c r="T68" s="357"/>
      <c r="U68" s="357"/>
      <c r="V68" s="357"/>
      <c r="W68" s="357"/>
      <c r="X68" s="357"/>
      <c r="Y68" s="357"/>
      <c r="Z68" s="357"/>
      <c r="AA68" s="357"/>
      <c r="AB68" s="357"/>
      <c r="AC68" s="358"/>
      <c r="AD68" s="358"/>
      <c r="AE68" s="358"/>
      <c r="AF68" s="358"/>
      <c r="AG68" s="358"/>
      <c r="AH68" s="358"/>
      <c r="AI68" s="358"/>
      <c r="AJ68" s="358"/>
      <c r="AK68" s="358"/>
      <c r="AL68" s="358"/>
      <c r="AM68" s="358"/>
      <c r="AN68" s="358"/>
      <c r="AO68" s="358"/>
      <c r="AP68" s="358"/>
      <c r="AQ68" s="358"/>
      <c r="AR68" s="358"/>
      <c r="AS68" s="358"/>
      <c r="AT68" s="358"/>
      <c r="AU68" s="358"/>
      <c r="AV68" s="357"/>
      <c r="AW68" s="357"/>
      <c r="AX68" s="357"/>
      <c r="AY68" s="357"/>
      <c r="AZ68" s="357"/>
      <c r="BA68" s="357"/>
      <c r="BB68" s="357"/>
      <c r="BC68" s="357"/>
      <c r="BD68" s="357"/>
      <c r="BE68" s="357"/>
      <c r="BF68" s="357"/>
      <c r="BG68" s="357"/>
      <c r="BH68" s="357"/>
      <c r="BI68" s="357"/>
      <c r="BJ68" s="357"/>
      <c r="BK68" s="357"/>
      <c r="BL68" s="357"/>
      <c r="BM68" s="357"/>
    </row>
    <row r="69" spans="1:67">
      <c r="B69" s="350">
        <v>0</v>
      </c>
      <c r="C69" s="350">
        <v>1</v>
      </c>
      <c r="D69" s="350">
        <v>2</v>
      </c>
      <c r="E69" s="350">
        <v>3</v>
      </c>
      <c r="F69" s="350">
        <v>4</v>
      </c>
      <c r="G69" s="350">
        <v>5</v>
      </c>
      <c r="H69" s="351">
        <v>6</v>
      </c>
      <c r="I69" s="352"/>
      <c r="J69" s="352"/>
      <c r="K69" s="353"/>
      <c r="L69" s="351">
        <v>7</v>
      </c>
      <c r="M69" s="352"/>
      <c r="N69" s="352"/>
      <c r="O69" s="353"/>
      <c r="P69" s="351">
        <v>8</v>
      </c>
      <c r="Q69" s="352"/>
      <c r="R69" s="352"/>
      <c r="S69" s="353"/>
      <c r="T69" s="351">
        <v>9</v>
      </c>
      <c r="U69" s="352"/>
      <c r="V69" s="352"/>
      <c r="W69" s="353"/>
      <c r="X69" s="351">
        <v>10</v>
      </c>
      <c r="Y69" s="352"/>
      <c r="Z69" s="352"/>
      <c r="AA69" s="353"/>
      <c r="AB69" s="351">
        <v>11</v>
      </c>
      <c r="AC69" s="352"/>
      <c r="AD69" s="352"/>
      <c r="AE69" s="353"/>
      <c r="AF69" s="351">
        <v>12</v>
      </c>
      <c r="AG69" s="352"/>
      <c r="AH69" s="352"/>
      <c r="AI69" s="353"/>
      <c r="AJ69" s="351">
        <v>13</v>
      </c>
      <c r="AK69" s="352"/>
      <c r="AL69" s="352"/>
      <c r="AM69" s="353"/>
      <c r="AN69" s="351">
        <v>14</v>
      </c>
      <c r="AO69" s="352"/>
      <c r="AP69" s="352"/>
      <c r="AQ69" s="353"/>
      <c r="AR69" s="351">
        <v>15</v>
      </c>
      <c r="AS69" s="352"/>
      <c r="AT69" s="352"/>
      <c r="AU69" s="353"/>
      <c r="AV69" s="351">
        <v>16</v>
      </c>
      <c r="AW69" s="352"/>
      <c r="AX69" s="352"/>
      <c r="AY69" s="353"/>
      <c r="AZ69" s="351">
        <v>17</v>
      </c>
      <c r="BA69" s="352"/>
      <c r="BB69" s="352"/>
      <c r="BC69" s="353"/>
      <c r="BD69" s="351">
        <v>18</v>
      </c>
      <c r="BE69" s="352"/>
      <c r="BF69" s="352"/>
      <c r="BG69" s="353"/>
      <c r="BH69" s="351">
        <v>19</v>
      </c>
      <c r="BI69" s="352"/>
      <c r="BJ69" s="352"/>
      <c r="BK69" s="353"/>
      <c r="BL69" s="351">
        <v>20</v>
      </c>
      <c r="BM69" s="352"/>
      <c r="BN69" s="352"/>
      <c r="BO69" s="353"/>
    </row>
    <row r="70" spans="1:67">
      <c r="A70" s="354" t="s">
        <v>311</v>
      </c>
      <c r="B70" s="348"/>
      <c r="C70" s="348"/>
      <c r="D70" s="348"/>
      <c r="E70" s="348"/>
      <c r="F70" s="348"/>
      <c r="G70" s="348"/>
      <c r="H70" s="355">
        <v>0</v>
      </c>
      <c r="I70" s="355">
        <v>15</v>
      </c>
      <c r="J70" s="355">
        <v>30</v>
      </c>
      <c r="K70" s="355">
        <v>45</v>
      </c>
      <c r="L70" s="355">
        <v>0</v>
      </c>
      <c r="M70" s="355">
        <v>15</v>
      </c>
      <c r="N70" s="355">
        <v>30</v>
      </c>
      <c r="O70" s="355">
        <v>45</v>
      </c>
      <c r="P70" s="355">
        <v>0</v>
      </c>
      <c r="Q70" s="355">
        <v>15</v>
      </c>
      <c r="R70" s="355">
        <v>30</v>
      </c>
      <c r="S70" s="355">
        <v>45</v>
      </c>
      <c r="T70" s="355">
        <v>0</v>
      </c>
      <c r="U70" s="355">
        <v>15</v>
      </c>
      <c r="V70" s="355">
        <v>30</v>
      </c>
      <c r="W70" s="355">
        <v>45</v>
      </c>
      <c r="X70" s="355">
        <v>0</v>
      </c>
      <c r="Y70" s="355">
        <v>15</v>
      </c>
      <c r="Z70" s="355">
        <v>30</v>
      </c>
      <c r="AA70" s="355">
        <v>45</v>
      </c>
      <c r="AB70" s="355">
        <v>0</v>
      </c>
      <c r="AC70" s="355">
        <v>15</v>
      </c>
      <c r="AD70" s="355">
        <v>30</v>
      </c>
      <c r="AE70" s="355">
        <v>45</v>
      </c>
      <c r="AF70" s="355">
        <v>0</v>
      </c>
      <c r="AG70" s="355">
        <v>15</v>
      </c>
      <c r="AH70" s="355">
        <v>30</v>
      </c>
      <c r="AI70" s="355">
        <v>45</v>
      </c>
      <c r="AJ70" s="355">
        <v>0</v>
      </c>
      <c r="AK70" s="355">
        <v>15</v>
      </c>
      <c r="AL70" s="355">
        <v>30</v>
      </c>
      <c r="AM70" s="355">
        <v>45</v>
      </c>
      <c r="AN70" s="355">
        <v>0</v>
      </c>
      <c r="AO70" s="355">
        <v>15</v>
      </c>
      <c r="AP70" s="355">
        <v>30</v>
      </c>
      <c r="AQ70" s="355">
        <v>45</v>
      </c>
      <c r="AR70" s="355">
        <v>0</v>
      </c>
      <c r="AS70" s="355">
        <v>15</v>
      </c>
      <c r="AT70" s="355">
        <v>30</v>
      </c>
      <c r="AU70" s="355">
        <v>45</v>
      </c>
      <c r="AV70" s="355">
        <v>0</v>
      </c>
      <c r="AW70" s="355">
        <v>15</v>
      </c>
      <c r="AX70" s="355">
        <v>30</v>
      </c>
      <c r="AY70" s="355">
        <v>45</v>
      </c>
      <c r="AZ70" s="355">
        <v>0</v>
      </c>
      <c r="BA70" s="355">
        <v>15</v>
      </c>
      <c r="BB70" s="355">
        <v>30</v>
      </c>
      <c r="BC70" s="355">
        <v>45</v>
      </c>
      <c r="BD70" s="355">
        <v>0</v>
      </c>
      <c r="BE70" s="355">
        <v>15</v>
      </c>
      <c r="BF70" s="355">
        <v>30</v>
      </c>
      <c r="BG70" s="355">
        <v>45</v>
      </c>
      <c r="BH70" s="355">
        <v>0</v>
      </c>
      <c r="BI70" s="355">
        <v>15</v>
      </c>
      <c r="BJ70" s="355">
        <v>30</v>
      </c>
      <c r="BK70" s="355">
        <v>45</v>
      </c>
      <c r="BL70" s="355">
        <v>0</v>
      </c>
      <c r="BM70" s="355">
        <v>15</v>
      </c>
      <c r="BN70" s="355">
        <v>30</v>
      </c>
      <c r="BO70" s="355">
        <v>45</v>
      </c>
    </row>
    <row r="71" spans="1:67">
      <c r="A71" s="347" t="s">
        <v>204</v>
      </c>
      <c r="B71" s="346"/>
      <c r="C71" s="346"/>
      <c r="D71" s="346"/>
      <c r="E71" s="346"/>
      <c r="F71" s="346"/>
      <c r="G71" s="346"/>
      <c r="H71" s="346"/>
      <c r="I71" s="346"/>
      <c r="J71" s="346"/>
      <c r="K71" s="346"/>
      <c r="L71" s="336"/>
      <c r="M71" s="336"/>
      <c r="N71" s="336"/>
      <c r="O71" s="336"/>
      <c r="P71" s="336"/>
      <c r="Q71" s="336"/>
      <c r="R71" s="336"/>
      <c r="S71" s="336"/>
      <c r="T71" s="336"/>
      <c r="U71" s="336"/>
      <c r="V71" s="336"/>
      <c r="W71" s="336"/>
      <c r="X71" s="336"/>
      <c r="Y71" s="336"/>
      <c r="Z71" s="336"/>
      <c r="AA71" s="336"/>
      <c r="AB71" s="336"/>
      <c r="AC71" s="336"/>
      <c r="AD71" s="336"/>
      <c r="AE71" s="336"/>
      <c r="AF71" s="336"/>
      <c r="AG71" s="336"/>
      <c r="AH71" s="336"/>
      <c r="AI71" s="336"/>
      <c r="AJ71" s="336"/>
      <c r="AK71" s="336"/>
      <c r="AL71" s="336"/>
      <c r="AM71" s="336"/>
      <c r="AN71" s="336"/>
      <c r="AO71" s="336"/>
      <c r="AP71" s="336"/>
      <c r="AQ71" s="336"/>
      <c r="AR71" s="336"/>
      <c r="AS71" s="336"/>
      <c r="AT71" s="336"/>
      <c r="AU71" s="336"/>
      <c r="AV71" s="336"/>
      <c r="AW71" s="348"/>
      <c r="AX71" s="348"/>
      <c r="AY71" s="348"/>
      <c r="AZ71" s="348"/>
      <c r="BA71" s="348"/>
      <c r="BB71" s="348"/>
      <c r="BC71" s="348"/>
      <c r="BD71" s="348"/>
      <c r="BE71" s="348"/>
      <c r="BF71" s="348"/>
      <c r="BG71" s="348"/>
      <c r="BH71" s="348"/>
      <c r="BI71" s="348"/>
      <c r="BJ71" s="348"/>
      <c r="BK71" s="348"/>
      <c r="BL71" s="348"/>
      <c r="BM71" s="348"/>
      <c r="BN71" s="348"/>
      <c r="BO71" s="348"/>
    </row>
    <row r="72" spans="1:67">
      <c r="A72" s="347" t="s">
        <v>204</v>
      </c>
      <c r="B72" s="346"/>
      <c r="C72" s="346"/>
      <c r="D72" s="346"/>
      <c r="E72" s="346"/>
      <c r="F72" s="346"/>
      <c r="G72" s="346"/>
      <c r="H72" s="346"/>
      <c r="I72" s="346"/>
      <c r="J72" s="346"/>
      <c r="K72" s="346"/>
      <c r="L72" s="336"/>
      <c r="M72" s="336"/>
      <c r="N72" s="336"/>
      <c r="O72" s="336"/>
      <c r="P72" s="336"/>
      <c r="Q72" s="336"/>
      <c r="R72" s="336"/>
      <c r="S72" s="336"/>
      <c r="T72" s="336"/>
      <c r="U72" s="336"/>
      <c r="V72" s="336"/>
      <c r="W72" s="336"/>
      <c r="X72" s="336"/>
      <c r="Y72" s="336"/>
      <c r="Z72" s="336"/>
      <c r="AA72" s="336"/>
      <c r="AB72" s="336"/>
      <c r="AC72" s="336"/>
      <c r="AD72" s="336"/>
      <c r="AE72" s="336"/>
      <c r="AF72" s="336"/>
      <c r="AG72" s="336"/>
      <c r="AH72" s="336"/>
      <c r="AI72" s="336"/>
      <c r="AJ72" s="336"/>
      <c r="AK72" s="336"/>
      <c r="AL72" s="336"/>
      <c r="AM72" s="336"/>
      <c r="AN72" s="336"/>
      <c r="AO72" s="336"/>
      <c r="AP72" s="336"/>
      <c r="AQ72" s="336"/>
      <c r="AR72" s="336"/>
      <c r="AS72" s="336"/>
      <c r="AT72" s="336"/>
      <c r="AU72" s="336"/>
      <c r="AV72" s="336"/>
      <c r="AW72" s="348"/>
      <c r="AX72" s="348"/>
      <c r="AY72" s="348"/>
      <c r="AZ72" s="348"/>
      <c r="BA72" s="348"/>
      <c r="BB72" s="348"/>
      <c r="BC72" s="348"/>
      <c r="BD72" s="348"/>
      <c r="BE72" s="348"/>
      <c r="BF72" s="348"/>
      <c r="BG72" s="348"/>
      <c r="BH72" s="348"/>
      <c r="BI72" s="348"/>
      <c r="BJ72" s="348"/>
      <c r="BK72" s="348"/>
      <c r="BL72" s="348"/>
      <c r="BM72" s="348"/>
      <c r="BN72" s="348"/>
      <c r="BO72" s="348"/>
    </row>
    <row r="73" spans="1:67">
      <c r="A73" s="347" t="s">
        <v>225</v>
      </c>
      <c r="B73" s="346"/>
      <c r="C73" s="346"/>
      <c r="D73" s="346"/>
      <c r="E73" s="346"/>
      <c r="F73" s="346"/>
      <c r="G73" s="346"/>
      <c r="H73" s="346"/>
      <c r="I73" s="346"/>
      <c r="J73" s="346"/>
      <c r="K73" s="346"/>
      <c r="L73" s="346"/>
      <c r="M73" s="346"/>
      <c r="N73" s="336"/>
      <c r="O73" s="336"/>
      <c r="P73" s="336"/>
      <c r="Q73" s="336"/>
      <c r="R73" s="336"/>
      <c r="S73" s="336"/>
      <c r="T73" s="336"/>
      <c r="U73" s="336"/>
      <c r="V73" s="336"/>
      <c r="W73" s="336"/>
      <c r="X73" s="336"/>
      <c r="Y73" s="336"/>
      <c r="Z73" s="336"/>
      <c r="AA73" s="336"/>
      <c r="AB73" s="336"/>
      <c r="AC73" s="336"/>
      <c r="AD73" s="336"/>
      <c r="AE73" s="336"/>
      <c r="AF73" s="336"/>
      <c r="AG73" s="336"/>
      <c r="AH73" s="336"/>
      <c r="AI73" s="336"/>
      <c r="AJ73" s="346"/>
      <c r="AK73" s="346"/>
      <c r="AL73" s="346"/>
      <c r="AM73" s="346"/>
      <c r="AN73" s="346"/>
      <c r="AO73" s="346"/>
      <c r="AP73" s="346"/>
      <c r="AQ73" s="346"/>
      <c r="AR73" s="346"/>
      <c r="AS73" s="346"/>
      <c r="AT73" s="346"/>
      <c r="AU73" s="346"/>
      <c r="AV73" s="336"/>
      <c r="AW73" s="336"/>
      <c r="AX73" s="336"/>
      <c r="AY73" s="336"/>
      <c r="AZ73" s="336"/>
      <c r="BA73" s="336"/>
      <c r="BB73" s="336"/>
      <c r="BC73" s="336"/>
      <c r="BD73" s="336"/>
      <c r="BE73" s="336"/>
      <c r="BF73" s="336"/>
      <c r="BG73" s="346"/>
      <c r="BH73" s="349"/>
      <c r="BI73" s="349"/>
      <c r="BJ73" s="348"/>
      <c r="BK73" s="348"/>
      <c r="BL73" s="348"/>
      <c r="BM73" s="348"/>
      <c r="BN73" s="348"/>
      <c r="BO73" s="348"/>
    </row>
    <row r="74" spans="1:67">
      <c r="A74" s="175" t="s">
        <v>237</v>
      </c>
      <c r="B74" s="176"/>
      <c r="C74" s="176"/>
      <c r="D74" s="176"/>
      <c r="E74" s="176"/>
      <c r="F74" s="176"/>
      <c r="G74" s="176"/>
      <c r="H74" s="176"/>
      <c r="I74" s="176"/>
      <c r="J74" s="176"/>
      <c r="K74" s="86"/>
      <c r="L74" s="182"/>
      <c r="M74" s="182"/>
      <c r="N74" s="182"/>
      <c r="O74" s="182"/>
      <c r="P74" s="182"/>
      <c r="Q74" s="182"/>
      <c r="R74" s="176"/>
      <c r="S74" s="176"/>
      <c r="T74" s="176"/>
      <c r="U74" s="176"/>
      <c r="V74" s="176"/>
      <c r="W74" s="176"/>
      <c r="X74" s="176"/>
      <c r="Y74" s="176"/>
      <c r="Z74" s="176"/>
      <c r="AA74" s="176"/>
      <c r="AB74" s="176"/>
      <c r="AC74" s="176"/>
      <c r="AD74" s="336"/>
      <c r="AE74" s="336"/>
      <c r="AF74" s="336"/>
      <c r="AG74" s="336"/>
      <c r="AH74" s="336"/>
      <c r="AI74" s="336"/>
      <c r="AJ74" s="336"/>
      <c r="AK74" s="336"/>
      <c r="AL74" s="336"/>
      <c r="AM74" s="336"/>
      <c r="AN74" s="336"/>
      <c r="AO74" s="336"/>
      <c r="AP74" s="336"/>
      <c r="AQ74" s="336"/>
      <c r="AR74" s="336"/>
      <c r="AS74" s="336"/>
      <c r="AT74" s="336"/>
      <c r="AU74" s="336"/>
      <c r="AV74" s="336"/>
      <c r="AW74" s="336"/>
      <c r="AX74" s="336"/>
      <c r="AY74" s="336"/>
      <c r="AZ74" s="336"/>
      <c r="BA74" s="336"/>
      <c r="BB74" s="336"/>
      <c r="BC74" s="336"/>
      <c r="BD74" s="336"/>
      <c r="BE74" s="336"/>
      <c r="BF74" s="335"/>
      <c r="BG74" s="335"/>
      <c r="BH74" s="335"/>
      <c r="BI74" s="335"/>
      <c r="BJ74" s="335"/>
      <c r="BK74" s="335"/>
      <c r="BL74" s="335"/>
      <c r="BM74" s="335"/>
    </row>
    <row r="75" spans="1:67">
      <c r="A75" s="175" t="s">
        <v>235</v>
      </c>
      <c r="B75" s="176"/>
      <c r="C75" s="176"/>
      <c r="D75" s="176"/>
      <c r="E75" s="176"/>
      <c r="F75" s="176"/>
      <c r="G75" s="176"/>
      <c r="H75" s="176"/>
      <c r="I75" s="176"/>
      <c r="J75" s="176"/>
      <c r="K75" s="176"/>
      <c r="L75" s="336"/>
      <c r="M75" s="336"/>
      <c r="N75" s="336"/>
      <c r="O75" s="336"/>
      <c r="P75" s="336"/>
      <c r="Q75" s="336"/>
      <c r="R75" s="336"/>
      <c r="S75" s="336"/>
      <c r="T75" s="336"/>
      <c r="U75" s="336"/>
      <c r="V75" s="336"/>
      <c r="W75" s="336"/>
      <c r="X75" s="336"/>
      <c r="Y75" s="336"/>
      <c r="Z75" s="336"/>
      <c r="AA75" s="336"/>
      <c r="AB75" s="336"/>
      <c r="AC75" s="336"/>
      <c r="AD75" s="336"/>
      <c r="AE75" s="336"/>
      <c r="AF75" s="336"/>
      <c r="AG75" s="336"/>
      <c r="AH75" s="336"/>
      <c r="AI75" s="336"/>
      <c r="AJ75" s="176"/>
      <c r="AK75" s="176"/>
      <c r="AL75" s="176"/>
      <c r="AM75" s="176"/>
      <c r="AN75" s="176"/>
      <c r="AO75" s="176"/>
      <c r="AP75" s="176"/>
      <c r="AQ75" s="176"/>
      <c r="AR75" s="176"/>
      <c r="AS75" s="176"/>
      <c r="AT75" s="176"/>
      <c r="AU75" s="176"/>
      <c r="AV75" s="176"/>
      <c r="AW75" s="176"/>
      <c r="AX75" s="176"/>
      <c r="AY75" s="176"/>
      <c r="AZ75" s="176"/>
      <c r="BA75" s="176"/>
      <c r="BB75" s="176"/>
      <c r="BC75" s="43"/>
      <c r="BD75" s="43"/>
      <c r="BE75" s="43"/>
      <c r="BF75" s="43"/>
      <c r="BG75" s="43"/>
      <c r="BH75" s="43"/>
      <c r="BI75" s="43"/>
    </row>
  </sheetData>
  <mergeCells count="2">
    <mergeCell ref="B3:AD3"/>
    <mergeCell ref="B4:AD4"/>
  </mergeCells>
  <phoneticPr fontId="21" type="noConversion"/>
  <conditionalFormatting sqref="B25:BG25 B14:BG19 B11:BG12 AY33:BF34 B33:K34 B35:AV36 BG33:BM33 B39:K39 B43:K43 B37:AT37">
    <cfRule type="cellIs" dxfId="57" priority="77" operator="equal">
      <formula>"x"</formula>
    </cfRule>
  </conditionalFormatting>
  <conditionalFormatting sqref="B42:AC42 AY33:BM33 AJ40:AU40 B40:M41 BG40 AJ43:BB43">
    <cfRule type="cellIs" dxfId="56" priority="76" operator="equal">
      <formula>"x"</formula>
    </cfRule>
  </conditionalFormatting>
  <conditionalFormatting sqref="AY34:BF34">
    <cfRule type="cellIs" dxfId="55" priority="75" operator="equal">
      <formula>"x"</formula>
    </cfRule>
  </conditionalFormatting>
  <conditionalFormatting sqref="L33:AX34">
    <cfRule type="cellIs" dxfId="54" priority="71" operator="equal">
      <formula>"x"</formula>
    </cfRule>
  </conditionalFormatting>
  <conditionalFormatting sqref="L39:AI39">
    <cfRule type="cellIs" dxfId="53" priority="68" operator="equal">
      <formula>"x"</formula>
    </cfRule>
  </conditionalFormatting>
  <conditionalFormatting sqref="L43:AI43">
    <cfRule type="cellIs" dxfId="52" priority="67" operator="equal">
      <formula>"x"</formula>
    </cfRule>
  </conditionalFormatting>
  <conditionalFormatting sqref="N40:AI40">
    <cfRule type="cellIs" dxfId="51" priority="66" operator="equal">
      <formula>"x"</formula>
    </cfRule>
  </conditionalFormatting>
  <conditionalFormatting sqref="N41:AB41">
    <cfRule type="cellIs" dxfId="50" priority="65" operator="equal">
      <formula>"x"</formula>
    </cfRule>
  </conditionalFormatting>
  <conditionalFormatting sqref="AY41:BM41">
    <cfRule type="cellIs" dxfId="49" priority="64" operator="equal">
      <formula>"x"</formula>
    </cfRule>
  </conditionalFormatting>
  <conditionalFormatting sqref="AY41:BM41">
    <cfRule type="cellIs" dxfId="48" priority="63" operator="equal">
      <formula>"x"</formula>
    </cfRule>
  </conditionalFormatting>
  <conditionalFormatting sqref="AV41:AX41">
    <cfRule type="cellIs" dxfId="47" priority="62" operator="equal">
      <formula>"x"</formula>
    </cfRule>
  </conditionalFormatting>
  <conditionalFormatting sqref="AY40:BF40">
    <cfRule type="cellIs" dxfId="46" priority="61" operator="equal">
      <formula>"x"</formula>
    </cfRule>
  </conditionalFormatting>
  <conditionalFormatting sqref="AY40:BF40">
    <cfRule type="cellIs" dxfId="45" priority="60" operator="equal">
      <formula>"x"</formula>
    </cfRule>
  </conditionalFormatting>
  <conditionalFormatting sqref="AV40:AX40">
    <cfRule type="cellIs" dxfId="44" priority="59" operator="equal">
      <formula>"x"</formula>
    </cfRule>
  </conditionalFormatting>
  <conditionalFormatting sqref="AJ39:AV39">
    <cfRule type="cellIs" dxfId="43" priority="58" operator="equal">
      <formula>"x"</formula>
    </cfRule>
  </conditionalFormatting>
  <conditionalFormatting sqref="AY42:BM42">
    <cfRule type="cellIs" dxfId="42" priority="57" operator="equal">
      <formula>"x"</formula>
    </cfRule>
  </conditionalFormatting>
  <conditionalFormatting sqref="AY42:BM42">
    <cfRule type="cellIs" dxfId="41" priority="56" operator="equal">
      <formula>"x"</formula>
    </cfRule>
  </conditionalFormatting>
  <conditionalFormatting sqref="AD42:AX42">
    <cfRule type="cellIs" dxfId="40" priority="55" operator="equal">
      <formula>"x"</formula>
    </cfRule>
  </conditionalFormatting>
  <conditionalFormatting sqref="B58:K58 AY58:BM58">
    <cfRule type="cellIs" dxfId="39" priority="54" operator="equal">
      <formula>"x"</formula>
    </cfRule>
  </conditionalFormatting>
  <conditionalFormatting sqref="AY58:BM58">
    <cfRule type="cellIs" dxfId="38" priority="53" operator="equal">
      <formula>"x"</formula>
    </cfRule>
  </conditionalFormatting>
  <conditionalFormatting sqref="L58:AX58">
    <cfRule type="cellIs" dxfId="37" priority="52" operator="equal">
      <formula>"x"</formula>
    </cfRule>
  </conditionalFormatting>
  <conditionalFormatting sqref="B64:K64 B75:K75">
    <cfRule type="cellIs" dxfId="36" priority="51" operator="equal">
      <formula>"x"</formula>
    </cfRule>
  </conditionalFormatting>
  <conditionalFormatting sqref="B74:AC74 AJ66:AU66 B66:M68 BG66 AJ75:BB75">
    <cfRule type="cellIs" dxfId="35" priority="50" operator="equal">
      <formula>"x"</formula>
    </cfRule>
  </conditionalFormatting>
  <conditionalFormatting sqref="L75:AI75">
    <cfRule type="cellIs" dxfId="34" priority="48" operator="equal">
      <formula>"x"</formula>
    </cfRule>
  </conditionalFormatting>
  <conditionalFormatting sqref="AY74:BM74">
    <cfRule type="cellIs" dxfId="33" priority="38" operator="equal">
      <formula>"x"</formula>
    </cfRule>
  </conditionalFormatting>
  <conditionalFormatting sqref="AY74:BM74">
    <cfRule type="cellIs" dxfId="32" priority="37" operator="equal">
      <formula>"x"</formula>
    </cfRule>
  </conditionalFormatting>
  <conditionalFormatting sqref="AD74:AX74">
    <cfRule type="cellIs" dxfId="31" priority="36" operator="equal">
      <formula>"x"</formula>
    </cfRule>
  </conditionalFormatting>
  <conditionalFormatting sqref="B65:K65">
    <cfRule type="cellIs" dxfId="30" priority="35" operator="equal">
      <formula>"x"</formula>
    </cfRule>
  </conditionalFormatting>
  <conditionalFormatting sqref="L64:AV64">
    <cfRule type="cellIs" dxfId="29" priority="32" operator="equal">
      <formula>"x"</formula>
    </cfRule>
  </conditionalFormatting>
  <conditionalFormatting sqref="L65:AV65">
    <cfRule type="cellIs" dxfId="28" priority="31" operator="equal">
      <formula>"x"</formula>
    </cfRule>
  </conditionalFormatting>
  <conditionalFormatting sqref="N66:AI66">
    <cfRule type="cellIs" dxfId="27" priority="30" operator="equal">
      <formula>"x"</formula>
    </cfRule>
  </conditionalFormatting>
  <conditionalFormatting sqref="AV66:BF66">
    <cfRule type="cellIs" dxfId="26" priority="29" operator="equal">
      <formula>"x"</formula>
    </cfRule>
  </conditionalFormatting>
  <conditionalFormatting sqref="N67:AB68">
    <cfRule type="cellIs" dxfId="25" priority="28" operator="equal">
      <formula>"x"</formula>
    </cfRule>
  </conditionalFormatting>
  <conditionalFormatting sqref="AV67:BM68">
    <cfRule type="cellIs" dxfId="24" priority="27" operator="equal">
      <formula>"x"</formula>
    </cfRule>
  </conditionalFormatting>
  <conditionalFormatting sqref="B71:K71">
    <cfRule type="cellIs" dxfId="23" priority="26" operator="equal">
      <formula>"x"</formula>
    </cfRule>
  </conditionalFormatting>
  <conditionalFormatting sqref="AJ73:AU73 B73:M73 BG73">
    <cfRule type="cellIs" dxfId="22" priority="25" operator="equal">
      <formula>"x"</formula>
    </cfRule>
  </conditionalFormatting>
  <conditionalFormatting sqref="B72:K72">
    <cfRule type="cellIs" dxfId="21" priority="24" operator="equal">
      <formula>"x"</formula>
    </cfRule>
  </conditionalFormatting>
  <conditionalFormatting sqref="L71:AV71">
    <cfRule type="cellIs" dxfId="20" priority="23" operator="equal">
      <formula>"x"</formula>
    </cfRule>
  </conditionalFormatting>
  <conditionalFormatting sqref="L72:AV72">
    <cfRule type="cellIs" dxfId="19" priority="22" operator="equal">
      <formula>"x"</formula>
    </cfRule>
  </conditionalFormatting>
  <conditionalFormatting sqref="N73:AI73">
    <cfRule type="cellIs" dxfId="18" priority="21" operator="equal">
      <formula>"x"</formula>
    </cfRule>
  </conditionalFormatting>
  <conditionalFormatting sqref="AV73:BF73">
    <cfRule type="cellIs" dxfId="17" priority="20" operator="equal">
      <formula>"x"</formula>
    </cfRule>
  </conditionalFormatting>
  <conditionalFormatting sqref="AJ48:BB48 AJ47:AU47 B47:M47 BG47">
    <cfRule type="cellIs" dxfId="16" priority="19" operator="equal">
      <formula>"x"</formula>
    </cfRule>
  </conditionalFormatting>
  <conditionalFormatting sqref="N47:AI47">
    <cfRule type="cellIs" dxfId="15" priority="18" operator="equal">
      <formula>"x"</formula>
    </cfRule>
  </conditionalFormatting>
  <conditionalFormatting sqref="AY47:BF47">
    <cfRule type="cellIs" dxfId="14" priority="17" operator="equal">
      <formula>"x"</formula>
    </cfRule>
  </conditionalFormatting>
  <conditionalFormatting sqref="AY47:BF47">
    <cfRule type="cellIs" dxfId="13" priority="16" operator="equal">
      <formula>"x"</formula>
    </cfRule>
  </conditionalFormatting>
  <conditionalFormatting sqref="AV47:AX47">
    <cfRule type="cellIs" dxfId="12" priority="15" operator="equal">
      <formula>"x"</formula>
    </cfRule>
  </conditionalFormatting>
  <conditionalFormatting sqref="B48:K48">
    <cfRule type="cellIs" dxfId="11" priority="14" operator="equal">
      <formula>"x"</formula>
    </cfRule>
  </conditionalFormatting>
  <conditionalFormatting sqref="L48:AI48">
    <cfRule type="cellIs" dxfId="10" priority="13" operator="equal">
      <formula>"x"</formula>
    </cfRule>
  </conditionalFormatting>
  <conditionalFormatting sqref="AJ49:BB49">
    <cfRule type="cellIs" dxfId="9" priority="12" operator="equal">
      <formula>"x"</formula>
    </cfRule>
  </conditionalFormatting>
  <conditionalFormatting sqref="B49:K49">
    <cfRule type="cellIs" dxfId="8" priority="11" operator="equal">
      <formula>"x"</formula>
    </cfRule>
  </conditionalFormatting>
  <conditionalFormatting sqref="L49:AI49 L50:AV50">
    <cfRule type="cellIs" dxfId="7" priority="10" operator="equal">
      <formula>"x"</formula>
    </cfRule>
  </conditionalFormatting>
  <conditionalFormatting sqref="B50:K50">
    <cfRule type="cellIs" dxfId="6" priority="9" operator="equal">
      <formula>"x"</formula>
    </cfRule>
  </conditionalFormatting>
  <conditionalFormatting sqref="Z51:BF51">
    <cfRule type="cellIs" dxfId="5" priority="6" operator="equal">
      <formula>"x"</formula>
    </cfRule>
  </conditionalFormatting>
  <conditionalFormatting sqref="B52:AC52">
    <cfRule type="cellIs" dxfId="4" priority="5" operator="equal">
      <formula>"x"</formula>
    </cfRule>
  </conditionalFormatting>
  <conditionalFormatting sqref="AY52:BM52">
    <cfRule type="cellIs" dxfId="3" priority="4" operator="equal">
      <formula>"x"</formula>
    </cfRule>
  </conditionalFormatting>
  <conditionalFormatting sqref="AY52:BM52">
    <cfRule type="cellIs" dxfId="2" priority="3" operator="equal">
      <formula>"x"</formula>
    </cfRule>
  </conditionalFormatting>
  <conditionalFormatting sqref="AD52:AX52">
    <cfRule type="cellIs" dxfId="1" priority="2" operator="equal">
      <formula>"x"</formula>
    </cfRule>
  </conditionalFormatting>
  <conditionalFormatting sqref="AU37:BP37">
    <cfRule type="cellIs" dxfId="0" priority="1" operator="equal">
      <formula>"x"</formula>
    </cfRule>
  </conditionalFormatting>
  <pageMargins left="0.7" right="0.7" top="0.78740157499999996" bottom="0.78740157499999996"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B8AF2-E613-48B2-BE8D-27D81E630702}">
  <sheetPr codeName="Tabelle11">
    <tabColor theme="0" tint="-0.249977111117893"/>
  </sheetPr>
  <dimension ref="A1:O13"/>
  <sheetViews>
    <sheetView workbookViewId="0">
      <selection activeCell="I10" sqref="I10"/>
    </sheetView>
  </sheetViews>
  <sheetFormatPr baseColWidth="10" defaultRowHeight="12.5"/>
  <cols>
    <col min="1" max="1" width="12.81640625" customWidth="1"/>
    <col min="3" max="3" width="22.81640625" bestFit="1" customWidth="1"/>
    <col min="9" max="9" width="20.1796875" customWidth="1"/>
  </cols>
  <sheetData>
    <row r="1" spans="1:15" s="113" customFormat="1" ht="39">
      <c r="A1" s="200" t="s">
        <v>311</v>
      </c>
      <c r="B1" s="201"/>
      <c r="C1" s="201"/>
      <c r="D1" s="201"/>
      <c r="E1" s="201"/>
      <c r="F1" s="201"/>
      <c r="G1" s="202"/>
      <c r="H1" s="203" t="s">
        <v>219</v>
      </c>
      <c r="J1" s="204"/>
      <c r="O1" s="205"/>
    </row>
    <row r="2" spans="1:15" s="113" customFormat="1" ht="52">
      <c r="A2" s="200" t="s">
        <v>0</v>
      </c>
      <c r="B2" s="201" t="s">
        <v>315</v>
      </c>
      <c r="C2" s="201" t="s">
        <v>1</v>
      </c>
      <c r="D2" s="201" t="s">
        <v>30</v>
      </c>
      <c r="E2" s="201" t="s">
        <v>31</v>
      </c>
      <c r="F2" s="201" t="s">
        <v>32</v>
      </c>
      <c r="G2" s="202" t="s">
        <v>33</v>
      </c>
      <c r="H2" s="203" t="s">
        <v>220</v>
      </c>
      <c r="I2" s="206" t="s">
        <v>69</v>
      </c>
      <c r="J2" s="207" t="s">
        <v>316</v>
      </c>
      <c r="O2" s="205"/>
    </row>
    <row r="3" spans="1:15" s="114" customFormat="1" ht="25.5">
      <c r="A3" s="208" t="s">
        <v>317</v>
      </c>
      <c r="B3" s="209" t="s">
        <v>317</v>
      </c>
      <c r="C3" s="209" t="s">
        <v>318</v>
      </c>
      <c r="D3" s="210">
        <v>0.33333333333333331</v>
      </c>
      <c r="E3" s="209"/>
      <c r="F3" s="209"/>
      <c r="G3" s="211"/>
      <c r="I3" s="593" t="s">
        <v>319</v>
      </c>
      <c r="J3" s="212"/>
      <c r="O3" s="213"/>
    </row>
    <row r="4" spans="1:15" s="114" customFormat="1" ht="25.5">
      <c r="A4" s="119" t="s">
        <v>320</v>
      </c>
      <c r="B4" s="114" t="s">
        <v>320</v>
      </c>
      <c r="C4" s="114" t="s">
        <v>321</v>
      </c>
      <c r="D4" s="115">
        <v>0.29166666666666669</v>
      </c>
      <c r="G4" s="214"/>
      <c r="I4" s="593"/>
      <c r="J4" s="212"/>
      <c r="O4" s="213"/>
    </row>
    <row r="5" spans="1:15" s="114" customFormat="1" ht="25.5">
      <c r="A5" s="119" t="s">
        <v>322</v>
      </c>
      <c r="B5" s="114" t="s">
        <v>322</v>
      </c>
      <c r="C5" s="114" t="s">
        <v>323</v>
      </c>
      <c r="D5" s="115">
        <v>0.29166666666666669</v>
      </c>
      <c r="G5" s="214"/>
      <c r="I5" s="593"/>
      <c r="J5" s="212"/>
      <c r="O5" s="213"/>
    </row>
    <row r="6" spans="1:15" s="114" customFormat="1" ht="25.5">
      <c r="A6" s="119" t="s">
        <v>324</v>
      </c>
      <c r="B6" s="114" t="s">
        <v>324</v>
      </c>
      <c r="C6" s="114" t="s">
        <v>325</v>
      </c>
      <c r="D6" s="115">
        <v>0.3125</v>
      </c>
      <c r="G6" s="214"/>
      <c r="I6" s="593"/>
      <c r="J6" s="212"/>
      <c r="O6" s="213"/>
    </row>
    <row r="7" spans="1:15" s="114" customFormat="1" ht="25.5">
      <c r="A7" s="215" t="s">
        <v>326</v>
      </c>
      <c r="B7" s="216" t="s">
        <v>326</v>
      </c>
      <c r="C7" s="216" t="s">
        <v>327</v>
      </c>
      <c r="D7" s="217" t="s">
        <v>328</v>
      </c>
      <c r="E7" s="217"/>
      <c r="F7" s="216"/>
      <c r="G7" s="218"/>
      <c r="I7" s="593"/>
      <c r="J7" s="212"/>
      <c r="O7" s="213"/>
    </row>
    <row r="11" spans="1:15" ht="13">
      <c r="A11" s="68" t="s">
        <v>329</v>
      </c>
    </row>
    <row r="13" spans="1:15">
      <c r="A13" s="219" t="s">
        <v>330</v>
      </c>
    </row>
  </sheetData>
  <mergeCells count="1">
    <mergeCell ref="I3:I7"/>
  </mergeCells>
  <pageMargins left="0.7" right="0.7" top="0.78740157499999996" bottom="0.78740157499999996"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c935882-467e-4155-8c38-295eb5fe6a65">
      <Terms xmlns="http://schemas.microsoft.com/office/infopath/2007/PartnerControls"/>
    </lcf76f155ced4ddcb4097134ff3c332f>
    <TaxCatchAll xmlns="92e729bb-47fc-406e-bee0-821e9dd0953a"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A5DB20181526B3478B2C27D8F9931068" ma:contentTypeVersion="26" ma:contentTypeDescription="Ein neues Dokument erstellen." ma:contentTypeScope="" ma:versionID="fd2e3e0c6b487dedf6bcbc5160f028fa">
  <xsd:schema xmlns:xsd="http://www.w3.org/2001/XMLSchema" xmlns:xs="http://www.w3.org/2001/XMLSchema" xmlns:p="http://schemas.microsoft.com/office/2006/metadata/properties" xmlns:ns2="674b5c01-bada-4cdb-89b8-3501374ad13b" xmlns:ns3="2c935882-467e-4155-8c38-295eb5fe6a65" xmlns:ns4="92e729bb-47fc-406e-bee0-821e9dd0953a" targetNamespace="http://schemas.microsoft.com/office/2006/metadata/properties" ma:root="true" ma:fieldsID="7c7d04fe850c1a92b5d3082c120bdb6f" ns2:_="" ns3:_="" ns4:_="">
    <xsd:import namespace="674b5c01-bada-4cdb-89b8-3501374ad13b"/>
    <xsd:import namespace="2c935882-467e-4155-8c38-295eb5fe6a65"/>
    <xsd:import namespace="92e729bb-47fc-406e-bee0-821e9dd0953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3:MediaServiceLocation" minOccurs="0"/>
                <xsd:element ref="ns3:lcf76f155ced4ddcb4097134ff3c332f" minOccurs="0"/>
                <xsd:element ref="ns4:TaxCatchAll" minOccurs="0"/>
                <xsd:element ref="ns3:MediaLengthInSeconds"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74b5c01-bada-4cdb-89b8-3501374ad1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c935882-467e-4155-8c38-295eb5fe6a65" elementFormDefault="qualified">
    <xsd:import namespace="http://schemas.microsoft.com/office/2006/documentManagement/types"/>
    <xsd:import namespace="http://schemas.microsoft.com/office/infopath/2007/PartnerControls"/>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Bildmarkierungen" ma:readOnly="false" ma:fieldId="{5cf76f15-5ced-4ddc-b409-7134ff3c332f}" ma:taxonomyMulti="true" ma:sspId="f212c26d-ba8a-401b-a725-3045b2045bc4"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e729bb-47fc-406e-bee0-821e9dd0953a" elementFormDefault="qualified">
    <xsd:import namespace="http://schemas.microsoft.com/office/2006/documentManagement/types"/>
    <xsd:import namespace="http://schemas.microsoft.com/office/infopath/2007/PartnerControls"/>
    <xsd:element name="SharedWithUsers" ma:index="17"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Freigegeben für - Details" ma:internalName="SharedWithDetails" ma:readOnly="true">
      <xsd:simpleType>
        <xsd:restriction base="dms:Note">
          <xsd:maxLength value="255"/>
        </xsd:restriction>
      </xsd:simpleType>
    </xsd:element>
    <xsd:element name="TaxCatchAll" ma:index="22" nillable="true" ma:displayName="Taxonomy Catch All Column" ma:hidden="true" ma:list="{e92a5260-12f0-4c9c-b0ca-bc0e5309839c}" ma:internalName="TaxCatchAll" ma:showField="CatchAllData" ma:web="92e729bb-47fc-406e-bee0-821e9dd0953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0BA1D4E-6C31-4240-B53E-97964159ED4E}">
  <ds:schemaRefs>
    <ds:schemaRef ds:uri="http://schemas.openxmlformats.org/package/2006/metadata/core-properties"/>
    <ds:schemaRef ds:uri="http://www.w3.org/XML/1998/namespace"/>
    <ds:schemaRef ds:uri="http://schemas.microsoft.com/office/2006/documentManagement/types"/>
    <ds:schemaRef ds:uri="136c0432-4d9c-4173-8361-2c7368292cc8"/>
    <ds:schemaRef ds:uri="http://schemas.microsoft.com/office/2006/metadata/properties"/>
    <ds:schemaRef ds:uri="http://purl.org/dc/dcmitype/"/>
    <ds:schemaRef ds:uri="http://purl.org/dc/elements/1.1/"/>
    <ds:schemaRef ds:uri="http://schemas.microsoft.com/office/infopath/2007/PartnerControls"/>
    <ds:schemaRef ds:uri="224dcf42-62f9-43cf-884f-ffd622c8a884"/>
    <ds:schemaRef ds:uri="http://purl.org/dc/terms/"/>
    <ds:schemaRef ds:uri="2c935882-467e-4155-8c38-295eb5fe6a65"/>
    <ds:schemaRef ds:uri="92e729bb-47fc-406e-bee0-821e9dd0953a"/>
  </ds:schemaRefs>
</ds:datastoreItem>
</file>

<file path=customXml/itemProps2.xml><?xml version="1.0" encoding="utf-8"?>
<ds:datastoreItem xmlns:ds="http://schemas.openxmlformats.org/officeDocument/2006/customXml" ds:itemID="{CCCEEF33-4B98-494B-8FEB-DFC6AB71A58B}">
  <ds:schemaRefs>
    <ds:schemaRef ds:uri="http://schemas.microsoft.com/sharepoint/v3/contenttype/forms"/>
  </ds:schemaRefs>
</ds:datastoreItem>
</file>

<file path=customXml/itemProps3.xml><?xml version="1.0" encoding="utf-8"?>
<ds:datastoreItem xmlns:ds="http://schemas.openxmlformats.org/officeDocument/2006/customXml" ds:itemID="{608F84FF-2344-41B1-B15B-96D753D985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74b5c01-bada-4cdb-89b8-3501374ad13b"/>
    <ds:schemaRef ds:uri="2c935882-467e-4155-8c38-295eb5fe6a65"/>
    <ds:schemaRef ds:uri="92e729bb-47fc-406e-bee0-821e9dd095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12</vt:i4>
      </vt:variant>
    </vt:vector>
  </HeadingPairs>
  <TitlesOfParts>
    <vt:vector size="12" baseType="lpstr">
      <vt:lpstr>kategorien</vt:lpstr>
      <vt:lpstr>ma-basisdaten</vt:lpstr>
      <vt:lpstr>diensttypen</vt:lpstr>
      <vt:lpstr>diensttypgruppen</vt:lpstr>
      <vt:lpstr>ma-profil</vt:lpstr>
      <vt:lpstr>Dienstzeiten</vt:lpstr>
      <vt:lpstr>live-daten</vt:lpstr>
      <vt:lpstr>bedarfe</vt:lpstr>
      <vt:lpstr>generell</vt:lpstr>
      <vt:lpstr>qualitativeGewichte</vt:lpstr>
      <vt:lpstr>Personalbedarf</vt:lpstr>
      <vt:lpstr>gemischte Dienste</vt:lpstr>
    </vt:vector>
  </TitlesOfParts>
  <Manager/>
  <Company>Kanton Spital Aarau</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Spielmann Claudia</dc:creator>
  <cp:keywords/>
  <dc:description/>
  <cp:lastModifiedBy>Vanessa Toscan</cp:lastModifiedBy>
  <cp:revision/>
  <dcterms:created xsi:type="dcterms:W3CDTF">2021-03-08T13:18:21Z</dcterms:created>
  <dcterms:modified xsi:type="dcterms:W3CDTF">2024-04-20T13:23:03Z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0x0101001AD19CADA4F0B14F982E16E293C7B671</vt:lpwstr>
  </property>
  <property fmtid="{D5CDD505-2E9C-101B-9397-08002B2CF9AE}" pid="3" name="MediaServiceImageTags">
    <vt:lpwstr/>
  </property>
</Properties>
</file>