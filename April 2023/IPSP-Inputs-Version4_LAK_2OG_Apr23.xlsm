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April 2023/"/>
    </mc:Choice>
  </mc:AlternateContent>
  <xr:revisionPtr revIDLastSave="31" documentId="13_ncr:1_{08481BB9-D2DD-4A96-87EC-EEBD3BFA24D7}" xr6:coauthVersionLast="47" xr6:coauthVersionMax="47" xr10:uidLastSave="{8CA23AC9-EB58-4E4D-B7B4-B2B34F9F4C6B}"/>
  <bookViews>
    <workbookView xWindow="-28920" yWindow="840" windowWidth="29040" windowHeight="15840" firstSheet="3" activeTab="5" xr2:uid="{00000000-000D-0000-FFFF-FFFF00000000}"/>
  </bookViews>
  <sheets>
    <sheet name="kategorien" sheetId="14" r:id="rId1"/>
    <sheet name="diensttypen" sheetId="10" r:id="rId2"/>
    <sheet name="diensttypgruppen" sheetId="11" r:id="rId3"/>
    <sheet name="bedarfe" sheetId="8" r:id="rId4"/>
    <sheet name="ma-basisdaten" sheetId="6" r:id="rId5"/>
    <sheet name="ma-profil" sheetId="7" r:id="rId6"/>
    <sheet name="generell" sheetId="15" r:id="rId7"/>
    <sheet name="live-daten" sheetId="9" r:id="rId8"/>
    <sheet name="qualitativeGewichte" sheetId="12" r:id="rId9"/>
    <sheet name="Dienstzeiten" sheetId="17" r:id="rId10"/>
    <sheet name="Personalbedarf" sheetId="18" r:id="rId11"/>
    <sheet name="gemischte Dienste" sheetId="19"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9" i="9" l="1"/>
  <c r="AW20" i="9"/>
  <c r="AW21" i="9"/>
  <c r="AW5" i="9"/>
  <c r="AW17" i="9" l="1"/>
  <c r="AW12" i="9"/>
  <c r="AW16" i="9"/>
  <c r="AW15" i="9"/>
  <c r="AW18" i="9"/>
  <c r="AW14" i="9"/>
  <c r="AW10" i="9"/>
  <c r="AW9" i="9"/>
  <c r="AW11" i="9"/>
  <c r="AW13" i="9"/>
  <c r="AW7" i="9"/>
  <c r="AW8" i="9"/>
  <c r="AW6" i="9"/>
  <c r="D4" i="9"/>
  <c r="D3" i="9" l="1"/>
  <c r="E4" i="9" l="1"/>
  <c r="F4" i="9" l="1"/>
  <c r="E3" i="9"/>
  <c r="F3" i="9" l="1"/>
  <c r="G4" i="9"/>
  <c r="G3" i="9" l="1"/>
  <c r="H4" i="9"/>
  <c r="H3" i="9" l="1"/>
  <c r="I4" i="9"/>
  <c r="I3" i="9" l="1"/>
  <c r="J4" i="9"/>
  <c r="J3" i="9" l="1"/>
  <c r="K4" i="9"/>
  <c r="K3" i="9" l="1"/>
  <c r="L4" i="9"/>
  <c r="L3" i="9" l="1"/>
  <c r="M4" i="9"/>
  <c r="N4" i="9" l="1"/>
  <c r="M3" i="9"/>
  <c r="N3" i="9" l="1"/>
  <c r="O4" i="9"/>
  <c r="O3" i="9" l="1"/>
  <c r="P4" i="9"/>
  <c r="P3" i="9" l="1"/>
  <c r="Q4" i="9"/>
  <c r="R4" i="9" l="1"/>
  <c r="R3" i="9" l="1"/>
  <c r="S4" i="9"/>
  <c r="T4" i="9" l="1"/>
  <c r="S3" i="9"/>
  <c r="U4" i="9" l="1"/>
  <c r="T3" i="9"/>
  <c r="V4" i="9" l="1"/>
  <c r="U3" i="9"/>
  <c r="W4" i="9" l="1"/>
  <c r="V3" i="9"/>
  <c r="W3" i="9" l="1"/>
  <c r="X4" i="9"/>
  <c r="X3" i="9" l="1"/>
  <c r="Y4" i="9"/>
  <c r="Y3" i="9" l="1"/>
  <c r="Z4" i="9"/>
  <c r="Z3" i="9" l="1"/>
  <c r="AA4" i="9"/>
  <c r="AA3" i="9" l="1"/>
  <c r="AB4" i="9"/>
  <c r="AB3" i="9" l="1"/>
  <c r="AC4" i="9"/>
  <c r="AD4" i="9" l="1"/>
  <c r="AC3" i="9"/>
  <c r="AD3" i="9" l="1"/>
  <c r="AE4" i="9"/>
  <c r="AE3" i="9" l="1"/>
  <c r="AF4" i="9"/>
  <c r="AF3" i="9" l="1"/>
  <c r="AG4" i="9"/>
  <c r="AG3" i="9" l="1"/>
  <c r="AH4" i="9"/>
  <c r="AI4" i="9" l="1"/>
  <c r="AH3" i="9"/>
  <c r="AJ4" i="9" l="1"/>
  <c r="AI3" i="9"/>
  <c r="AJ3" i="9" l="1"/>
  <c r="AK4" i="9"/>
  <c r="AL4" i="9" l="1"/>
  <c r="AK3" i="9"/>
  <c r="AM4" i="9" l="1"/>
  <c r="AL3" i="9"/>
  <c r="AM3" i="9" l="1"/>
  <c r="AN4" i="9"/>
  <c r="AO4" i="9" s="1"/>
  <c r="AP4" i="9" l="1"/>
  <c r="AO3" i="9"/>
  <c r="AN3" i="9"/>
  <c r="AQ4" i="9" l="1"/>
  <c r="AP3" i="9"/>
  <c r="AR4" i="9" l="1"/>
  <c r="AQ3" i="9"/>
  <c r="AS4" i="9" l="1"/>
  <c r="AS3" i="9" s="1"/>
  <c r="AR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tc={49FFF105-FA98-4557-9874-EC64961F2346}</author>
    <author>tc={4C3A5EA4-339C-441E-A62A-FB5CF17A97DE}</author>
    <author>tc={676D13EF-E117-4BD2-9E6E-4BC8BA6C8B1C}</author>
    <author>tc={BC8FDE02-8213-4654-9E1A-ECDF6BF79C8B}</author>
  </authors>
  <commentList>
    <comment ref="D16" authorId="0" shapeId="0" xr:uid="{49FFF105-FA98-4557-9874-EC64961F2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05:45, wird aber auf Plan zu klein angezeigt</t>
      </text>
    </comment>
    <comment ref="C19" authorId="1" shapeId="0" xr:uid="{4C3A5EA4-339C-441E-A62A-FB5CF17A97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16:15, wird aber im Plan zu klein angezeigt</t>
      </text>
    </comment>
    <comment ref="D19" authorId="2" shapeId="0" xr:uid="{676D13EF-E117-4BD2-9E6E-4BC8BA6C8B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02:30, wird aber im Plan zu klein angezeigt</t>
      </text>
    </comment>
    <comment ref="D28" authorId="3" shapeId="0" xr:uid="{BC8FDE02-8213-4654-9E1A-ECDF6BF79C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tc={D1EADF04-72C5-4AC2-AEDE-4BEA5CC501B5}</author>
    <author>tc={B17EA548-B3AB-47C5-86FC-BB88BDCBD0F4}</author>
    <author>tc={7E09B71C-A68F-48A8-ADA4-283E18E3C5D0}</author>
  </authors>
  <commentList>
    <comment ref="A7" authorId="0" shapeId="0" xr:uid="{D1EADF04-72C5-4AC2-AEDE-4BEA5CC501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B17EA548-B3AB-47C5-86FC-BB88BDCBD0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6" authorId="2" shapeId="0" xr:uid="{7E09B71C-A68F-48A8-ADA4-283E18E3C5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tc={831948B5-0B00-44B9-9D45-34A274231185}</author>
    <author>tc={925E9545-B943-4682-B8AB-3D4D0E1FEFA7}</author>
    <author>tc={0A4CF072-4A68-418A-A5DD-F3FEB545C2BC}</author>
    <author>tc={BEB1CF6D-7879-4E62-9F12-2DB0CC77CB70}</author>
    <author>tc={0207A5FF-0A28-4570-A385-C6B45DE1CC7D}</author>
    <author>tc={2A2BE023-9F07-4DF9-A7CF-5525E7F5F6D5}</author>
    <author>tc={57E088F6-7B73-4C01-A2ED-EAFD81ED71A1}</author>
    <author>tc={0CEF8ED3-8F87-493D-89C6-95A6B97248CF}</author>
    <author>tc={1AF99646-5436-4137-A67E-955F8614BAFA}</author>
    <author>tc={4B4554BD-751B-45EF-8746-94B6BC560860}</author>
  </authors>
  <commentList>
    <comment ref="B3" authorId="0" shapeId="0" xr:uid="{831948B5-0B00-44B9-9D45-34A274231185}">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t>
      </text>
    </comment>
    <comment ref="C3" authorId="1" shapeId="0" xr:uid="{925E9545-B943-4682-B8AB-3D4D0E1FEFA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Du kannst die Demands nun einfacher eingeben mit: KAT1 KAT2 … - SHIFT_TYPE_GROUP 
siehe KSA</t>
      </text>
    </comment>
    <comment ref="W3" authorId="2" shapeId="0" xr:uid="{0A4CF072-4A68-418A-A5DD-F3FEB545C2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diese Regel so streng? Generiert riesige Kosten...
Antwort:
    war 0</t>
      </text>
    </comment>
    <comment ref="B11" authorId="3" shapeId="0" xr:uid="{BEB1CF6D-7879-4E62-9F12-2DB0CC77CB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Mitarbeitende</t>
      </text>
    </comment>
    <comment ref="W15" authorId="4" shapeId="0" xr:uid="{0207A5FF-0A28-4570-A385-C6B45DE1CC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t>
      </text>
    </comment>
    <comment ref="W16" authorId="5" shapeId="0" xr:uid="{2A2BE023-9F07-4DF9-A7CF-5525E7F5F6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7" authorId="6" shapeId="0" xr:uid="{57E088F6-7B73-4C01-A2ED-EAFD81ED71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26" authorId="7" shapeId="0" xr:uid="{0CEF8ED3-8F87-493D-89C6-95A6B9724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B29" authorId="8" shapeId="0" xr:uid="{1AF99646-5436-4137-A67E-955F8614BA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 ref="A32" authorId="9" shapeId="0" xr:uid="{4B4554BD-751B-45EF-8746-94B6BC5608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tc={34E8AA98-C930-406B-871C-5ADB56AF3557}</author>
  </authors>
  <commentList>
    <comment ref="C12" authorId="0" shapeId="0" xr:uid="{34E8AA98-C930-406B-871C-5ADB56AF35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40</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tc={25E53D01-BBAC-4DD8-89A3-D7CB8E699386}</author>
    <author>tc={148EF7F7-2AF1-483F-BE25-4563550A95F7}</author>
    <author>tc={0B6CCD2D-EBA5-4086-B6F7-F4CA70561074}</author>
    <author>tc={EE32E801-A485-4F1B-AB04-8F76E8E4349C}</author>
    <author>tc={442338D9-3D66-44FC-A94B-2E76ADE75AF6}</author>
    <author>tc={4783FC6E-D9CB-46B8-808D-CA9EA8DA034B}</author>
    <author>tc={A11447F0-CE45-40AD-BE33-A4A2EFE1CF39}</author>
    <author>tc={DDEAEEF3-2AAD-46B0-9B2F-88772A049AAE}</author>
    <author>tc={FA526BE6-6D61-4F0D-9762-6D88FE637609}</author>
    <author>tc={19728A74-03C8-476B-B435-07DAC7501430}</author>
    <author>tc={FCF251BD-D27F-4F81-BC09-8D3276BE1794}</author>
    <author>tc={FC7D798C-98E9-4971-B670-E78BF4F85EBC}</author>
    <author>tc={CBEFF0E7-4B91-4D6D-AFB9-EF156CB5AA7F}</author>
    <author>tc={C783A4FC-8851-455B-B492-2FCEB2EA37D5}</author>
    <author>tc={13AA3D54-012E-4CD0-9EDA-F8A7BFCE1209}</author>
    <author>tc={E82A8420-8323-4CFA-A5F2-5EFBDDD1D637}</author>
    <author>tc={699D9CB2-58FA-41EB-B6F5-19759161CF61}</author>
    <author>tc={9EEC97AD-6F7D-4EDB-9854-53F2A67C8705}</author>
    <author>tc={052B9747-5F06-4377-BDAF-5E8063E73E71}</author>
    <author>tc={116B9C13-B2A0-4B74-B79F-22AECE7F7FDC}</author>
    <author>tc={C0395729-4E0F-46EA-9F10-8B05280D50B9}</author>
    <author>tc={69BAFC6F-C485-4D6F-87F2-C9C4B61D505D}</author>
    <author>tc={D6FBA118-E0AF-4B2F-8E16-8BAE89DF2049}</author>
    <author>tc={A09066C5-BB1C-45A0-A8B8-2E05AC716717}</author>
    <author>tc={51842F7D-2203-4932-BFEE-38C6BAB478E1}</author>
    <author>tc={92A500B3-739D-4B3D-8BB7-1D460388C100}</author>
    <author>tc={881FDCEE-692F-4F7B-B30E-38C3AF77903E}</author>
    <author>tc={83C1A89E-797B-4CB1-92BF-2A5647279598}</author>
    <author>tc={923BF334-89DC-444A-950F-15C182BDD004}</author>
    <author>tc={9E050493-9DAF-402E-B66C-60BD7F19A0DA}</author>
    <author>tc={4409BBC2-D332-4820-8268-BEB217CC77BF}</author>
    <author>tc={75ECE491-8D22-43C9-AFE5-22771BDC1F96}</author>
    <author>tc={BDEF9115-2AC7-42EE-A000-52D0E5577D7B}</author>
    <author>tc={51A436E9-C312-4653-A234-B316DB8B1602}</author>
    <author>tc={FA99DE55-B716-4523-9120-69DF1B91A569}</author>
    <author>tc={2AECD62A-02FD-4238-AA5F-6F3E9C53770A}</author>
    <author>tc={67E1F65B-D146-4718-AD92-61A69FB53959}</author>
    <author>tc={2B638F03-3FE2-4164-A509-E99D5CB5E8B5}</author>
    <author>tc={ED4B7498-9B53-42E7-B157-F76FB8DE69D8}</author>
    <author>tc={CBED3272-381B-4339-9A04-54EB7DA84DDE}</author>
    <author>tc={B56E303B-A0FA-430A-9EF1-6148B685604B}</author>
    <author>tc={E8B985B5-63FC-459B-BD54-758866BAAA98}</author>
    <author>tc={E0EF3543-8F51-42A5-BD0D-C1D47DC1B5CC}</author>
    <author>tc={6FFD9BDB-BBBF-4CB8-ACF2-1C5CD97E063D}</author>
    <author>tc={D23BCD2E-5139-4702-9773-38BF83D9CB91}</author>
    <author>tc={C7087E31-EEC4-41E5-B43B-AB6C44BEAB41}</author>
    <author>tc={14F29479-6A95-4E4C-9D85-9CBAAA5F79EA}</author>
    <author>tc={37CBDC00-6D13-4D83-869A-D2CCE27F5206}</author>
    <author>tc={CFE58327-3966-45A2-9D85-6D03F2AEB0BA}</author>
    <author>tc={0AADF93A-E4C0-4705-84F6-81EEEA0CB3D6}</author>
    <author>tc={AF12AA66-7816-4479-8B5B-81724AB998C2}</author>
    <author>tc={EDFE8AB6-F831-44B4-9C3A-39FA82AC8028}</author>
    <author>tc={9758509A-EB58-4FF5-832B-B8E3535B6D8E}</author>
    <author>tc={D2976F3B-B737-4AA4-9924-639392D186B2}</author>
    <author>tc={EEC5766D-213F-4F53-97B8-C1E14803CB58}</author>
    <author>tc={75FEE6D1-972E-463D-9E96-645A6D81EE77}</author>
    <author>tc={ADE13867-68B2-4223-9E2F-A7325EAB7A8F}</author>
    <author>tc={652C0B13-36B6-407F-BE03-E74138F7B6AB}</author>
    <author>tc={B12594FB-F092-4FBA-A299-DC9246D2665D}</author>
    <author>tc={E788BA75-9918-4069-9E09-FA3C975F97BD}</author>
    <author>tc={AA676958-90DB-4558-B0B7-37CF51E6DE92}</author>
    <author>tc={7A7E9D34-61CB-4676-B649-C3093F4EC204}</author>
    <author>tc={9A726169-A2BD-441C-A783-EFA503BBFE3A}</author>
    <author>tc={D3BC07B6-EDBA-4969-99D8-7810287A94DD}</author>
    <author>tc={DC804E60-6032-4B7C-BE18-F92F6B77388B}</author>
    <author>tc={92AADF35-41CA-4245-AC89-CB88532FCEF4}</author>
    <author>tc={1A26D2BA-74C6-4681-B9D4-2EF15CEB49CE}</author>
  </authors>
  <commentList>
    <comment ref="F2" authorId="0" shapeId="0" xr:uid="{25E53D01-BBAC-4DD8-89A3-D7CB8E69938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@Reinhard:
Ist das eine Abmachung (fix "kein Frühdienst am Donnerstag") oder eine Präferenz (wenn möglich "kein Frühdienst am Donnerstag")?
Antwort:
    Verbot = verbot, d.h. Planer gibt das ein. Ok für euch? </t>
      </text>
    </comment>
    <comment ref="T2" authorId="1" shapeId="0" xr:uid="{148EF7F7-2AF1-483F-BE25-4563550A95F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Min + Opt. freie Weekends oder  Opt. + Min?</t>
      </text>
    </comment>
    <comment ref="U2" authorId="2" shapeId="0" xr:uid="{0B6CCD2D-EBA5-4086-B6F7-F4CA705610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Müsste hier der Bereich nicht optLow und optHigh sein? 
Antwort:
    Meines Erachtens nein. Idee: Planer definiert max. (1. Wert). MA definiert „opt“ = optHigh. Min + optLow würde ich immer als 0 interpretieren, d.h. am liebsten keine WE.
Macht das Sinn?
Antwort:
    Ja, das macht Sinn, danke!</t>
      </text>
    </comment>
    <comment ref="K4" authorId="3" shapeId="0" xr:uid="{EE32E801-A485-4F1B-AB04-8F76E8E434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T4" authorId="4" shapeId="0" xr:uid="{442338D9-3D66-44FC-A94B-2E76ADE75A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5" authorId="5" shapeId="0" xr:uid="{4783FC6E-D9CB-46B8-808D-CA9EA8DA03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5" authorId="6" shapeId="0" xr:uid="{A11447F0-CE45-40AD-BE33-A4A2EFE1C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7" shapeId="0" xr:uid="{DDEAEEF3-2AAD-46B0-9B2F-88772A049A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K5" authorId="8" shapeId="0" xr:uid="{FA526BE6-6D61-4F0D-9762-6D88FE6376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5" authorId="9" shapeId="0" xr:uid="{19728A74-03C8-476B-B435-07DAC7501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B6" authorId="10" shapeId="0" xr:uid="{FCF251BD-D27F-4F81-BC09-8D3276BE17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J6" authorId="11" shapeId="0" xr:uid="{FC7D798C-98E9-4971-B670-E78BF4F85E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12" shapeId="0" xr:uid="{CBEFF0E7-4B91-4D6D-AFB9-EF156CB5AA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13" shapeId="0" xr:uid="{C783A4FC-8851-455B-B492-2FCEB2EA37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7" authorId="14" shapeId="0" xr:uid="{13AA3D54-012E-4CD0-9EDA-F8A7BFCE12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T7" authorId="15" shapeId="0" xr:uid="{E82A8420-8323-4CFA-A5F2-5EFBDDD1D63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8" authorId="16" shapeId="0" xr:uid="{699D9CB2-58FA-41EB-B6F5-19759161CF6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G8" authorId="17" shapeId="0" xr:uid="{9EEC97AD-6F7D-4EDB-9854-53F2A67C87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J8" authorId="18" shapeId="0" xr:uid="{052B9747-5F06-4377-BDAF-5E8063E73E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K8" authorId="19" shapeId="0" xr:uid="{116B9C13-B2A0-4B74-B79F-22AECE7F7F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20" shapeId="0" xr:uid="{C0395729-4E0F-46EA-9F10-8B05280D50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21" shapeId="0" xr:uid="{69BAFC6F-C485-4D6F-87F2-C9C4B61D50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9" authorId="22" shapeId="0" xr:uid="{D6FBA118-E0AF-4B2F-8E16-8BAE89DF20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C9" authorId="23" shapeId="0" xr:uid="{A09066C5-BB1C-45A0-A8B8-2E05AC7167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nur "Di"
Antwort:
    Melanie Elkuch hatte bis jetzt die Präferenz nur am Donnerstag zu arbeiten. Ab sofort kann sie jeden Tag ausser Montag arbeiten (halt im Rahmen ihres Beschäftigungsgrades)
Antwort:
    hier muss Mo stehen, nur wegen Ostermontag rausgenommen!!!</t>
      </text>
    </comment>
    <comment ref="H9" authorId="24" shapeId="0" xr:uid="{51842F7D-2203-4932-BFEE-38C6BAB478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J9" authorId="25" shapeId="0" xr:uid="{92A500B3-739D-4B3D-8BB7-1D460388C1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4 - 4 - 1</t>
      </text>
    </comment>
    <comment ref="K9" authorId="26" shapeId="0" xr:uid="{881FDCEE-692F-4F7B-B30E-38C3AF7790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9" authorId="27" shapeId="0" xr:uid="{83C1A89E-797B-4CB1-92BF-2A56472795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10" authorId="28" shapeId="0" xr:uid="{923BF334-89DC-444A-950F-15C182BDD0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10" authorId="29" shapeId="0" xr:uid="{9E050493-9DAF-402E-B66C-60BD7F19A0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30" shapeId="0" xr:uid="{4409BBC2-D332-4820-8268-BEB217CC7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K10" authorId="31" shapeId="0" xr:uid="{75ECE491-8D22-43C9-AFE5-22771BDC1F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0" authorId="32" shapeId="0" xr:uid="{BDEF9115-2AC7-42EE-A000-52D0E5577D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11" authorId="33" shapeId="0" xr:uid="{51A436E9-C312-4653-A234-B316DB8B16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K11" authorId="34" shapeId="0" xr:uid="{FA99DE55-B716-4523-9120-69DF1B91A5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35" shapeId="0" xr:uid="{2AECD62A-02FD-4238-AA5F-6F3E9C5377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36" shapeId="0" xr:uid="{67E1F65B-D146-4718-AD92-61A69FB5395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12" authorId="37" shapeId="0" xr:uid="{2B638F03-3FE2-4164-A509-E99D5CB5E8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T12" authorId="38" shapeId="0" xr:uid="{ED4B7498-9B53-42E7-B157-F76FB8DE69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13" authorId="39" shapeId="0" xr:uid="{CBED3272-381B-4339-9A04-54EB7DA84D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1.2. 30 % 
Arbeitet nur Dienstag und Wochenende</t>
      </text>
    </comment>
    <comment ref="J13" authorId="40" shapeId="0" xr:uid="{B56E303B-A0FA-430A-9EF1-6148B68560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K13" authorId="41" shapeId="0" xr:uid="{E8B985B5-63FC-459B-BD54-758866BAAA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3" authorId="42" shapeId="0" xr:uid="{E0EF3543-8F51-42A5-BD0D-C1D47DC1B5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
Kontrollieren, ob das mit "wichtig" klappt!</t>
      </text>
    </comment>
    <comment ref="B14" authorId="43" shapeId="0" xr:uid="{6FFD9BDB-BBBF-4CB8-ACF2-1C5CD97E063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0% seit Februar (Mutterschaft)</t>
      </text>
    </comment>
    <comment ref="C14" authorId="44" shapeId="0" xr:uid="{D23BCD2E-5139-4702-9773-38BF83D9CB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Mi, Do - 13:00 - 24:00, Fr - 13:00 - 24:00, Sa - 13:00 - 24:00, So - 13:00 - 24:00</t>
      </text>
    </comment>
    <comment ref="J14" authorId="45" shapeId="0" xr:uid="{C7087E31-EEC4-41E5-B43B-AB6C44BEAB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T14" authorId="46" shapeId="0" xr:uid="{14F29479-6A95-4E4C-9D85-9CBAAA5F79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15" authorId="47" shapeId="0" xr:uid="{37CBDC00-6D13-4D83-869A-D2CCE27F52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
Darf aber aktuell 100 eingeplant werden, auch 6er Schichten wenn nötig</t>
      </text>
    </comment>
    <comment ref="K15" authorId="48" shapeId="0" xr:uid="{CFE58327-3966-45A2-9D85-6D03F2AEB0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 Tag frei zwischen 2 Blöcken möglich!</t>
      </text>
    </comment>
    <comment ref="T15" authorId="49" shapeId="0" xr:uid="{0AADF93A-E4C0-4705-84F6-81EEEA0CB3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16" authorId="50" shapeId="0" xr:uid="{AF12AA66-7816-4479-8B5B-81724AB998C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T16" authorId="51" shapeId="0" xr:uid="{EDFE8AB6-F831-44B4-9C3A-39FA82AC80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dann wichtig = 2 - 1
unwichtig = wird nicht auf WE geachtet.
Leer = neutral</t>
      </text>
    </comment>
    <comment ref="B17" authorId="52" shapeId="0" xr:uid="{9758509A-EB58-4FF5-832B-B8E3535B6D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I17" authorId="53" shapeId="0" xr:uid="{D2976F3B-B737-4AA4-9924-639392D186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2
wurde geändert wegen Bedarfsregeln für Almas (jeder 3x A3+A6)</t>
      </text>
    </comment>
    <comment ref="K17" authorId="54" shapeId="0" xr:uid="{EEC5766D-213F-4F53-97B8-C1E14803CB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55" shapeId="0" xr:uid="{75FEE6D1-972E-463D-9E96-645A6D81EE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56" shapeId="0" xr:uid="{ADE13867-68B2-4223-9E2F-A7325EAB7A8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B18" authorId="57" shapeId="0" xr:uid="{652C0B13-36B6-407F-BE03-E74138F7B6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 ref="G18" authorId="58" shapeId="0" xr:uid="{B12594FB-F092-4FBA-A299-DC9246D266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8" authorId="59" shapeId="0" xr:uid="{E788BA75-9918-4069-9E09-FA3C975F97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T18" authorId="60" shapeId="0" xr:uid="{AA676958-90DB-4558-B0B7-37CF51E6DE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Roswitha gerne an WE, deshalb Roswitha mehr WE einplanen, Heidi weniger.</t>
      </text>
    </comment>
    <comment ref="B19" authorId="61" shapeId="0" xr:uid="{7A7E9D34-61CB-4676-B649-C3093F4EC2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T19" authorId="62" shapeId="0" xr:uid="{9A726169-A2BD-441C-A783-EFA503BBFE3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B20" authorId="63" shapeId="0" xr:uid="{D3BC07B6-EDBA-4969-99D8-7810287A94D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T20" authorId="64" shapeId="0" xr:uid="{DC804E60-6032-4B7C-BE18-F92F6B7738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B21" authorId="65" shapeId="0" xr:uid="{92AADF35-41CA-4245-AC89-CB88532FCE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T21" authorId="66" shapeId="0" xr:uid="{1A26D2BA-74C6-4681-B9D4-2EF15CEB49C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tc={CDFFDD83-A48C-402F-85C7-613128697FC9}</author>
  </authors>
  <commentList>
    <comment ref="T9" authorId="0" shapeId="0" xr:uid="{CDFFDD83-A48C-402F-85C7-613128697F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Montag arbeitet sie eigentlich nicht, aber gem. Regula wird sie wahrscheinlich über Ostern arbeiten, da Pfingsten frei hat.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tc={CB1BE913-4951-42C1-A645-0B320D57D684}</author>
    <author>tc={13039ACE-9722-4BE4-A31D-CD115E691D06}</author>
  </authors>
  <commentList>
    <comment ref="A9" authorId="0" shapeId="0" xr:uid="{CB1BE913-4951-42C1-A645-0B320D57D6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13039ACE-9722-4BE4-A31D-CD115E691D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tc={47893A64-01D2-4E91-87AB-CB3EF7739E7B}</author>
    <author>tc={EC7992D8-8A60-4C63-B729-1B22A0758277}</author>
  </authors>
  <commentList>
    <comment ref="A10" authorId="0" shapeId="0" xr:uid="{47893A64-01D2-4E91-87AB-CB3EF7739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32" authorId="1" shapeId="0" xr:uid="{EC7992D8-8A60-4C63-B729-1B22A07582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tc={2E6604F4-B906-4428-B1B0-69E2CECF9BBA}</author>
    <author>tc={E268E56C-4528-47FB-9F5C-792A056B65C6}</author>
    <author>tc={98D58D65-2C7A-43C6-B6A1-7489395E2744}</author>
    <author>tc={693264EF-BCD8-4B6A-90B6-5E48A9C9D62E}</author>
    <author>tc={CA92F11B-42B2-41D4-B10E-EE60A6DB8629}</author>
    <author>tc={2E936B59-93B3-47E9-A989-4E3E5E32972C}</author>
  </authors>
  <commentList>
    <comment ref="J2" authorId="0" shapeId="0" xr:uid="{2E6604F4-B906-4428-B1B0-69E2CECF9B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E268E56C-4528-47FB-9F5C-792A056B65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98D58D65-2C7A-43C6-B6A1-7489395E27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693264EF-BCD8-4B6A-90B6-5E48A9C9D6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CA92F11B-42B2-41D4-B10E-EE60A6DB86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2E936B59-93B3-47E9-A989-4E3E5E3297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<sst xmlns="http://schemas.openxmlformats.org/spreadsheetml/2006/main" count="1439" uniqueCount="528">
  <si>
    <t>ID</t>
  </si>
  <si>
    <t>Name</t>
  </si>
  <si>
    <t>ab PEP</t>
  </si>
  <si>
    <t>Personen</t>
  </si>
  <si>
    <t>Spezialkenntnisse (ID)</t>
  </si>
  <si>
    <t>Name MA</t>
  </si>
  <si>
    <t xml:space="preserve">Employments </t>
  </si>
  <si>
    <t>Kategorien</t>
  </si>
  <si>
    <t>Standardanzeigeposition</t>
  </si>
  <si>
    <t>01</t>
  </si>
  <si>
    <t>02</t>
  </si>
  <si>
    <t>03</t>
  </si>
  <si>
    <t>04</t>
  </si>
  <si>
    <t>05</t>
  </si>
  <si>
    <t>06</t>
  </si>
  <si>
    <t>07</t>
  </si>
  <si>
    <t>08</t>
  </si>
  <si>
    <t>09</t>
  </si>
  <si>
    <t>10</t>
  </si>
  <si>
    <t>11</t>
  </si>
  <si>
    <t>12</t>
  </si>
  <si>
    <t>13</t>
  </si>
  <si>
    <t>14</t>
  </si>
  <si>
    <t>16</t>
  </si>
  <si>
    <t>17</t>
  </si>
  <si>
    <t>alles aus PEP - Spezialkentnisse einfach sauber erfassen.</t>
  </si>
  <si>
    <t>employment</t>
  </si>
  <si>
    <t>Zuordnungen</t>
  </si>
  <si>
    <t xml:space="preserve">von PEP </t>
  </si>
  <si>
    <t>Diensttypen</t>
  </si>
  <si>
    <t>Start-Tageszeit 00:00</t>
  </si>
  <si>
    <t>Dauer in 00:00</t>
  </si>
  <si>
    <t>Arb.Zeit in 00:00</t>
  </si>
  <si>
    <t>Ruhezeit in 00:00</t>
  </si>
  <si>
    <t>S</t>
  </si>
  <si>
    <t>B</t>
  </si>
  <si>
    <t>Büro</t>
  </si>
  <si>
    <t>Diensttypgruppen</t>
  </si>
  <si>
    <t>Zeitliche Einschränkungen und Vorlieben</t>
  </si>
  <si>
    <t>Monatliche Dienstlimiten und Präferenzen</t>
  </si>
  <si>
    <t>Arbeits- und Freiblock</t>
  </si>
  <si>
    <t xml:space="preserve">Nächte ( Gruppe =) : </t>
  </si>
  <si>
    <t>(unbedingt GruppenID eintragen, falls leer dann werden Nachtregeln ignoriert)</t>
  </si>
  <si>
    <t>Wochenendarbeit</t>
  </si>
  <si>
    <t>Unverfügbar</t>
  </si>
  <si>
    <t>Beliebte Arbeitszeiten</t>
  </si>
  <si>
    <t>Unbeliebte Arbeitszeit</t>
  </si>
  <si>
    <t>Verboten</t>
  </si>
  <si>
    <t>Beliebte Dienste</t>
  </si>
  <si>
    <t>Unbeliebte Dienste</t>
  </si>
  <si>
    <t xml:space="preserve">Max. + Opt. Anz. Dienste </t>
  </si>
  <si>
    <t>Max. + Opt high + Opt-low Arbeitsblocklänge</t>
  </si>
  <si>
    <t>Min. + Opt. Freiblockdauer (in Std.)</t>
  </si>
  <si>
    <t>Max. + Opt. Anz. Dienste in Block</t>
  </si>
  <si>
    <t>Vorwärtsrotierung (max. minus Std.)</t>
  </si>
  <si>
    <t>in Block: Max + Opt. High + opt low Nächte</t>
  </si>
  <si>
    <t>Tag nach Nacht verboten? Ja / nein (leer = standardwert übernehmen)</t>
  </si>
  <si>
    <t>Min + Opt. Freiblockdauer nach Nacht (in Std.)</t>
  </si>
  <si>
    <t>Max + Opt aufeinanderf. WE mit Arbeit</t>
  </si>
  <si>
    <t>EOL : End of line</t>
  </si>
  <si>
    <t>Mitarbeitende</t>
  </si>
  <si>
    <t>Wichtigkeit: ….</t>
  </si>
  <si>
    <t>-</t>
  </si>
  <si>
    <t>SEHR HOCH</t>
  </si>
  <si>
    <t>DURCHSCHNITTLICH</t>
  </si>
  <si>
    <t>ÜBERDURCHSCHNITTLICH</t>
  </si>
  <si>
    <t>UNTERDURCHSCHNITTLICH</t>
  </si>
  <si>
    <t>ÜBERDURCHSCHNITTLICH - UNTERDURCHSCHNITTLICH</t>
  </si>
  <si>
    <t>HOCH</t>
  </si>
  <si>
    <t>Bemerkungen</t>
  </si>
  <si>
    <t>DIESE ZEILE SO LASSEN</t>
  </si>
  <si>
    <t>Name MA         Standardwerte:</t>
  </si>
  <si>
    <t xml:space="preserve"> (cell value not considered)</t>
  </si>
  <si>
    <t>( cell value not considered)</t>
  </si>
  <si>
    <t>(cell value not considered)</t>
  </si>
  <si>
    <t>(cell value not cons.)</t>
  </si>
  <si>
    <t>ja</t>
  </si>
  <si>
    <t>3 - 2</t>
  </si>
  <si>
    <t>EOL</t>
  </si>
  <si>
    <t>Mi</t>
  </si>
  <si>
    <t>Do</t>
  </si>
  <si>
    <t>Di</t>
  </si>
  <si>
    <t>Wochentage oder</t>
  </si>
  <si>
    <t>Wochentag - Start - Ende</t>
  </si>
  <si>
    <t>Falls ":" und zweiter Teil fehlt, dann verboten</t>
  </si>
  <si>
    <t>below opt = average</t>
  </si>
  <si>
    <t xml:space="preserve"> z.B. Do - 16:00 - 22:00</t>
  </si>
  <si>
    <t>not implemented</t>
  </si>
  <si>
    <t>NEU in CPP (Mitarbeitende-Profil)</t>
  </si>
  <si>
    <t>wie im PEP!!</t>
  </si>
  <si>
    <t>Restriction, only one</t>
  </si>
  <si>
    <t>PRIO 2</t>
  </si>
  <si>
    <t xml:space="preserve"> pair for each week</t>
  </si>
  <si>
    <t xml:space="preserve"> day will be retained</t>
  </si>
  <si>
    <t>Fixierte Dienste</t>
  </si>
  <si>
    <t>Start Planning</t>
  </si>
  <si>
    <t>(inklusiv)</t>
  </si>
  <si>
    <t>erster Tag</t>
  </si>
  <si>
    <t>(Anzahl Tage vor Start)</t>
  </si>
  <si>
    <t>Standard-Targetarb.Zeit +/- Sollzeit (min, optLow, optHigh, max) Komma separiert</t>
  </si>
  <si>
    <t xml:space="preserve"> und Abwesenheiten</t>
  </si>
  <si>
    <t>Ende Planning</t>
  </si>
  <si>
    <t>(exklusive dieser Tag)</t>
  </si>
  <si>
    <t>auf Board</t>
  </si>
  <si>
    <t>Gearbeitete Dienst im letzten Monat (zur Adaptierung "opt" aus MA-Profil)</t>
  </si>
  <si>
    <t>"pain" sollzeit</t>
  </si>
  <si>
    <t>DURCHSCHNITTLICH - HOCH</t>
  </si>
  <si>
    <t>Anzahl der letzten</t>
  </si>
  <si>
    <t>Standard-Kategorie</t>
  </si>
  <si>
    <t>Gleitzeitsaldo (in ganz: Std.)</t>
  </si>
  <si>
    <t>Sollarbeitszeit (in ganz. Stunde)</t>
  </si>
  <si>
    <t>Spezifische "Target" - Arbeitszeitbereich, Absolutwerte in Std.  (min, optLow, optHigh, max) Komma separiert</t>
  </si>
  <si>
    <t>letzter Monat (oder Schnitt)</t>
  </si>
  <si>
    <t>WE gearbeitet</t>
  </si>
  <si>
    <t>Gruppe / Tage</t>
  </si>
  <si>
    <t>&gt;</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</si>
  <si>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</si>
  <si>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</si>
  <si>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</si>
  <si>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</si>
  <si>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</si>
  <si>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</si>
  <si>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</si>
  <si>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</si>
  <si>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</si>
  <si>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</si>
  <si>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Wünsche aus CollaPP</t>
  </si>
  <si>
    <t>(Angaben optional, …)</t>
  </si>
  <si>
    <t>17H &gt;</t>
  </si>
  <si>
    <t>Bei Ende Absenz zu gewisser Zeit (Stunde) - hier 17</t>
  </si>
  <si>
    <t>&lt; , &gt; = ganzer Tag weg, keine Zeit angerechnet</t>
  </si>
  <si>
    <t>Fixierte Dienste - Angabe mit und ohne Knoten</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</si>
  <si>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</si>
  <si>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</si>
  <si>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</si>
  <si>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</si>
  <si>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</si>
  <si>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</si>
  <si>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</si>
  <si>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Bedafsdefinitionen</t>
  </si>
  <si>
    <t xml:space="preserve"> (Einschränkung Mitarbeiter)</t>
  </si>
  <si>
    <t>Mo</t>
  </si>
  <si>
    <t>Fr</t>
  </si>
  <si>
    <t>Sa</t>
  </si>
  <si>
    <t>So</t>
  </si>
  <si>
    <t>Feiertage (optional)</t>
  </si>
  <si>
    <t>Wie schlimm unter opt?</t>
  </si>
  <si>
    <t>Group ID</t>
  </si>
  <si>
    <t>Bezeichnung</t>
  </si>
  <si>
    <t>nur MA mit Spezialkenntnissen</t>
  </si>
  <si>
    <t>min</t>
  </si>
  <si>
    <t>opt</t>
  </si>
  <si>
    <t>IMPORTANCE</t>
  </si>
  <si>
    <t>aktivieren ? Ja / nein (kein Gültigkeitsdatum, ja = gültig, nein = nicht gültig, später mit Gütlgikeit - oder evtl. mit saisonaler Gültigkeit ?)</t>
  </si>
  <si>
    <t>Qualitative Weight</t>
  </si>
  <si>
    <t>2 Werte</t>
  </si>
  <si>
    <t>SEHR TIEF</t>
  </si>
  <si>
    <t>TIEF</t>
  </si>
  <si>
    <t>DURCHSCHNITTLICH - DURCHSCHNITTLICH</t>
  </si>
  <si>
    <t>Bedarfseckung möglich dur Kategorien - Diensttyp  Kombinationen (Komma separiert)</t>
  </si>
  <si>
    <t>Kombinationen, die automatisiert hinzugefügt werden können</t>
  </si>
  <si>
    <t>Kombinationen, die nur fixiert im Plan sein können</t>
  </si>
  <si>
    <t>ÜBERDURCHSCHNITTLICH - DURCHSCHNITTLICH</t>
  </si>
  <si>
    <t>Bestrafte Abfolgen</t>
  </si>
  <si>
    <t xml:space="preserve">"von" Dienstgruppe - "zu" </t>
  </si>
  <si>
    <t xml:space="preserve">Dienstgruppe - Bestrafung </t>
  </si>
  <si>
    <t xml:space="preserve">(optional , z.B. HOCH, ...) , </t>
  </si>
  <si>
    <t>Für Sortierung</t>
  </si>
  <si>
    <t>Hilfszahlen | Anz. Tage</t>
  </si>
  <si>
    <t>für Sollzeit | Anz. Sa+So</t>
  </si>
  <si>
    <t>Obere Grenze?</t>
  </si>
  <si>
    <t>Delta von opt</t>
  </si>
  <si>
    <t>Anzeige-Farbe RBG (Hintergrund)</t>
  </si>
  <si>
    <t>C8FEFF</t>
  </si>
  <si>
    <t>Nur Planner</t>
  </si>
  <si>
    <t>Dienstpräferenzen</t>
  </si>
  <si>
    <t>Verbotene Dienste</t>
  </si>
  <si>
    <t>Group - Wochentage (zweites Optional) - Knoten (optional)</t>
  </si>
  <si>
    <t>Max + Opt high Anz. Blöcke mit Nächten</t>
  </si>
  <si>
    <t>shift group : value</t>
  </si>
  <si>
    <t>2 - PH</t>
  </si>
  <si>
    <t>Holidays</t>
  </si>
  <si>
    <t>Icon directory</t>
  </si>
  <si>
    <t>ÜBERDURCHSCHNITTLICH - ÜBERDURCHSCHNITTLICH</t>
  </si>
  <si>
    <t>Max. + Opt. + Optlow Nächte</t>
  </si>
  <si>
    <t>&lt; , &gt;</t>
  </si>
  <si>
    <t>Wichtig -&gt; HOCH</t>
  </si>
  <si>
    <t>NEUTRAL -&gt; Überdurchschn.</t>
  </si>
  <si>
    <t>längerfristig…</t>
  </si>
  <si>
    <t>FR NACHT</t>
  </si>
  <si>
    <t>SA 3X</t>
  </si>
  <si>
    <t>SO 3X</t>
  </si>
  <si>
    <t>FR SA SO Nacht</t>
  </si>
  <si>
    <t>SA SO spät</t>
  </si>
  <si>
    <t>SA SO Früh</t>
  </si>
  <si>
    <t xml:space="preserve">zwischen 3 und 7 MA arbeiten an einem WE * Anzahl </t>
  </si>
  <si>
    <t>zwischen 12 und 28 arbeiten an einem WE</t>
  </si>
  <si>
    <t>Totale Anzahl Weekends mit Arbeit</t>
  </si>
  <si>
    <t>unwichtig , neutral, wichtig</t>
  </si>
  <si>
    <t>1 : 24 - 46 , 4 : 34 - 46</t>
  </si>
  <si>
    <t>L</t>
  </si>
  <si>
    <t>FABED4</t>
  </si>
  <si>
    <t>DCBEFF</t>
  </si>
  <si>
    <t>Dipl</t>
  </si>
  <si>
    <t>F6E0A8</t>
  </si>
  <si>
    <t>F1</t>
  </si>
  <si>
    <t>F</t>
  </si>
  <si>
    <t>Spät</t>
  </si>
  <si>
    <t>FaGe</t>
  </si>
  <si>
    <t>15</t>
  </si>
  <si>
    <t>Zur Sortierung</t>
  </si>
  <si>
    <t>5 - 5 - 3</t>
  </si>
  <si>
    <t>5 - 5 - 4</t>
  </si>
  <si>
    <t>Kategorie resp. Gruppe - Kategorie (falls mehrere Gruppen / Planblätter) = Kontext</t>
  </si>
  <si>
    <t>Station 2.OG - Leitung</t>
  </si>
  <si>
    <t>Station 2.OG - Fachpersonal mit Diplom</t>
  </si>
  <si>
    <t>Station 2.OG - Fachpersonal mit Fähigkeitszeugnis</t>
  </si>
  <si>
    <t>MA</t>
  </si>
  <si>
    <t>Station 2.OG - Mitarbeitende</t>
  </si>
  <si>
    <t>LE</t>
  </si>
  <si>
    <t>Station 2.OG - Lernende</t>
  </si>
  <si>
    <t>Zeitintervalle, die nicht zur</t>
  </si>
  <si>
    <t>Bedarfsdeckung gezählt werden</t>
  </si>
  <si>
    <t>B2</t>
  </si>
  <si>
    <t>Büro 2</t>
  </si>
  <si>
    <t>halber Dienst</t>
  </si>
  <si>
    <t>Früh 1</t>
  </si>
  <si>
    <t>G1</t>
  </si>
  <si>
    <t>Geteilt 1</t>
  </si>
  <si>
    <t>13:00 - 16:00</t>
  </si>
  <si>
    <t>Geteilt 1 Morgen</t>
  </si>
  <si>
    <t>Geteilt 1 Nachmittag</t>
  </si>
  <si>
    <t>G2</t>
  </si>
  <si>
    <t>Geteilt 2</t>
  </si>
  <si>
    <t>11:15 - 16:00</t>
  </si>
  <si>
    <t>Geteilt 2 Morgen</t>
  </si>
  <si>
    <t>Geteilt 2 Nachmittag</t>
  </si>
  <si>
    <t>K2</t>
  </si>
  <si>
    <t>Kurz 2</t>
  </si>
  <si>
    <t>S2</t>
  </si>
  <si>
    <t>Spät 2</t>
  </si>
  <si>
    <t>A1</t>
  </si>
  <si>
    <t>Alma 1</t>
  </si>
  <si>
    <t>13:15 - 16:15</t>
  </si>
  <si>
    <t>A2</t>
  </si>
  <si>
    <t>Alma 2</t>
  </si>
  <si>
    <t>A3</t>
  </si>
  <si>
    <t>Alma 3</t>
  </si>
  <si>
    <t>A4</t>
  </si>
  <si>
    <t>Alma 4</t>
  </si>
  <si>
    <t>A5</t>
  </si>
  <si>
    <t>Alma 5</t>
  </si>
  <si>
    <t>A6</t>
  </si>
  <si>
    <t>Alma 6</t>
  </si>
  <si>
    <t>nur fixiert im Plan</t>
  </si>
  <si>
    <t>L1</t>
  </si>
  <si>
    <t>Lernende 1</t>
  </si>
  <si>
    <t>L2</t>
  </si>
  <si>
    <t>Lernende 2</t>
  </si>
  <si>
    <t>LS</t>
  </si>
  <si>
    <t>Lernende Schule</t>
  </si>
  <si>
    <t>Arbeitsort (Station)</t>
  </si>
  <si>
    <t>Start - Ende</t>
  </si>
  <si>
    <t>anrechenbare Arbeitszeit</t>
  </si>
  <si>
    <t>SC Team 2.OG</t>
  </si>
  <si>
    <t>08:00 - 12:00, 13:00 - 16:00</t>
  </si>
  <si>
    <t>07:00 - 13:00, 13:45 - 16:09</t>
  </si>
  <si>
    <t>07:30 - 13:00, 16:00 - 18:54</t>
  </si>
  <si>
    <t>07:30 - 11:15, 16:00 - 20:30</t>
  </si>
  <si>
    <t>07:00 - 13:00</t>
  </si>
  <si>
    <t>11:30 - 13:00, 13:45 - 20:30</t>
  </si>
  <si>
    <t>Spät 3</t>
  </si>
  <si>
    <t>10:00 - 13:00, 13:45 - 19:00</t>
  </si>
  <si>
    <t xml:space="preserve">07:30 - 13:15, 16:15 - 18:45 </t>
  </si>
  <si>
    <t>07:30 - 13:15</t>
  </si>
  <si>
    <r>
      <t>07:30 - 13:15, 14:00 - 16:</t>
    </r>
    <r>
      <rPr>
        <sz val="10"/>
        <color rgb="FFFF0000"/>
        <rFont val="Arial"/>
        <family val="2"/>
      </rPr>
      <t>15</t>
    </r>
  </si>
  <si>
    <t>10:15 - 13:15, 13:45 - 18:45</t>
  </si>
  <si>
    <t>16:15 - 18:45</t>
  </si>
  <si>
    <t>11:45 - 15:30, 16:15 - 18:45</t>
  </si>
  <si>
    <t>Früh</t>
  </si>
  <si>
    <t>G</t>
  </si>
  <si>
    <t>Geteilt</t>
  </si>
  <si>
    <t>K</t>
  </si>
  <si>
    <t>Kurz</t>
  </si>
  <si>
    <t>A</t>
  </si>
  <si>
    <t>Alma</t>
  </si>
  <si>
    <t>PF</t>
  </si>
  <si>
    <t>Pflege</t>
  </si>
  <si>
    <t>PFvor16</t>
  </si>
  <si>
    <t>Pflege Start vor 16</t>
  </si>
  <si>
    <t>NVF</t>
  </si>
  <si>
    <t>Nicht Vor Frei</t>
  </si>
  <si>
    <t>FK</t>
  </si>
  <si>
    <t>Früh und Kurz</t>
  </si>
  <si>
    <t>GS</t>
  </si>
  <si>
    <t>Geteilt und Spät</t>
  </si>
  <si>
    <t>S2030</t>
  </si>
  <si>
    <t>Spät 2030</t>
  </si>
  <si>
    <t>F0700</t>
  </si>
  <si>
    <t>Früh 0700</t>
  </si>
  <si>
    <t>D03</t>
  </si>
  <si>
    <t>Regula Dienste</t>
  </si>
  <si>
    <t>HD</t>
  </si>
  <si>
    <t>Halbe Dienste</t>
  </si>
  <si>
    <t>LD</t>
  </si>
  <si>
    <t>Lernende Dienste</t>
  </si>
  <si>
    <t>Besetzungsbedarf 2022</t>
  </si>
  <si>
    <t>Standort:</t>
  </si>
  <si>
    <t>St. Laurentius</t>
  </si>
  <si>
    <t>Abteilung:</t>
  </si>
  <si>
    <t>2.OG</t>
  </si>
  <si>
    <t>Montag bis Freitag</t>
  </si>
  <si>
    <t>Bedarf</t>
  </si>
  <si>
    <t>Dienste</t>
  </si>
  <si>
    <t>x</t>
  </si>
  <si>
    <t>Samstag / Sonntag und Feiertage</t>
  </si>
  <si>
    <t>Arbeitsplätze</t>
  </si>
  <si>
    <t>Anzeigetext</t>
  </si>
  <si>
    <t>nächste Schicht möglich ab</t>
  </si>
  <si>
    <t>B2 | Doku</t>
  </si>
  <si>
    <t>Büro 2 Morgen dann Doku Nachmittag</t>
  </si>
  <si>
    <t>Gemischte Dienste, die seit August 2022 verwendet wurden.
Bedarf definieren oder nur manuell planbar?
Zu welcher Diensttypgruppe zählen gemischte Dienste?</t>
  </si>
  <si>
    <t>K2 | -&gt;</t>
  </si>
  <si>
    <t>Kurz 2 Morgen dann Pfeil Nachmittag</t>
  </si>
  <si>
    <t>K2 | Doku</t>
  </si>
  <si>
    <t>Kurz 2 Morgen dann Doku Nachmittag</t>
  </si>
  <si>
    <t>A2 | Doku</t>
  </si>
  <si>
    <t>Alma 2 Morgen dann Doku Nachmittag</t>
  </si>
  <si>
    <t>Doku | S2</t>
  </si>
  <si>
    <t>Doku Morgen dann Spät 2 Nachmittag</t>
  </si>
  <si>
    <t>???</t>
  </si>
  <si>
    <t>Kombinationen aus Dienst + Doku / Pfeil: Doku oder Pfeil nachträglich manuell einplanen, Dienste halbtags ermöglichen (A2 und S2 sind +/- bereits halbtags -&gt; so belassen?)</t>
  </si>
  <si>
    <t>-&gt; Dienstlich abwesend (z.B. Sitzung)</t>
  </si>
  <si>
    <t>shiftIcons/lak</t>
  </si>
  <si>
    <t>L_Dipl 0700_0730</t>
  </si>
  <si>
    <t>L Dipl - F1, L Dipl - K2</t>
  </si>
  <si>
    <t>L_Dipl 0730_2030</t>
  </si>
  <si>
    <t>L Dipl - G1, L Dipl - G2</t>
  </si>
  <si>
    <t>L_Dipl 0700_1300</t>
  </si>
  <si>
    <t>L Dipl - F1, L Dipl - K2, L Dipl - G1, L Dipl - G2</t>
  </si>
  <si>
    <t>L_Dipl_FaGe 0730_1115</t>
  </si>
  <si>
    <t>L_Dipl_FaGe 1115_1300</t>
  </si>
  <si>
    <t>L_Dipl_FaGe 1300_1600</t>
  </si>
  <si>
    <t>L Dipl FaGe - F1, L Dipl FaGe - S2</t>
  </si>
  <si>
    <t>L_Dipl_FaGe 1600_1615</t>
  </si>
  <si>
    <t>L_Dipl_FaGe 1615_1845</t>
  </si>
  <si>
    <t>L_Dipl_FaGe_MA 0700_0730</t>
  </si>
  <si>
    <t>L Dipl FaGe MA - F1, L Dipl FaGe MA - K2, LE - L1</t>
  </si>
  <si>
    <t>L_Dipl_FaGe_MA 0730_1115</t>
  </si>
  <si>
    <t>L_Dipl_FaGe_MA 1115_1300</t>
  </si>
  <si>
    <t>L_Dipl_FaGe_MA 1300_1600</t>
  </si>
  <si>
    <t>L Dipl FaGe MA - F1, L Dipl FaGe MA - S2, LE - L1, LE - L2</t>
  </si>
  <si>
    <t>L_Dipl_FaGe_MA 1600_1615</t>
  </si>
  <si>
    <t>L_Dipl_FaGe_MA 1615_1845</t>
  </si>
  <si>
    <t>L_Dipl_FaGe_MA 1845_2030</t>
  </si>
  <si>
    <t>Pflege_WE_1</t>
  </si>
  <si>
    <t>L Dipl - F1, L Dipl - G1, L Dipl - G2</t>
  </si>
  <si>
    <t>Pflege_WE_2</t>
  </si>
  <si>
    <t>L Dipl FaGe - F1</t>
  </si>
  <si>
    <t>Pflege_WE_3</t>
  </si>
  <si>
    <t>L Dipl FaGe MA - F1, LE - L1</t>
  </si>
  <si>
    <t>Pflege_WE_4</t>
  </si>
  <si>
    <t>L Dipl FaGe MA - G1</t>
  </si>
  <si>
    <t>Pflege_WE_5</t>
  </si>
  <si>
    <t>L Dipl FaGe - G2</t>
  </si>
  <si>
    <t>Alma_0730_1015</t>
  </si>
  <si>
    <t>MA - A1, MA - A2, MA - A3</t>
  </si>
  <si>
    <t>Alma_1015_1145</t>
  </si>
  <si>
    <t>MA - A1, MA - A2, MA - A3, MA - A4</t>
  </si>
  <si>
    <t>Alma_1145_1315</t>
  </si>
  <si>
    <t>MA - A1, MA - A2, MA - A3, MA - A4, MA - A6</t>
  </si>
  <si>
    <t>Alma_1315_1615</t>
  </si>
  <si>
    <t>MA - A3, MA - A4, MA - A6</t>
  </si>
  <si>
    <t>Alma_1615_1845</t>
  </si>
  <si>
    <t>MA - A1, MA - A4, MA - A5, MA - A6</t>
  </si>
  <si>
    <t>Alma_Kombi_A3_A4_verbieten</t>
  </si>
  <si>
    <t>MA - A3, MA - A4</t>
  </si>
  <si>
    <t>Alma_WE</t>
  </si>
  <si>
    <t>MA - A1</t>
  </si>
  <si>
    <t>L - B2</t>
  </si>
  <si>
    <t>L 0800_1200</t>
  </si>
  <si>
    <t>L 1300_1600</t>
  </si>
  <si>
    <t>LE_L1</t>
  </si>
  <si>
    <t>LE - L1</t>
  </si>
  <si>
    <t>LE_L2</t>
  </si>
  <si>
    <t>LE - L2</t>
  </si>
  <si>
    <t>Kunz-Frick, Monika</t>
  </si>
  <si>
    <t>Gstöhl, Belinda</t>
  </si>
  <si>
    <t>Kohler-Künzler, Regula</t>
  </si>
  <si>
    <t>Kornberger, Veronika</t>
  </si>
  <si>
    <t>Elkuch, Melanie</t>
  </si>
  <si>
    <t>Rohrer, Diana</t>
  </si>
  <si>
    <t>Frick (Petek), Simona</t>
  </si>
  <si>
    <t>Meier, Yvonne</t>
  </si>
  <si>
    <t>Lehmann, Monika</t>
  </si>
  <si>
    <t>Kajtazaj, Daniela</t>
  </si>
  <si>
    <t>Yhongshitsang, Tashi Lhamo</t>
  </si>
  <si>
    <t>Simonovic, Milka</t>
  </si>
  <si>
    <t>Steinauer, Heidi</t>
  </si>
  <si>
    <t>Markart, Roswitha</t>
  </si>
  <si>
    <t>Tasholli, Albin</t>
  </si>
  <si>
    <t>Marxer, Manuel</t>
  </si>
  <si>
    <t>Zen, Chiara</t>
  </si>
  <si>
    <t>Di &amp; Fr fix Büro, Mo &amp; Do-VM wenn möglich Büro, ansonsten Pflege</t>
  </si>
  <si>
    <t>Büro nur wenn Monika in Ferien -&gt; vorab manuell einplanen</t>
  </si>
  <si>
    <t>Springer für Alma (aktuell 1 Alma krank)</t>
  </si>
  <si>
    <t>3. Lehrjahr</t>
  </si>
  <si>
    <t>2. Lehrjahr</t>
  </si>
  <si>
    <t>Mi, Do - 13:00 - 24:00</t>
  </si>
  <si>
    <t>Mo, Di - 17:00 - 24:00, Do - 13:00 - 24:00</t>
  </si>
  <si>
    <t>Mo, Mi, Do, Fr</t>
  </si>
  <si>
    <t>Sa - 17:00 - 23:00, So - 17:00 - 23:00</t>
  </si>
  <si>
    <t>Sa - 17:00 - 23:00, So</t>
  </si>
  <si>
    <t>S2, LD, HD, G2</t>
  </si>
  <si>
    <t>LD, HD</t>
  </si>
  <si>
    <t>B, F, G, K, S, A</t>
  </si>
  <si>
    <t>FK, S2</t>
  </si>
  <si>
    <t>PF - Do</t>
  </si>
  <si>
    <r>
      <t xml:space="preserve">A3 - Mo Do, </t>
    </r>
    <r>
      <rPr>
        <sz val="10"/>
        <color rgb="FFFF0000"/>
        <rFont val="Arial"/>
        <family val="2"/>
      </rPr>
      <t>A5</t>
    </r>
    <r>
      <rPr>
        <sz val="10"/>
        <color theme="1"/>
        <rFont val="Arial"/>
        <family val="2"/>
      </rPr>
      <t>, A2, A6</t>
    </r>
  </si>
  <si>
    <t>A5, A2, A6</t>
  </si>
  <si>
    <t>S2, G2</t>
  </si>
  <si>
    <t>L2 - Sa So</t>
  </si>
  <si>
    <t>F - Sa So : 4 - 2 , G - Sa So : 4 - 2, FK : 12 - 9, GS : 12 - 9</t>
  </si>
  <si>
    <t>FK : 5 - 4, GS : 5 - 4</t>
  </si>
  <si>
    <t>FK : 9 - 6, GS : 9 - 6</t>
  </si>
  <si>
    <t>A6 : 3 - 3</t>
  </si>
  <si>
    <t>L1 : 10 - 8, L2 : 10 - 8</t>
  </si>
  <si>
    <t>L1 : 9 - 7, L2 : 9 - 7</t>
  </si>
  <si>
    <t>5 - 5 - 2</t>
  </si>
  <si>
    <t>5 - 4 - 2</t>
  </si>
  <si>
    <t>6 - 5 - 3</t>
  </si>
  <si>
    <t>24 - 40</t>
  </si>
  <si>
    <t>FK : 5 - 3, GS : 5 - 3</t>
  </si>
  <si>
    <t>S : 5 - 2</t>
  </si>
  <si>
    <t>S : 4 - 2</t>
  </si>
  <si>
    <t xml:space="preserve">3 - 1 </t>
  </si>
  <si>
    <t>&lt;17H - 24</t>
  </si>
  <si>
    <t>&lt;0H - 30</t>
  </si>
  <si>
    <t>&lt;17H - 27</t>
  </si>
  <si>
    <t>&lt;0H - 20</t>
  </si>
  <si>
    <t>S2030 - F0700 : DURCHSCHNITTLICH</t>
  </si>
  <si>
    <t>&lt;17H - 10</t>
  </si>
  <si>
    <t xml:space="preserve">3 - 3 </t>
  </si>
  <si>
    <t>3 - 3</t>
  </si>
  <si>
    <t>2 - 1</t>
  </si>
  <si>
    <t>&lt;0H - 72</t>
  </si>
  <si>
    <t>&lt;0H - 32</t>
  </si>
  <si>
    <t>WD</t>
  </si>
  <si>
    <t>Weekend Dienste</t>
  </si>
  <si>
    <t>5 - 5 - 1</t>
  </si>
  <si>
    <t>24 - 36, 5 : 36 - 48, 6 : 48 - 72</t>
  </si>
  <si>
    <t>5 : 36 - 48</t>
  </si>
  <si>
    <t>126, 131, 146, 146</t>
  </si>
  <si>
    <t>111, 116, 130, 130</t>
  </si>
  <si>
    <t>-15 ,  -10 , 0 , 10</t>
  </si>
  <si>
    <t>66, 71, 85, 85</t>
  </si>
  <si>
    <t>PF : 5 - 4</t>
  </si>
  <si>
    <t>24 - 24</t>
  </si>
  <si>
    <t>Schule 1 dann L1</t>
  </si>
  <si>
    <t>L1_</t>
  </si>
  <si>
    <t>K2_B2</t>
  </si>
  <si>
    <t>Lernende 1 dann Frei</t>
  </si>
  <si>
    <t>Doku_B2</t>
  </si>
  <si>
    <t>Doku</t>
  </si>
  <si>
    <t>_Doku</t>
  </si>
  <si>
    <t>Doku_A5</t>
  </si>
  <si>
    <t>Doku dann Büro 2</t>
  </si>
  <si>
    <t>Doku dann Alma 5</t>
  </si>
  <si>
    <t>K2_Doku</t>
  </si>
  <si>
    <t>Kurz 2 dann Doku</t>
  </si>
  <si>
    <t>K2_Pfeil</t>
  </si>
  <si>
    <t>Kurz 2 dann Pfeil</t>
  </si>
  <si>
    <t>Doku_S2</t>
  </si>
  <si>
    <t>Doku dann S2</t>
  </si>
  <si>
    <t>Frei dann Doku</t>
  </si>
  <si>
    <t>Pfeil</t>
  </si>
  <si>
    <t>B2_</t>
  </si>
  <si>
    <t>G1_</t>
  </si>
  <si>
    <t>Büro 2 dann Frei</t>
  </si>
  <si>
    <t>Frei dann Büro 2</t>
  </si>
  <si>
    <t>_B2</t>
  </si>
  <si>
    <t>L Dipl FaGe - Doku_S2</t>
  </si>
  <si>
    <t>L - B2, L - B2_</t>
  </si>
  <si>
    <t>L - K2_B2</t>
  </si>
  <si>
    <t>Kurz 2 dann Büro 2</t>
  </si>
  <si>
    <t>L Dipl FaGe MA - Doku_S2</t>
  </si>
  <si>
    <t>_G1</t>
  </si>
  <si>
    <t>S2, G2, _G2, LD, HD</t>
  </si>
  <si>
    <t>B, F, G, K, S, A, L1_</t>
  </si>
  <si>
    <t>L2 - Sa So, L1_</t>
  </si>
  <si>
    <t>G2_</t>
  </si>
  <si>
    <t>_G2</t>
  </si>
  <si>
    <t xml:space="preserve">L Dipl FaGe - F1, L Dipl FaGe - G1, L Dipl FaGe - G1_, L Dipl FaGe - G2, L Dipl FaGe - G2_, L Dipl FaGe - K2 </t>
  </si>
  <si>
    <t>L Dipl FaGe - F1,  L Dipl FaGe - G1, L Dipl FaGe - G1_, L Dipl FaGe - K2</t>
  </si>
  <si>
    <t>L Dipl FaGe - F1, L Dipl FaGe - G1, L Dipl FaGe - _G1, L Dipl FaGe - G2, L Dipl FaGe - _G2 , L Dipl FaGe - S2</t>
  </si>
  <si>
    <t>L Dipl FaGe - G1, L Dipl FaGe - _G1, L Dipl FaGe - G2, L Dipl FaGe - _G2, L Dipl FaGe - S2</t>
  </si>
  <si>
    <t>L Dipl FaGe MA - F1, L Dipl FaGe MA - G1, L Dipl FaGe MA - G1_, L Dipl FaGe - G2, L Dipl FaGe - G2_, L Dipl FaGe MA - K2, LE - L1</t>
  </si>
  <si>
    <t>L Dipl FaGe MA - F1, L Dipl FaGe MA - G1, L Dipl FaGe MA - G1_, L Dipl FaGe MA - K2, LE - L1, LE - L2</t>
  </si>
  <si>
    <t>L Dipl FaGe MA - F1, L Dipl FaGe MA - G1, L Dipl FaGe MA - _G1, L Dipl FaGe - G2, L Dipl FaGe - _G2, L Dipl FaGe MA - S2, LE - L1, LE - L2</t>
  </si>
  <si>
    <t>L Dipl FaGe MA - G1,  L Dipl FaGe MA - _G1, L Dipl FaGe - G2, L Dipl FaGe - _G2, L Dipl FaGe MA - S2</t>
  </si>
  <si>
    <t>L Dipl FaGe - G2, L Dipl FaGe - _G2, L Dipl FaGe MA - S2</t>
  </si>
  <si>
    <t>MA - Doku_A5</t>
  </si>
  <si>
    <t>L1_LS</t>
  </si>
  <si>
    <t>LS_L1</t>
  </si>
  <si>
    <t>L1 dann Schule</t>
  </si>
  <si>
    <t>L - K2_Doku, Dipl - K2_Doku, FaGe - K2_Doku, L - K2_Pfeil, Dipl - K2_Pfeil, FaGe - K2_Pfeil, L - K2_B2</t>
  </si>
  <si>
    <t>L - K2_Doku, Dipl - K2_Doku, FaGe - K2_Doku, L - K2_Pfeil, Dipl - K2_Pfeil, FaGe - K2_Pfeil,  L - K2_B2</t>
  </si>
  <si>
    <t>LE - LS_L1</t>
  </si>
  <si>
    <t>L Dipl FaGe MA - Doku_S2, LE - LS_L1</t>
  </si>
  <si>
    <t>96, 101, 116, 118</t>
  </si>
  <si>
    <t>126, 131, 146, 148</t>
  </si>
  <si>
    <t>35, 40, 50, 55</t>
  </si>
  <si>
    <t>111, 116, 131, 131</t>
  </si>
  <si>
    <t>136, 140, 150, 152</t>
  </si>
  <si>
    <t>81, 86, 101, 101</t>
  </si>
  <si>
    <t>140, 140, 148, 148</t>
  </si>
  <si>
    <t>40, 40, 50, 54</t>
  </si>
  <si>
    <t>66, 71, 86, 86</t>
  </si>
  <si>
    <t>L Dipl FaGe - K2_Doku, L Dipl FaGe - K2_Pfeil, L - K2_B2</t>
  </si>
  <si>
    <t>LE - L1_LS, L Dipl FaGe MA - K2_Doku, L Dipl FaGe MA - K2_Pfeil</t>
  </si>
  <si>
    <t>L Dipl FaGe MA - K2_Doku, L Dipl FaGe MA - K2_Pfeil</t>
  </si>
  <si>
    <t>4 - 4 - 1</t>
  </si>
  <si>
    <t>5 : 48 - 48</t>
  </si>
  <si>
    <t>Min + Opt. freie Weekends</t>
  </si>
  <si>
    <t>5 - 5</t>
  </si>
  <si>
    <t>0 - 0</t>
  </si>
  <si>
    <t>B2 - Mo Di Fr, B2 - Do</t>
  </si>
  <si>
    <t>2 - 3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</si>
</sst>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numFmt numFmtId="165" formatCode="yyyy\-mm\-dd;@"/>
    <numFmt numFmtId="166" formatCode="dd/mm/yyyy;@"/>
  </numFmts>
  <fonts count="32">
    <font>
      <sz val="10"/>
      <color theme="1"/>
      <name val="Arial"/>
      <family val="2"/>
    </font>
    <font>
      <b/>
      <sz val="10"/>
      <color theme="1"/>
      <name val="Arial"/>
      <family val="2"/>
    </font>
    <font>
      <b/>
      <sz val="10"/>
      <color rgb="FF000000"/>
      <name val="Arial"/>
      <family val="2"/>
    </font>
    <font>
      <sz val="10"/>
      <color rgb="FFFF0000"/>
      <name val="Arial"/>
      <family val="2"/>
    </font>
    <font>
      <b/>
      <sz val="10"/>
      <color rgb="FFFF0000"/>
      <name val="Arial"/>
      <family val="2"/>
    </font>
    <font>
      <b/>
      <sz val="8"/>
      <color rgb="FF000000"/>
      <name val="Arial"/>
      <family val="2"/>
    </font>
    <font>
      <i/>
      <sz val="10"/>
      <color theme="1"/>
      <name val="Arial"/>
      <family val="2"/>
    </font>
    <font>
      <sz val="8"/>
      <color theme="1"/>
      <name val="Arial"/>
      <family val="2"/>
    </font>
    <font>
      <sz val="8"/>
      <color rgb="FF000000"/>
      <name val="Arial"/>
      <family val="2"/>
    </font>
    <font>
      <sz val="9.8000000000000007"/>
      <color rgb="FFA9B7C6"/>
      <name val="JetBrains Mono"/>
      <family val="3"/>
    </font>
    <font>
      <b/>
      <sz val="12"/>
      <color theme="1"/>
      <name val="Arial"/>
      <family val="2"/>
    </font>
    <font>
      <sz val="12"/>
      <color theme="1"/>
      <name val="Arial"/>
      <family val="2"/>
    </font>
    <font>
      <b/>
      <sz val="8"/>
      <color theme="1"/>
      <name val="Arial"/>
      <family val="2"/>
    </font>
    <font>
      <sz val="10"/>
      <color rgb="FF000000"/>
      <name val="Arial"/>
      <family val="2"/>
    </font>
    <font>
      <i/>
      <sz val="10"/>
      <color rgb="FFFF0000"/>
      <name val="Arial"/>
      <family val="2"/>
    </font>
    <font>
      <sz val="10"/>
      <color theme="0" tint="-0.34998626667073579"/>
      <name val="Arial"/>
      <family val="2"/>
    </font>
    <font>
      <sz val="8"/>
      <color rgb="FFFF0000"/>
      <name val="Arial"/>
      <family val="2"/>
    </font>
    <font>
      <sz val="10"/>
      <name val="Arial"/>
      <family val="2"/>
    </font>
    <font>
      <b/>
      <sz val="10"/>
      <name val="Arial"/>
      <family val="2"/>
    </font>
    <font>
      <b/>
      <sz val="14"/>
      <color theme="1"/>
      <name val="Arial"/>
      <family val="2"/>
    </font>
    <font>
      <sz val="10"/>
      <color rgb="FF0070C0"/>
      <name val="Arial"/>
      <family val="2"/>
    </font>
    <font>
      <sz val="8"/>
      <name val="Arial"/>
      <family val="2"/>
    </font>
    <font>
      <sz val="10"/>
      <color rgb="FF00B050"/>
      <name val="Arial"/>
      <family val="2"/>
    </font>
    <font>
      <b/>
      <sz val="10"/>
      <color rgb="FF0070C0"/>
      <name val="Arial"/>
      <family val="2"/>
    </font>
    <font>
      <sz val="9"/>
      <color theme="1"/>
      <name val="Arial"/>
      <family val="2"/>
    </font>
    <font>
      <b/>
      <sz val="9"/>
      <color theme="1"/>
      <name val="Arial"/>
      <family val="2"/>
    </font>
    <font>
      <sz val="9.8000000000000007"/>
      <color rgb="FFFF0000"/>
      <name val="JetBrains Mono"/>
      <family val="3"/>
    </font>
    <font>
      <sz val="10"/>
      <color rgb="FF7030A0"/>
      <name val="Arial"/>
      <family val="2"/>
    </font>
    <font>
      <b/>
      <sz val="8"/>
      <color rgb="FFFF0000"/>
      <name val="Arial"/>
      <family val="2"/>
    </font>
    <font>
      <sz val="14"/>
      <color theme="1"/>
      <name val="Arial"/>
      <family val="2"/>
    </font>
    <font>
      <sz val="16"/>
      <color theme="1"/>
      <name val="Arial"/>
      <family val="2"/>
    </font>
    <font>
      <sz val="9"/>
      <color indexed="81"/>
      <name val="Segoe UI"/>
      <charset val="1"/>
    </font>
  </fonts>
  <fills count="19">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rgb="FF000000"/>
      </patternFill>
    </fill>
    <fill>
      <patternFill patternType="solid">
        <fgColor theme="9" tint="0.79998168889431442"/>
        <bgColor rgb="FF000000"/>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C5BDAF"/>
        <bgColor indexed="64"/>
      </patternFill>
    </fill>
    <fill>
      <patternFill patternType="solid">
        <fgColor theme="2" tint="-9.9978637043366805E-2"/>
        <bgColor indexed="64"/>
      </patternFill>
    </fill>
    <fill>
      <patternFill patternType="solid">
        <fgColor theme="0" tint="-0.34998626667073579"/>
        <bgColor indexed="64"/>
      </patternFill>
    </fill>
  </fills>
  <borders count="93">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indexed="64"/>
      </right>
      <top style="medium">
        <color rgb="FFFFFF00"/>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rgb="FFFFFF00"/>
      </right>
      <top style="medium">
        <color indexed="64"/>
      </top>
      <bottom/>
      <diagonal/>
    </border>
    <border>
      <left style="hair">
        <color indexed="64"/>
      </left>
      <right style="medium">
        <color indexed="64"/>
      </right>
      <top style="hair">
        <color indexed="64"/>
      </top>
      <bottom style="hair">
        <color indexed="64"/>
      </bottom>
      <diagonal/>
    </border>
    <border>
      <left style="medium">
        <color rgb="FFFFFF00"/>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hair">
        <color indexed="64"/>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top/>
      <bottom style="hair">
        <color indexed="64"/>
      </bottom>
      <diagonal/>
    </border>
    <border>
      <left style="hair">
        <color indexed="64"/>
      </left>
      <right style="medium">
        <color rgb="FFFFFF00"/>
      </right>
      <top/>
      <bottom style="medium">
        <color rgb="FFFFFF00"/>
      </bottom>
      <diagonal/>
    </border>
    <border>
      <left/>
      <right style="hair">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s>
  <cellStyleXfs count="1">
    <xf numFmtId="0" fontId="0" fillId="0" borderId="0"/>
  </cellStyleXfs>
  <cellXfs count="496">
    <xf numFmtId="0" fontId="0" fillId="0" borderId="0" xfId="0"/>
    <xf numFmtId="0" fontId="0" fillId="0" borderId="3" xfId="0" applyBorder="1"/>
    <xf numFmtId="0" fontId="0" fillId="0" borderId="5" xfId="0" applyBorder="1"/>
    <xf numFmtId="0" fontId="2" fillId="2" borderId="6" xfId="0" applyFont="1" applyFill="1" applyBorder="1" applyAlignment="1">
      <alignment horizontal="left"/>
    </xf>
    <xf numFmtId="0" fontId="2" fillId="2" borderId="7" xfId="0" applyFont="1" applyFill="1" applyBorder="1" applyAlignment="1">
      <alignment horizontal="left"/>
    </xf>
    <xf numFmtId="0" fontId="0" fillId="0" borderId="0" xfId="0" applyAlignment="1">
      <alignment horizontal="left"/>
    </xf>
    <xf numFmtId="0" fontId="0" fillId="0" borderId="7" xfId="0" applyBorder="1"/>
    <xf numFmtId="0" fontId="2" fillId="2" borderId="2" xfId="0" applyFont="1" applyFill="1" applyBorder="1" applyAlignment="1">
      <alignment horizontal="left"/>
    </xf>
    <xf numFmtId="0" fontId="0" fillId="0" borderId="8" xfId="0" applyBorder="1"/>
    <xf numFmtId="0" fontId="2" fillId="2" borderId="1" xfId="0" applyFont="1" applyFill="1" applyBorder="1" applyAlignment="1">
      <alignment horizontal="left"/>
    </xf>
    <xf numFmtId="0" fontId="2" fillId="2" borderId="3" xfId="0" applyFont="1" applyFill="1" applyBorder="1" applyAlignment="1">
      <alignment horizontal="left"/>
    </xf>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12" xfId="0" applyFont="1"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2" fillId="2" borderId="0" xfId="0" applyFont="1" applyFill="1" applyAlignment="1">
      <alignment horizontal="left"/>
    </xf>
    <xf numFmtId="0" fontId="0" fillId="0" borderId="9" xfId="0" applyBorder="1" applyAlignment="1">
      <alignment horizontal="center"/>
    </xf>
    <xf numFmtId="0" fontId="1" fillId="2" borderId="0" xfId="0" applyFont="1" applyFill="1" applyAlignment="1">
      <alignment horizontal="right"/>
    </xf>
    <xf numFmtId="0" fontId="0" fillId="0" borderId="0" xfId="0" applyAlignment="1">
      <alignment horizontal="center"/>
    </xf>
    <xf numFmtId="0" fontId="6" fillId="0" borderId="2" xfId="0" applyFont="1" applyBorder="1"/>
    <xf numFmtId="0" fontId="6" fillId="0" borderId="0" xfId="0" applyFont="1"/>
    <xf numFmtId="0" fontId="6" fillId="0" borderId="3" xfId="0" applyFont="1" applyBorder="1"/>
    <xf numFmtId="0" fontId="0" fillId="0" borderId="4" xfId="0" applyBorder="1"/>
    <xf numFmtId="0" fontId="1" fillId="2" borderId="6" xfId="0" applyFont="1" applyFill="1" applyBorder="1"/>
    <xf numFmtId="0" fontId="2" fillId="2" borderId="14" xfId="0" applyFont="1" applyFill="1" applyBorder="1" applyAlignment="1">
      <alignment horizontal="left"/>
    </xf>
    <xf numFmtId="0" fontId="7" fillId="0" borderId="14" xfId="0" applyFont="1" applyBorder="1"/>
    <xf numFmtId="0" fontId="7" fillId="0" borderId="15" xfId="0" applyFont="1" applyBorder="1"/>
    <xf numFmtId="164" fontId="5" fillId="2" borderId="14" xfId="0" applyNumberFormat="1" applyFont="1" applyFill="1" applyBorder="1" applyAlignment="1">
      <alignment horizontal="left"/>
    </xf>
    <xf numFmtId="164" fontId="5" fillId="2" borderId="15" xfId="0" applyNumberFormat="1" applyFont="1" applyFill="1" applyBorder="1" applyAlignment="1">
      <alignment horizontal="left"/>
    </xf>
    <xf numFmtId="0" fontId="7" fillId="2" borderId="10" xfId="0" applyFont="1" applyFill="1" applyBorder="1" applyAlignment="1">
      <alignment horizontal="left"/>
    </xf>
    <xf numFmtId="49" fontId="7" fillId="2" borderId="11" xfId="0" applyNumberFormat="1" applyFont="1" applyFill="1" applyBorder="1"/>
    <xf numFmtId="0" fontId="9" fillId="0" borderId="0" xfId="0" applyFont="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10" xfId="0" applyBorder="1"/>
    <xf numFmtId="0" fontId="0" fillId="0" borderId="9" xfId="0" applyBorder="1"/>
    <xf numFmtId="0" fontId="1" fillId="2" borderId="7" xfId="0" applyFont="1" applyFill="1" applyBorder="1"/>
    <xf numFmtId="0" fontId="0" fillId="2" borderId="1" xfId="0" applyFill="1" applyBorder="1"/>
    <xf numFmtId="0" fontId="0" fillId="0" borderId="2" xfId="0" applyBorder="1"/>
    <xf numFmtId="0" fontId="1" fillId="2" borderId="13" xfId="0" applyFont="1" applyFill="1" applyBorder="1"/>
    <xf numFmtId="0" fontId="1" fillId="2" borderId="14" xfId="0" applyFont="1" applyFill="1" applyBorder="1"/>
    <xf numFmtId="0" fontId="1" fillId="2" borderId="15" xfId="0" applyFont="1" applyFill="1" applyBorder="1"/>
    <xf numFmtId="0" fontId="1" fillId="5" borderId="12" xfId="0" applyFont="1" applyFill="1" applyBorder="1" applyAlignment="1">
      <alignment horizontal="left"/>
    </xf>
    <xf numFmtId="0" fontId="10" fillId="0" borderId="0" xfId="0" applyFont="1"/>
    <xf numFmtId="0" fontId="11" fillId="0" borderId="0" xfId="0" applyFont="1"/>
    <xf numFmtId="0" fontId="1" fillId="2" borderId="1" xfId="0" applyFont="1" applyFill="1" applyBorder="1"/>
    <xf numFmtId="0" fontId="12" fillId="2" borderId="7" xfId="0" applyFont="1" applyFill="1" applyBorder="1"/>
    <xf numFmtId="0" fontId="13" fillId="0" borderId="0" xfId="0" applyFont="1"/>
    <xf numFmtId="49" fontId="8" fillId="9" borderId="10" xfId="0" applyNumberFormat="1" applyFont="1" applyFill="1" applyBorder="1"/>
    <xf numFmtId="0" fontId="0" fillId="0" borderId="10" xfId="0" applyBorder="1" applyAlignment="1">
      <alignment horizontal="center"/>
    </xf>
    <xf numFmtId="49" fontId="8" fillId="10" borderId="11" xfId="0" applyNumberFormat="1" applyFont="1" applyFill="1" applyBorder="1"/>
    <xf numFmtId="49" fontId="7" fillId="2" borderId="12" xfId="0" applyNumberFormat="1" applyFont="1" applyFill="1" applyBorder="1"/>
    <xf numFmtId="49" fontId="8" fillId="10" borderId="5" xfId="0" applyNumberFormat="1" applyFont="1" applyFill="1" applyBorder="1"/>
    <xf numFmtId="0" fontId="0" fillId="5" borderId="1" xfId="0" applyFill="1" applyBorder="1"/>
    <xf numFmtId="0" fontId="0" fillId="5" borderId="5" xfId="0" applyFill="1" applyBorder="1"/>
    <xf numFmtId="0" fontId="0" fillId="5" borderId="6" xfId="0" applyFill="1" applyBorder="1" applyAlignment="1">
      <alignment horizontal="right"/>
    </xf>
    <xf numFmtId="0" fontId="0" fillId="5" borderId="4" xfId="0" applyFill="1" applyBorder="1" applyAlignment="1">
      <alignment horizontal="right"/>
    </xf>
    <xf numFmtId="0" fontId="0" fillId="7" borderId="10" xfId="0" applyFill="1" applyBorder="1"/>
    <xf numFmtId="0" fontId="0" fillId="7" borderId="9" xfId="0" applyFill="1" applyBorder="1"/>
    <xf numFmtId="0" fontId="2" fillId="9" borderId="12" xfId="0" applyFont="1" applyFill="1" applyBorder="1" applyAlignment="1">
      <alignment horizontal="left"/>
    </xf>
    <xf numFmtId="0" fontId="0" fillId="2" borderId="15" xfId="0" applyFill="1" applyBorder="1"/>
    <xf numFmtId="0" fontId="0" fillId="0" borderId="12" xfId="0" applyBorder="1"/>
    <xf numFmtId="0" fontId="0" fillId="5" borderId="0" xfId="0" applyFill="1"/>
    <xf numFmtId="0" fontId="1" fillId="5" borderId="0" xfId="0" applyFont="1" applyFill="1"/>
    <xf numFmtId="0" fontId="3" fillId="5" borderId="0" xfId="0" applyFont="1" applyFill="1" applyAlignment="1">
      <alignment horizontal="left"/>
    </xf>
    <xf numFmtId="0" fontId="3" fillId="5" borderId="0" xfId="0" applyFont="1" applyFill="1"/>
    <xf numFmtId="0" fontId="7" fillId="5" borderId="0" xfId="0" applyFont="1" applyFill="1" applyAlignment="1">
      <alignment horizontal="right" indent="1"/>
    </xf>
    <xf numFmtId="0" fontId="13" fillId="5" borderId="0" xfId="0" applyFont="1" applyFill="1"/>
    <xf numFmtId="0" fontId="12" fillId="2" borderId="0" xfId="0" applyFont="1" applyFill="1"/>
    <xf numFmtId="0" fontId="7" fillId="2" borderId="0" xfId="0" applyFont="1" applyFill="1"/>
    <xf numFmtId="49" fontId="0" fillId="0" borderId="6" xfId="0" applyNumberFormat="1" applyBorder="1" applyAlignment="1">
      <alignment horizontal="left"/>
    </xf>
    <xf numFmtId="49" fontId="0" fillId="0" borderId="2" xfId="0" applyNumberFormat="1" applyBorder="1" applyAlignment="1">
      <alignment horizontal="left"/>
    </xf>
    <xf numFmtId="0" fontId="4" fillId="0" borderId="0" xfId="0" applyFont="1"/>
    <xf numFmtId="0" fontId="14" fillId="0" borderId="0" xfId="0" applyFont="1"/>
    <xf numFmtId="0" fontId="15" fillId="5" borderId="0" xfId="0" applyFont="1" applyFill="1"/>
    <xf numFmtId="0" fontId="0" fillId="0" borderId="13" xfId="0" applyBorder="1"/>
    <xf numFmtId="0" fontId="0" fillId="0" borderId="14" xfId="0" applyBorder="1"/>
    <xf numFmtId="0" fontId="0" fillId="7" borderId="12" xfId="0" applyFill="1" applyBorder="1"/>
    <xf numFmtId="0" fontId="0" fillId="0" borderId="15" xfId="0" applyBorder="1"/>
    <xf numFmtId="0" fontId="7" fillId="0" borderId="3" xfId="0" applyFont="1" applyBorder="1" applyAlignment="1">
      <alignment horizontal="center"/>
    </xf>
    <xf numFmtId="20" fontId="0" fillId="5" borderId="0" xfId="0" applyNumberFormat="1" applyFill="1"/>
    <xf numFmtId="164" fontId="5" fillId="0" borderId="14" xfId="0" applyNumberFormat="1" applyFont="1" applyBorder="1" applyAlignment="1">
      <alignment horizontal="left"/>
    </xf>
    <xf numFmtId="49" fontId="3" fillId="0" borderId="2" xfId="0" applyNumberFormat="1" applyFont="1" applyBorder="1"/>
    <xf numFmtId="0" fontId="1" fillId="2" borderId="10" xfId="0" applyFont="1" applyFill="1" applyBorder="1"/>
    <xf numFmtId="0" fontId="6" fillId="0" borderId="9" xfId="0" applyFont="1" applyBorder="1"/>
    <xf numFmtId="0" fontId="3" fillId="0" borderId="9" xfId="0" applyFont="1" applyBorder="1"/>
    <xf numFmtId="166" fontId="0" fillId="0" borderId="0" xfId="0" applyNumberFormat="1"/>
    <xf numFmtId="0" fontId="0" fillId="8" borderId="7" xfId="0" applyFill="1" applyBorder="1" applyAlignment="1">
      <alignment horizontal="center" vertical="top"/>
    </xf>
    <xf numFmtId="49" fontId="0" fillId="7" borderId="14" xfId="0" applyNumberFormat="1" applyFill="1" applyBorder="1"/>
    <xf numFmtId="49" fontId="0" fillId="7" borderId="11" xfId="0" applyNumberFormat="1" applyFill="1" applyBorder="1"/>
    <xf numFmtId="49" fontId="0" fillId="6" borderId="14" xfId="0" applyNumberFormat="1" applyFill="1" applyBorder="1"/>
    <xf numFmtId="49" fontId="0" fillId="6" borderId="15" xfId="0" applyNumberFormat="1" applyFill="1" applyBorder="1"/>
    <xf numFmtId="49" fontId="0" fillId="0" borderId="13" xfId="0" applyNumberFormat="1" applyBorder="1"/>
    <xf numFmtId="49" fontId="0" fillId="0" borderId="14" xfId="0" applyNumberFormat="1" applyBorder="1"/>
    <xf numFmtId="49" fontId="0" fillId="0" borderId="15" xfId="0" applyNumberFormat="1" applyBorder="1"/>
    <xf numFmtId="49" fontId="0" fillId="0" borderId="0" xfId="0" applyNumberFormat="1"/>
    <xf numFmtId="49" fontId="0" fillId="0" borderId="3" xfId="0" applyNumberFormat="1" applyBorder="1"/>
    <xf numFmtId="49" fontId="3" fillId="0" borderId="0" xfId="0" applyNumberFormat="1" applyFont="1"/>
    <xf numFmtId="0" fontId="14" fillId="0" borderId="2" xfId="0" applyFont="1" applyBorder="1"/>
    <xf numFmtId="0" fontId="3" fillId="0" borderId="4" xfId="0" applyFont="1" applyBorder="1"/>
    <xf numFmtId="49" fontId="3" fillId="0" borderId="3" xfId="0" applyNumberFormat="1" applyFont="1" applyBorder="1"/>
    <xf numFmtId="0" fontId="3" fillId="0" borderId="9" xfId="0" applyFont="1" applyBorder="1" applyAlignment="1">
      <alignment horizontal="center"/>
    </xf>
    <xf numFmtId="0" fontId="16" fillId="2" borderId="10" xfId="0" applyFont="1" applyFill="1" applyBorder="1" applyAlignment="1">
      <alignment horizontal="left"/>
    </xf>
    <xf numFmtId="49" fontId="16" fillId="2" borderId="11" xfId="0" applyNumberFormat="1" applyFont="1" applyFill="1" applyBorder="1"/>
    <xf numFmtId="0" fontId="20" fillId="0" borderId="0" xfId="0" applyFont="1"/>
    <xf numFmtId="49" fontId="17" fillId="0" borderId="3" xfId="0" applyNumberFormat="1" applyFont="1" applyBorder="1"/>
    <xf numFmtId="49" fontId="17" fillId="0" borderId="2" xfId="0" applyNumberFormat="1" applyFont="1" applyBorder="1"/>
    <xf numFmtId="49" fontId="3" fillId="7" borderId="0" xfId="0" applyNumberFormat="1" applyFont="1" applyFill="1"/>
    <xf numFmtId="0" fontId="3" fillId="7" borderId="0" xfId="0" applyFont="1" applyFill="1"/>
    <xf numFmtId="49" fontId="3" fillId="0" borderId="15" xfId="0" applyNumberFormat="1" applyFont="1" applyBorder="1"/>
    <xf numFmtId="0" fontId="17" fillId="0" borderId="10" xfId="0" applyFont="1" applyBorder="1"/>
    <xf numFmtId="0" fontId="17" fillId="0" borderId="9" xfId="0" applyFont="1" applyBorder="1"/>
    <xf numFmtId="0" fontId="0" fillId="0" borderId="2" xfId="0" applyBorder="1" applyAlignment="1">
      <alignment horizontal="center"/>
    </xf>
    <xf numFmtId="0" fontId="17" fillId="0" borderId="2" xfId="0" applyFont="1" applyBorder="1" applyAlignment="1">
      <alignment horizontal="center"/>
    </xf>
    <xf numFmtId="49" fontId="0" fillId="0" borderId="2" xfId="0" applyNumberFormat="1" applyBorder="1"/>
    <xf numFmtId="0" fontId="1" fillId="2" borderId="17" xfId="0" applyFont="1" applyFill="1" applyBorder="1"/>
    <xf numFmtId="0" fontId="1" fillId="2" borderId="16" xfId="0" applyFont="1" applyFill="1" applyBorder="1"/>
    <xf numFmtId="0" fontId="1" fillId="2" borderId="18" xfId="0" applyFont="1" applyFill="1" applyBorder="1"/>
    <xf numFmtId="0" fontId="1" fillId="2" borderId="19" xfId="0" applyFont="1" applyFill="1" applyBorder="1"/>
    <xf numFmtId="0" fontId="1" fillId="2" borderId="20" xfId="0" applyFont="1" applyFill="1" applyBorder="1"/>
    <xf numFmtId="0" fontId="17" fillId="0" borderId="21" xfId="0" applyFont="1" applyBorder="1" applyAlignment="1">
      <alignment horizontal="center"/>
    </xf>
    <xf numFmtId="0" fontId="17" fillId="0" borderId="22" xfId="0" applyFont="1" applyBorder="1" applyAlignment="1">
      <alignment horizontal="center"/>
    </xf>
    <xf numFmtId="0" fontId="3" fillId="0" borderId="22"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3" fillId="0" borderId="3" xfId="0" applyFont="1" applyBorder="1"/>
    <xf numFmtId="0" fontId="2" fillId="9" borderId="10" xfId="0" applyFont="1" applyFill="1" applyBorder="1" applyAlignment="1">
      <alignment horizontal="left"/>
    </xf>
    <xf numFmtId="0" fontId="13" fillId="0" borderId="6" xfId="0" applyFont="1" applyBorder="1"/>
    <xf numFmtId="0" fontId="13" fillId="0" borderId="1" xfId="0" applyFont="1" applyBorder="1"/>
    <xf numFmtId="0" fontId="1" fillId="5" borderId="0" xfId="0" applyFont="1" applyFill="1" applyAlignment="1">
      <alignment horizontal="left"/>
    </xf>
    <xf numFmtId="0" fontId="0" fillId="0" borderId="6" xfId="0" applyBorder="1" applyAlignment="1">
      <alignment wrapText="1"/>
    </xf>
    <xf numFmtId="0" fontId="0" fillId="0" borderId="7" xfId="0" applyBorder="1" applyAlignment="1">
      <alignment wrapText="1"/>
    </xf>
    <xf numFmtId="20" fontId="0" fillId="0" borderId="7" xfId="0" applyNumberFormat="1" applyBorder="1" applyAlignment="1">
      <alignment wrapText="1"/>
    </xf>
    <xf numFmtId="0" fontId="0" fillId="0" borderId="0" xfId="0" applyAlignment="1">
      <alignment wrapText="1"/>
    </xf>
    <xf numFmtId="0" fontId="3" fillId="0" borderId="0" xfId="0" applyFont="1" applyAlignment="1">
      <alignment wrapText="1"/>
    </xf>
    <xf numFmtId="0" fontId="3" fillId="0" borderId="2" xfId="0" applyFont="1" applyBorder="1" applyAlignment="1">
      <alignment wrapText="1"/>
    </xf>
    <xf numFmtId="20" fontId="3" fillId="0" borderId="0" xfId="0" applyNumberFormat="1" applyFont="1" applyAlignment="1">
      <alignment wrapText="1"/>
    </xf>
    <xf numFmtId="0" fontId="0" fillId="0" borderId="4" xfId="0" applyBorder="1" applyAlignment="1">
      <alignment wrapText="1"/>
    </xf>
    <xf numFmtId="0" fontId="0" fillId="0" borderId="8" xfId="0" applyBorder="1" applyAlignment="1">
      <alignment wrapText="1"/>
    </xf>
    <xf numFmtId="20" fontId="0" fillId="0" borderId="8" xfId="0" applyNumberFormat="1" applyBorder="1" applyAlignment="1">
      <alignment wrapText="1"/>
    </xf>
    <xf numFmtId="20" fontId="17" fillId="0" borderId="8" xfId="0" applyNumberFormat="1" applyFont="1" applyBorder="1" applyAlignment="1">
      <alignment wrapText="1"/>
    </xf>
    <xf numFmtId="0" fontId="0" fillId="0" borderId="2" xfId="0" applyBorder="1" applyAlignment="1">
      <alignment wrapText="1"/>
    </xf>
    <xf numFmtId="0" fontId="17" fillId="0" borderId="2" xfId="0" applyFont="1" applyBorder="1" applyAlignment="1">
      <alignment wrapText="1"/>
    </xf>
    <xf numFmtId="0" fontId="3" fillId="0" borderId="2" xfId="0" applyFont="1" applyBorder="1" applyAlignment="1">
      <alignment vertical="center" wrapText="1"/>
    </xf>
    <xf numFmtId="0" fontId="17" fillId="0" borderId="7" xfId="0" applyFont="1" applyBorder="1" applyAlignment="1">
      <alignment wrapText="1"/>
    </xf>
    <xf numFmtId="20" fontId="17" fillId="0" borderId="7" xfId="0" applyNumberFormat="1" applyFont="1" applyBorder="1" applyAlignment="1">
      <alignment wrapText="1"/>
    </xf>
    <xf numFmtId="0" fontId="23" fillId="5" borderId="16" xfId="0" applyFont="1" applyFill="1" applyBorder="1" applyAlignment="1">
      <alignment wrapText="1"/>
    </xf>
    <xf numFmtId="0" fontId="23" fillId="0" borderId="16" xfId="0" applyFont="1" applyBorder="1"/>
    <xf numFmtId="0" fontId="20" fillId="0" borderId="16" xfId="0" applyFont="1" applyBorder="1"/>
    <xf numFmtId="20" fontId="20" fillId="0" borderId="16" xfId="0" applyNumberFormat="1" applyFont="1" applyBorder="1"/>
    <xf numFmtId="0" fontId="23" fillId="0" borderId="0" xfId="0" applyFont="1"/>
    <xf numFmtId="20" fontId="20" fillId="0" borderId="0" xfId="0" applyNumberFormat="1" applyFont="1"/>
    <xf numFmtId="0" fontId="17" fillId="0" borderId="0" xfId="0" applyFont="1" applyAlignment="1">
      <alignment horizontal="left"/>
    </xf>
    <xf numFmtId="0" fontId="17" fillId="0" borderId="0" xfId="0" applyFont="1"/>
    <xf numFmtId="0" fontId="19" fillId="0" borderId="0" xfId="0" applyFont="1"/>
    <xf numFmtId="0" fontId="24" fillId="0" borderId="0" xfId="0" applyFont="1"/>
    <xf numFmtId="0" fontId="11" fillId="0" borderId="0" xfId="0" applyFont="1" applyAlignment="1">
      <alignment horizontal="right"/>
    </xf>
    <xf numFmtId="0" fontId="25" fillId="0" borderId="27" xfId="0" applyFont="1" applyBorder="1"/>
    <xf numFmtId="0" fontId="25" fillId="0" borderId="28" xfId="0" applyFont="1" applyBorder="1"/>
    <xf numFmtId="0" fontId="25" fillId="0" borderId="29" xfId="0" applyFont="1" applyBorder="1"/>
    <xf numFmtId="0" fontId="25" fillId="0" borderId="30" xfId="0" applyFont="1" applyBorder="1"/>
    <xf numFmtId="0" fontId="10" fillId="7" borderId="0" xfId="0" applyFont="1" applyFill="1" applyAlignment="1">
      <alignment horizontal="center"/>
    </xf>
    <xf numFmtId="0" fontId="11" fillId="0" borderId="31" xfId="0" applyFont="1" applyBorder="1"/>
    <xf numFmtId="0" fontId="24" fillId="0" borderId="32" xfId="0" applyFont="1" applyBorder="1"/>
    <xf numFmtId="0" fontId="24" fillId="0" borderId="33" xfId="0" applyFont="1" applyBorder="1"/>
    <xf numFmtId="0" fontId="24" fillId="0" borderId="34" xfId="0" applyFont="1" applyBorder="1"/>
    <xf numFmtId="0" fontId="11" fillId="7" borderId="17" xfId="0" applyFont="1" applyFill="1" applyBorder="1" applyAlignment="1">
      <alignment horizontal="center"/>
    </xf>
    <xf numFmtId="0" fontId="24" fillId="0" borderId="35" xfId="0" applyFont="1" applyBorder="1" applyProtection="1">
      <protection locked="0"/>
    </xf>
    <xf numFmtId="0" fontId="24" fillId="0" borderId="36" xfId="0" applyFont="1" applyBorder="1" applyProtection="1">
      <protection locked="0"/>
    </xf>
    <xf numFmtId="0" fontId="24" fillId="11" borderId="37" xfId="0" applyFont="1" applyFill="1" applyBorder="1" applyProtection="1">
      <protection locked="0"/>
    </xf>
    <xf numFmtId="0" fontId="24" fillId="11" borderId="38" xfId="0" applyFont="1" applyFill="1" applyBorder="1" applyProtection="1">
      <protection locked="0"/>
    </xf>
    <xf numFmtId="0" fontId="24" fillId="11" borderId="39" xfId="0" applyFont="1" applyFill="1" applyBorder="1" applyProtection="1">
      <protection locked="0"/>
    </xf>
    <xf numFmtId="0" fontId="24" fillId="11" borderId="40" xfId="0" applyFont="1" applyFill="1" applyBorder="1" applyProtection="1">
      <protection locked="0"/>
    </xf>
    <xf numFmtId="0" fontId="24" fillId="12" borderId="41" xfId="0" applyFont="1" applyFill="1" applyBorder="1" applyProtection="1">
      <protection locked="0"/>
    </xf>
    <xf numFmtId="0" fontId="24" fillId="12" borderId="42" xfId="0" applyFont="1" applyFill="1" applyBorder="1" applyProtection="1">
      <protection locked="0"/>
    </xf>
    <xf numFmtId="0" fontId="24" fillId="12" borderId="43" xfId="0" applyFont="1" applyFill="1" applyBorder="1" applyProtection="1">
      <protection locked="0"/>
    </xf>
    <xf numFmtId="0" fontId="24" fillId="11" borderId="44" xfId="0" applyFont="1" applyFill="1" applyBorder="1" applyProtection="1">
      <protection locked="0"/>
    </xf>
    <xf numFmtId="0" fontId="24" fillId="11" borderId="45" xfId="0" applyFont="1" applyFill="1" applyBorder="1" applyProtection="1">
      <protection locked="0"/>
    </xf>
    <xf numFmtId="0" fontId="24" fillId="0" borderId="46" xfId="0" applyFont="1" applyBorder="1" applyProtection="1">
      <protection locked="0"/>
    </xf>
    <xf numFmtId="0" fontId="11" fillId="0" borderId="16" xfId="0" applyFont="1" applyBorder="1" applyAlignment="1">
      <alignment horizontal="right"/>
    </xf>
    <xf numFmtId="0" fontId="11" fillId="0" borderId="16" xfId="0" applyFont="1" applyBorder="1"/>
    <xf numFmtId="0" fontId="11" fillId="7" borderId="23" xfId="0" applyFont="1" applyFill="1" applyBorder="1" applyAlignment="1">
      <alignment horizontal="center"/>
    </xf>
    <xf numFmtId="0" fontId="24" fillId="0" borderId="47" xfId="0" applyFont="1" applyBorder="1" applyProtection="1">
      <protection locked="0"/>
    </xf>
    <xf numFmtId="0" fontId="24" fillId="0" borderId="48" xfId="0" applyFont="1" applyBorder="1" applyProtection="1">
      <protection locked="0"/>
    </xf>
    <xf numFmtId="0" fontId="24" fillId="12" borderId="49" xfId="0" applyFont="1" applyFill="1" applyBorder="1" applyProtection="1">
      <protection locked="0"/>
    </xf>
    <xf numFmtId="0" fontId="24" fillId="13" borderId="41" xfId="0" applyFont="1" applyFill="1" applyBorder="1" applyProtection="1">
      <protection locked="0"/>
    </xf>
    <xf numFmtId="0" fontId="24" fillId="13" borderId="42" xfId="0" applyFont="1" applyFill="1" applyBorder="1" applyProtection="1">
      <protection locked="0"/>
    </xf>
    <xf numFmtId="0" fontId="24" fillId="13" borderId="50" xfId="0" applyFont="1" applyFill="1" applyBorder="1" applyProtection="1">
      <protection locked="0"/>
    </xf>
    <xf numFmtId="0" fontId="24" fillId="13" borderId="49" xfId="0" applyFont="1" applyFill="1" applyBorder="1" applyProtection="1">
      <protection locked="0"/>
    </xf>
    <xf numFmtId="0" fontId="24" fillId="13" borderId="43" xfId="0" applyFont="1" applyFill="1" applyBorder="1" applyProtection="1">
      <protection locked="0"/>
    </xf>
    <xf numFmtId="0" fontId="24" fillId="0" borderId="51" xfId="0" applyFont="1" applyBorder="1" applyProtection="1">
      <protection locked="0"/>
    </xf>
    <xf numFmtId="0" fontId="24" fillId="0" borderId="52" xfId="0" applyFont="1" applyBorder="1" applyProtection="1">
      <protection locked="0"/>
    </xf>
    <xf numFmtId="0" fontId="24" fillId="0" borderId="53" xfId="0" applyFont="1" applyBorder="1" applyProtection="1">
      <protection locked="0"/>
    </xf>
    <xf numFmtId="0" fontId="24" fillId="0" borderId="54" xfId="0" applyFont="1" applyBorder="1" applyProtection="1">
      <protection locked="0"/>
    </xf>
    <xf numFmtId="0" fontId="11" fillId="0" borderId="24" xfId="0" applyFont="1" applyBorder="1" applyAlignment="1">
      <alignment horizontal="right"/>
    </xf>
    <xf numFmtId="0" fontId="11" fillId="0" borderId="24" xfId="0" applyFont="1" applyBorder="1"/>
    <xf numFmtId="0" fontId="11" fillId="7" borderId="0" xfId="0" applyFont="1" applyFill="1" applyAlignment="1">
      <alignment horizontal="center"/>
    </xf>
    <xf numFmtId="0" fontId="24" fillId="0" borderId="55" xfId="0" applyFont="1" applyBorder="1" applyProtection="1">
      <protection locked="0"/>
    </xf>
    <xf numFmtId="0" fontId="24" fillId="0" borderId="56" xfId="0" applyFont="1" applyBorder="1" applyProtection="1">
      <protection locked="0"/>
    </xf>
    <xf numFmtId="0" fontId="11" fillId="7" borderId="21" xfId="0" applyFont="1" applyFill="1" applyBorder="1" applyAlignment="1">
      <alignment horizontal="center"/>
    </xf>
    <xf numFmtId="0" fontId="24" fillId="0" borderId="57" xfId="0" applyFont="1" applyBorder="1" applyProtection="1">
      <protection locked="0"/>
    </xf>
    <xf numFmtId="0" fontId="24" fillId="0" borderId="37" xfId="0" applyFont="1" applyBorder="1" applyProtection="1">
      <protection locked="0"/>
    </xf>
    <xf numFmtId="0" fontId="24" fillId="0" borderId="38" xfId="0" applyFont="1" applyBorder="1" applyProtection="1">
      <protection locked="0"/>
    </xf>
    <xf numFmtId="0" fontId="24" fillId="0" borderId="39" xfId="0" applyFont="1" applyBorder="1" applyProtection="1">
      <protection locked="0"/>
    </xf>
    <xf numFmtId="0" fontId="24" fillId="0" borderId="58" xfId="0" applyFont="1" applyBorder="1" applyProtection="1">
      <protection locked="0"/>
    </xf>
    <xf numFmtId="0" fontId="24" fillId="0" borderId="59" xfId="0" applyFont="1" applyBorder="1" applyProtection="1">
      <protection locked="0"/>
    </xf>
    <xf numFmtId="0" fontId="24" fillId="0" borderId="33" xfId="0" applyFont="1" applyBorder="1" applyProtection="1">
      <protection locked="0"/>
    </xf>
    <xf numFmtId="0" fontId="20" fillId="0" borderId="24" xfId="0" applyFont="1" applyBorder="1"/>
    <xf numFmtId="0" fontId="24" fillId="0" borderId="60" xfId="0" applyFont="1" applyBorder="1" applyProtection="1">
      <protection locked="0"/>
    </xf>
    <xf numFmtId="0" fontId="24" fillId="0" borderId="61" xfId="0" applyFont="1" applyBorder="1" applyProtection="1">
      <protection locked="0"/>
    </xf>
    <xf numFmtId="0" fontId="24" fillId="0" borderId="62" xfId="0" applyFont="1" applyBorder="1" applyProtection="1">
      <protection locked="0"/>
    </xf>
    <xf numFmtId="0" fontId="11" fillId="7" borderId="0" xfId="0" applyFont="1" applyFill="1" applyAlignment="1">
      <alignment horizontal="left"/>
    </xf>
    <xf numFmtId="0" fontId="11" fillId="0" borderId="63" xfId="0" applyFont="1" applyBorder="1"/>
    <xf numFmtId="0" fontId="24" fillId="0" borderId="64" xfId="0" applyFont="1" applyBorder="1"/>
    <xf numFmtId="0" fontId="24" fillId="0" borderId="65" xfId="0" applyFont="1" applyBorder="1"/>
    <xf numFmtId="0" fontId="24" fillId="0" borderId="66" xfId="0" applyFont="1" applyBorder="1"/>
    <xf numFmtId="0" fontId="24" fillId="0" borderId="67" xfId="0" applyFont="1" applyBorder="1" applyProtection="1">
      <protection locked="0"/>
    </xf>
    <xf numFmtId="0" fontId="24" fillId="0" borderId="68" xfId="0" applyFont="1" applyBorder="1" applyProtection="1">
      <protection locked="0"/>
    </xf>
    <xf numFmtId="0" fontId="24" fillId="0" borderId="69" xfId="0" applyFont="1" applyBorder="1" applyProtection="1">
      <protection locked="0"/>
    </xf>
    <xf numFmtId="0" fontId="24" fillId="0" borderId="70" xfId="0" applyFont="1" applyBorder="1" applyProtection="1">
      <protection locked="0"/>
    </xf>
    <xf numFmtId="0" fontId="24" fillId="0" borderId="71" xfId="0" applyFont="1" applyBorder="1" applyProtection="1">
      <protection locked="0"/>
    </xf>
    <xf numFmtId="0" fontId="24" fillId="0" borderId="72" xfId="0" applyFont="1" applyBorder="1" applyProtection="1">
      <protection locked="0"/>
    </xf>
    <xf numFmtId="0" fontId="24" fillId="0" borderId="73" xfId="0" applyFont="1" applyBorder="1" applyProtection="1">
      <protection locked="0"/>
    </xf>
    <xf numFmtId="0" fontId="24" fillId="0" borderId="74" xfId="0" applyFont="1" applyBorder="1" applyProtection="1">
      <protection locked="0"/>
    </xf>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7" borderId="0" xfId="0" applyFill="1" applyAlignment="1">
      <alignment wrapText="1"/>
    </xf>
    <xf numFmtId="0" fontId="9" fillId="0" borderId="0" xfId="0" applyFont="1" applyAlignment="1">
      <alignment wrapText="1"/>
    </xf>
    <xf numFmtId="0" fontId="1" fillId="5" borderId="0" xfId="0" applyFont="1" applyFill="1" applyAlignment="1">
      <alignment horizontal="left" wrapText="1"/>
    </xf>
    <xf numFmtId="0" fontId="1" fillId="7" borderId="0" xfId="0" applyFont="1" applyFill="1" applyAlignment="1">
      <alignment horizontal="lef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7" borderId="0" xfId="0" applyNumberFormat="1" applyFont="1" applyFill="1" applyAlignment="1">
      <alignment wrapText="1"/>
    </xf>
    <xf numFmtId="0" fontId="26" fillId="0" borderId="0" xfId="0"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20" fontId="3" fillId="0" borderId="8" xfId="0" applyNumberFormat="1" applyFont="1" applyBorder="1" applyAlignment="1">
      <alignment wrapText="1"/>
    </xf>
    <xf numFmtId="0" fontId="3" fillId="0" borderId="5" xfId="0" applyFont="1" applyBorder="1" applyAlignment="1">
      <alignment wrapText="1"/>
    </xf>
    <xf numFmtId="0" fontId="0" fillId="0" borderId="0" xfId="0" quotePrefix="1"/>
    <xf numFmtId="0" fontId="0" fillId="0" borderId="21" xfId="0" applyBorder="1"/>
    <xf numFmtId="0" fontId="0" fillId="0" borderId="75" xfId="0" applyBorder="1"/>
    <xf numFmtId="0" fontId="17" fillId="0" borderId="7" xfId="0" applyFont="1" applyBorder="1"/>
    <xf numFmtId="0" fontId="17" fillId="0" borderId="76" xfId="0" applyFont="1" applyBorder="1"/>
    <xf numFmtId="0" fontId="3" fillId="14" borderId="0" xfId="0" applyFont="1" applyFill="1" applyAlignment="1">
      <alignment horizontal="center"/>
    </xf>
    <xf numFmtId="0" fontId="0" fillId="14" borderId="17" xfId="0" applyFill="1" applyBorder="1" applyAlignment="1">
      <alignment horizontal="center"/>
    </xf>
    <xf numFmtId="0" fontId="0" fillId="14" borderId="16" xfId="0" applyFill="1" applyBorder="1" applyAlignment="1">
      <alignment horizontal="center"/>
    </xf>
    <xf numFmtId="0" fontId="0" fillId="14" borderId="18" xfId="0" applyFill="1" applyBorder="1" applyAlignment="1">
      <alignment horizontal="center"/>
    </xf>
    <xf numFmtId="0" fontId="17" fillId="0" borderId="22" xfId="0" applyFont="1" applyBorder="1"/>
    <xf numFmtId="0" fontId="0" fillId="14" borderId="21" xfId="0" applyFill="1" applyBorder="1" applyAlignment="1">
      <alignment horizontal="center"/>
    </xf>
    <xf numFmtId="0" fontId="0" fillId="14" borderId="0" xfId="0" applyFill="1" applyAlignment="1">
      <alignment horizontal="center"/>
    </xf>
    <xf numFmtId="0" fontId="0" fillId="14" borderId="22" xfId="0" applyFill="1" applyBorder="1" applyAlignment="1">
      <alignment horizontal="center"/>
    </xf>
    <xf numFmtId="0" fontId="0" fillId="0" borderId="77" xfId="0" applyBorder="1"/>
    <xf numFmtId="0" fontId="17" fillId="0" borderId="8" xfId="0" applyFont="1" applyBorder="1"/>
    <xf numFmtId="0" fontId="17" fillId="0" borderId="78" xfId="0" applyFont="1" applyBorder="1"/>
    <xf numFmtId="0" fontId="17" fillId="0" borderId="0" xfId="0" applyFont="1" applyAlignment="1">
      <alignment horizontal="center"/>
    </xf>
    <xf numFmtId="0" fontId="0" fillId="0" borderId="5"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76" xfId="0" applyBorder="1" applyAlignment="1">
      <alignment horizontal="center"/>
    </xf>
    <xf numFmtId="0" fontId="0" fillId="14" borderId="75" xfId="0" applyFill="1" applyBorder="1" applyAlignment="1">
      <alignment horizontal="center"/>
    </xf>
    <xf numFmtId="0" fontId="0" fillId="14" borderId="7" xfId="0" applyFill="1" applyBorder="1" applyAlignment="1">
      <alignment horizontal="center"/>
    </xf>
    <xf numFmtId="0" fontId="0" fillId="14" borderId="76" xfId="0" applyFill="1" applyBorder="1" applyAlignment="1">
      <alignment horizontal="center"/>
    </xf>
    <xf numFmtId="0" fontId="0" fillId="0" borderId="3" xfId="0" applyBorder="1" applyAlignment="1">
      <alignment horizontal="center"/>
    </xf>
    <xf numFmtId="0" fontId="3" fillId="0" borderId="76" xfId="0" applyFont="1" applyBorder="1" applyAlignment="1">
      <alignment horizontal="center"/>
    </xf>
    <xf numFmtId="0" fontId="17" fillId="0" borderId="21" xfId="0" applyFont="1" applyBorder="1"/>
    <xf numFmtId="0" fontId="0" fillId="0" borderId="8" xfId="0" applyBorder="1" applyAlignment="1">
      <alignment horizontal="center"/>
    </xf>
    <xf numFmtId="0" fontId="0" fillId="0" borderId="4" xfId="0" applyBorder="1" applyAlignment="1">
      <alignment horizontal="center"/>
    </xf>
    <xf numFmtId="0" fontId="0" fillId="0" borderId="78" xfId="0" applyBorder="1" applyAlignment="1">
      <alignment horizontal="center"/>
    </xf>
    <xf numFmtId="0" fontId="0" fillId="14" borderId="77" xfId="0" applyFill="1" applyBorder="1" applyAlignment="1">
      <alignment horizontal="center"/>
    </xf>
    <xf numFmtId="0" fontId="0" fillId="14" borderId="8" xfId="0" applyFill="1" applyBorder="1" applyAlignment="1">
      <alignment horizontal="center"/>
    </xf>
    <xf numFmtId="0" fontId="0" fillId="14" borderId="78" xfId="0" applyFill="1" applyBorder="1" applyAlignment="1">
      <alignment horizontal="center"/>
    </xf>
    <xf numFmtId="0" fontId="3" fillId="0" borderId="78" xfId="0" applyFont="1" applyBorder="1" applyAlignment="1">
      <alignment horizontal="center"/>
    </xf>
    <xf numFmtId="0" fontId="17" fillId="0" borderId="7" xfId="0" applyFont="1" applyBorder="1" applyAlignment="1">
      <alignment horizontal="center"/>
    </xf>
    <xf numFmtId="0" fontId="17" fillId="0" borderId="1" xfId="0" applyFont="1" applyBorder="1" applyAlignment="1">
      <alignment horizontal="center"/>
    </xf>
    <xf numFmtId="0" fontId="17" fillId="0" borderId="6" xfId="0" applyFont="1" applyBorder="1" applyAlignment="1">
      <alignment horizontal="center"/>
    </xf>
    <xf numFmtId="0" fontId="17" fillId="0" borderId="76" xfId="0" applyFont="1" applyBorder="1" applyAlignment="1">
      <alignment horizontal="center"/>
    </xf>
    <xf numFmtId="0" fontId="17" fillId="0" borderId="3" xfId="0" applyFont="1" applyBorder="1" applyAlignment="1">
      <alignment horizontal="center"/>
    </xf>
    <xf numFmtId="0" fontId="17" fillId="0" borderId="5" xfId="0" applyFont="1" applyBorder="1" applyAlignment="1">
      <alignment horizontal="center"/>
    </xf>
    <xf numFmtId="0" fontId="17" fillId="0" borderId="4" xfId="0" applyFont="1" applyBorder="1" applyAlignment="1">
      <alignment horizontal="center"/>
    </xf>
    <xf numFmtId="0" fontId="17" fillId="0" borderId="8" xfId="0" applyFont="1" applyBorder="1" applyAlignment="1">
      <alignment horizontal="center"/>
    </xf>
    <xf numFmtId="0" fontId="0" fillId="14" borderId="3" xfId="0" applyFill="1" applyBorder="1" applyAlignment="1">
      <alignment horizontal="center"/>
    </xf>
    <xf numFmtId="0" fontId="0" fillId="14" borderId="2" xfId="0" applyFill="1" applyBorder="1" applyAlignment="1">
      <alignment horizontal="center"/>
    </xf>
    <xf numFmtId="0" fontId="0" fillId="0" borderId="23" xfId="0" applyBorder="1"/>
    <xf numFmtId="0" fontId="17" fillId="0" borderId="24" xfId="0" applyFont="1" applyBorder="1"/>
    <xf numFmtId="0" fontId="17" fillId="0" borderId="26" xfId="0" applyFont="1" applyBorder="1"/>
    <xf numFmtId="0" fontId="0" fillId="0" borderId="79" xfId="0" applyBorder="1" applyAlignment="1">
      <alignment horizontal="center"/>
    </xf>
    <xf numFmtId="0" fontId="0" fillId="0" borderId="17" xfId="0" applyBorder="1"/>
    <xf numFmtId="0" fontId="17" fillId="0" borderId="16" xfId="0" applyFont="1" applyBorder="1"/>
    <xf numFmtId="0" fontId="0" fillId="0" borderId="18" xfId="0" applyBorder="1"/>
    <xf numFmtId="0" fontId="0" fillId="0" borderId="17" xfId="0" applyBorder="1" applyAlignment="1">
      <alignment horizontal="center"/>
    </xf>
    <xf numFmtId="0" fontId="0" fillId="0" borderId="80" xfId="0" applyBorder="1" applyAlignment="1">
      <alignment horizontal="center"/>
    </xf>
    <xf numFmtId="0" fontId="0" fillId="0" borderId="16" xfId="0" applyBorder="1" applyAlignment="1">
      <alignment horizontal="center"/>
    </xf>
    <xf numFmtId="0" fontId="0" fillId="0" borderId="81" xfId="0" applyBorder="1" applyAlignment="1">
      <alignment horizontal="center"/>
    </xf>
    <xf numFmtId="0" fontId="0" fillId="0" borderId="18" xfId="0" applyBorder="1" applyAlignment="1">
      <alignment horizontal="center"/>
    </xf>
    <xf numFmtId="0" fontId="0" fillId="14" borderId="81" xfId="0" applyFill="1" applyBorder="1" applyAlignment="1">
      <alignment horizontal="center"/>
    </xf>
    <xf numFmtId="0" fontId="0" fillId="14" borderId="80" xfId="0" applyFill="1" applyBorder="1" applyAlignment="1">
      <alignment horizontal="center"/>
    </xf>
    <xf numFmtId="0" fontId="0" fillId="0" borderId="22" xfId="0" applyBorder="1"/>
    <xf numFmtId="0" fontId="0" fillId="15" borderId="22" xfId="0" applyFill="1" applyBorder="1" applyAlignment="1">
      <alignment horizontal="center"/>
    </xf>
    <xf numFmtId="0" fontId="0" fillId="0" borderId="78" xfId="0" applyBorder="1"/>
    <xf numFmtId="0" fontId="0" fillId="14" borderId="5" xfId="0" applyFill="1" applyBorder="1" applyAlignment="1">
      <alignment horizontal="center"/>
    </xf>
    <xf numFmtId="0" fontId="0" fillId="0" borderId="26" xfId="0" applyBorder="1"/>
    <xf numFmtId="0" fontId="0" fillId="14" borderId="23" xfId="0" applyFill="1" applyBorder="1" applyAlignment="1">
      <alignment horizontal="center"/>
    </xf>
    <xf numFmtId="0" fontId="0" fillId="14" borderId="79" xfId="0" applyFill="1" applyBorder="1" applyAlignment="1">
      <alignment horizontal="center"/>
    </xf>
    <xf numFmtId="0" fontId="0" fillId="14" borderId="24" xfId="0" applyFill="1" applyBorder="1" applyAlignment="1">
      <alignment horizontal="center"/>
    </xf>
    <xf numFmtId="0" fontId="0" fillId="14" borderId="25" xfId="0" applyFill="1" applyBorder="1" applyAlignment="1">
      <alignment horizontal="center"/>
    </xf>
    <xf numFmtId="0" fontId="0" fillId="14" borderId="26" xfId="0" applyFill="1" applyBorder="1" applyAlignment="1">
      <alignment horizontal="center"/>
    </xf>
    <xf numFmtId="0" fontId="17" fillId="0" borderId="17" xfId="0" applyFont="1" applyBorder="1"/>
    <xf numFmtId="0" fontId="17" fillId="0" borderId="16" xfId="0" applyFont="1" applyBorder="1" applyAlignment="1">
      <alignment horizontal="center"/>
    </xf>
    <xf numFmtId="0" fontId="17" fillId="14" borderId="17" xfId="0" applyFont="1" applyFill="1" applyBorder="1" applyAlignment="1">
      <alignment horizontal="center"/>
    </xf>
    <xf numFmtId="0" fontId="17" fillId="14" borderId="16" xfId="0" applyFont="1" applyFill="1" applyBorder="1" applyAlignment="1">
      <alignment horizontal="center"/>
    </xf>
    <xf numFmtId="0" fontId="17" fillId="14" borderId="81" xfId="0" applyFont="1" applyFill="1" applyBorder="1" applyAlignment="1">
      <alignment horizontal="center"/>
    </xf>
    <xf numFmtId="0" fontId="17" fillId="14" borderId="18" xfId="0" applyFont="1" applyFill="1" applyBorder="1" applyAlignment="1">
      <alignment horizontal="center"/>
    </xf>
    <xf numFmtId="0" fontId="17" fillId="14" borderId="21" xfId="0" applyFont="1" applyFill="1" applyBorder="1" applyAlignment="1">
      <alignment horizontal="center"/>
    </xf>
    <xf numFmtId="0" fontId="17" fillId="14" borderId="0" xfId="0" applyFont="1" applyFill="1" applyAlignment="1">
      <alignment horizontal="center"/>
    </xf>
    <xf numFmtId="0" fontId="17" fillId="14" borderId="2" xfId="0" applyFont="1" applyFill="1" applyBorder="1" applyAlignment="1">
      <alignment horizontal="center"/>
    </xf>
    <xf numFmtId="0" fontId="17" fillId="14" borderId="3" xfId="0" applyFont="1" applyFill="1" applyBorder="1" applyAlignment="1">
      <alignment horizontal="center"/>
    </xf>
    <xf numFmtId="0" fontId="17" fillId="14" borderId="22" xfId="0" applyFont="1" applyFill="1" applyBorder="1" applyAlignment="1">
      <alignment horizontal="center"/>
    </xf>
    <xf numFmtId="0" fontId="17" fillId="0" borderId="23" xfId="0" applyFont="1" applyBorder="1"/>
    <xf numFmtId="0" fontId="17" fillId="0" borderId="24" xfId="0" applyFont="1" applyBorder="1" applyAlignment="1">
      <alignment horizontal="center"/>
    </xf>
    <xf numFmtId="0" fontId="17" fillId="14" borderId="23" xfId="0" applyFont="1" applyFill="1" applyBorder="1" applyAlignment="1">
      <alignment horizontal="center"/>
    </xf>
    <xf numFmtId="0" fontId="17" fillId="14" borderId="24" xfId="0" applyFont="1" applyFill="1" applyBorder="1" applyAlignment="1">
      <alignment horizontal="center"/>
    </xf>
    <xf numFmtId="0" fontId="17" fillId="14" borderId="25" xfId="0" applyFont="1" applyFill="1" applyBorder="1" applyAlignment="1">
      <alignment horizontal="center"/>
    </xf>
    <xf numFmtId="0" fontId="17" fillId="14" borderId="26" xfId="0" applyFont="1" applyFill="1" applyBorder="1" applyAlignment="1">
      <alignment horizontal="center"/>
    </xf>
    <xf numFmtId="0" fontId="3" fillId="0" borderId="16" xfId="0" applyFont="1" applyBorder="1"/>
    <xf numFmtId="0" fontId="3" fillId="0" borderId="18" xfId="0" applyFont="1" applyBorder="1"/>
    <xf numFmtId="0" fontId="3" fillId="0" borderId="24" xfId="0" applyFont="1" applyBorder="1"/>
    <xf numFmtId="0" fontId="3" fillId="0" borderId="26" xfId="0" applyFont="1" applyBorder="1"/>
    <xf numFmtId="49" fontId="0" fillId="3" borderId="7" xfId="0" applyNumberFormat="1" applyFill="1" applyBorder="1" applyAlignment="1">
      <alignment horizontal="left"/>
    </xf>
    <xf numFmtId="49" fontId="0" fillId="3" borderId="0" xfId="0" applyNumberFormat="1" applyFill="1" applyAlignment="1">
      <alignment horizontal="left"/>
    </xf>
    <xf numFmtId="49" fontId="3" fillId="3" borderId="0" xfId="0" applyNumberFormat="1" applyFont="1" applyFill="1" applyAlignment="1">
      <alignment horizontal="left"/>
    </xf>
    <xf numFmtId="0" fontId="18" fillId="5" borderId="12" xfId="0" applyFont="1" applyFill="1" applyBorder="1" applyAlignment="1">
      <alignment horizontal="left"/>
    </xf>
    <xf numFmtId="0" fontId="17" fillId="0" borderId="3" xfId="0" applyFont="1" applyBorder="1"/>
    <xf numFmtId="0" fontId="0" fillId="0" borderId="0" xfId="0" applyAlignment="1"/>
    <xf numFmtId="0" fontId="3" fillId="0" borderId="0" xfId="0" applyFont="1" applyAlignment="1"/>
    <xf numFmtId="0" fontId="0" fillId="3" borderId="1" xfId="0" applyFill="1" applyBorder="1" applyAlignment="1">
      <alignment horizontal="left"/>
    </xf>
    <xf numFmtId="0" fontId="0" fillId="3" borderId="3" xfId="0" applyFill="1" applyBorder="1" applyAlignment="1">
      <alignment horizontal="left"/>
    </xf>
    <xf numFmtId="0" fontId="17" fillId="3" borderId="3" xfId="0" applyFont="1" applyFill="1" applyBorder="1" applyAlignment="1">
      <alignment horizontal="left"/>
    </xf>
    <xf numFmtId="49" fontId="0" fillId="3" borderId="2" xfId="0" applyNumberFormat="1" applyFill="1" applyBorder="1" applyAlignment="1">
      <alignment horizontal="left"/>
    </xf>
    <xf numFmtId="49" fontId="0" fillId="3" borderId="6" xfId="0" applyNumberFormat="1" applyFill="1" applyBorder="1" applyAlignment="1">
      <alignment horizontal="left"/>
    </xf>
    <xf numFmtId="49" fontId="17" fillId="3" borderId="0" xfId="0" applyNumberFormat="1" applyFont="1" applyFill="1" applyAlignment="1">
      <alignment horizontal="left"/>
    </xf>
    <xf numFmtId="49" fontId="27" fillId="0" borderId="2" xfId="0" applyNumberFormat="1" applyFont="1" applyBorder="1"/>
    <xf numFmtId="49" fontId="3" fillId="0" borderId="6" xfId="0" applyNumberFormat="1" applyFont="1" applyBorder="1"/>
    <xf numFmtId="49" fontId="3" fillId="0" borderId="10" xfId="0" applyNumberFormat="1" applyFont="1" applyBorder="1"/>
    <xf numFmtId="49" fontId="3" fillId="0" borderId="9" xfId="0" applyNumberFormat="1" applyFont="1" applyBorder="1"/>
    <xf numFmtId="49" fontId="3" fillId="0" borderId="14" xfId="0" applyNumberFormat="1" applyFont="1" applyBorder="1"/>
    <xf numFmtId="49" fontId="0" fillId="17" borderId="0" xfId="0" applyNumberFormat="1" applyFill="1"/>
    <xf numFmtId="49" fontId="17" fillId="0" borderId="3" xfId="0" applyNumberFormat="1" applyFont="1" applyFill="1" applyBorder="1"/>
    <xf numFmtId="49" fontId="3" fillId="0" borderId="3" xfId="0" applyNumberFormat="1" applyFont="1" applyFill="1" applyBorder="1"/>
    <xf numFmtId="49" fontId="0" fillId="3" borderId="2" xfId="0" applyNumberFormat="1" applyFill="1" applyBorder="1"/>
    <xf numFmtId="49" fontId="0" fillId="3" borderId="0" xfId="0" applyNumberFormat="1" applyFill="1"/>
    <xf numFmtId="49" fontId="0" fillId="3" borderId="0" xfId="0" applyNumberFormat="1" applyFill="1" applyAlignment="1">
      <alignment horizontal="center"/>
    </xf>
    <xf numFmtId="49" fontId="0" fillId="3" borderId="3" xfId="0" applyNumberFormat="1" applyFill="1" applyBorder="1"/>
    <xf numFmtId="0" fontId="0" fillId="3" borderId="2" xfId="0" applyFill="1" applyBorder="1"/>
    <xf numFmtId="0" fontId="0" fillId="3" borderId="0" xfId="0" applyFill="1"/>
    <xf numFmtId="0" fontId="3" fillId="3" borderId="0" xfId="0" applyFont="1" applyFill="1"/>
    <xf numFmtId="49" fontId="22" fillId="3" borderId="0" xfId="0" applyNumberFormat="1" applyFont="1" applyFill="1" applyBorder="1"/>
    <xf numFmtId="0" fontId="3" fillId="3" borderId="0" xfId="0" applyFont="1" applyFill="1" applyAlignment="1">
      <alignment horizontal="left"/>
    </xf>
    <xf numFmtId="0" fontId="0" fillId="18" borderId="3" xfId="0" applyFill="1" applyBorder="1" applyAlignment="1">
      <alignment horizontal="left"/>
    </xf>
    <xf numFmtId="0" fontId="17" fillId="0" borderId="10" xfId="0" applyFont="1" applyBorder="1" applyAlignment="1">
      <alignment horizontal="center"/>
    </xf>
    <xf numFmtId="0" fontId="17" fillId="0" borderId="9" xfId="0" applyFont="1" applyBorder="1" applyAlignment="1">
      <alignment horizontal="center"/>
    </xf>
    <xf numFmtId="0" fontId="17" fillId="14" borderId="77" xfId="0" applyFont="1" applyFill="1" applyBorder="1" applyAlignment="1">
      <alignment horizontal="center"/>
    </xf>
    <xf numFmtId="0" fontId="17" fillId="14" borderId="8" xfId="0" applyFont="1" applyFill="1" applyBorder="1" applyAlignment="1">
      <alignment horizontal="center"/>
    </xf>
    <xf numFmtId="0" fontId="17" fillId="0" borderId="78" xfId="0" applyFont="1" applyBorder="1" applyAlignment="1">
      <alignment horizontal="center"/>
    </xf>
    <xf numFmtId="0" fontId="0" fillId="0" borderId="3" xfId="0" applyBorder="1" applyAlignment="1">
      <alignment horizontal="left"/>
    </xf>
    <xf numFmtId="0" fontId="0" fillId="0" borderId="82" xfId="0" applyBorder="1" applyAlignment="1">
      <alignment horizontal="center"/>
    </xf>
    <xf numFmtId="0" fontId="0" fillId="0" borderId="83" xfId="0" applyBorder="1" applyAlignment="1">
      <alignment horizontal="center"/>
    </xf>
    <xf numFmtId="0" fontId="0" fillId="0" borderId="85" xfId="0" applyBorder="1" applyAlignment="1">
      <alignment horizontal="center"/>
    </xf>
    <xf numFmtId="0" fontId="0" fillId="0" borderId="84" xfId="0" applyBorder="1" applyAlignment="1">
      <alignment horizontal="center"/>
    </xf>
    <xf numFmtId="49" fontId="3" fillId="0" borderId="0" xfId="0" applyNumberFormat="1" applyFont="1" applyFill="1"/>
    <xf numFmtId="49" fontId="17" fillId="0" borderId="0" xfId="0" applyNumberFormat="1" applyFont="1" applyFill="1"/>
    <xf numFmtId="0" fontId="0" fillId="0" borderId="0" xfId="0" applyFill="1"/>
    <xf numFmtId="49" fontId="0" fillId="0" borderId="14" xfId="0" applyNumberFormat="1" applyFill="1" applyBorder="1"/>
    <xf numFmtId="164" fontId="28" fillId="2" borderId="7" xfId="0" applyNumberFormat="1" applyFont="1" applyFill="1" applyBorder="1" applyAlignment="1">
      <alignment horizontal="left"/>
    </xf>
    <xf numFmtId="164" fontId="5" fillId="2" borderId="7" xfId="0" applyNumberFormat="1" applyFont="1" applyFill="1" applyBorder="1" applyAlignment="1">
      <alignment horizontal="left"/>
    </xf>
    <xf numFmtId="0" fontId="21" fillId="0" borderId="24" xfId="0" applyFont="1" applyFill="1" applyBorder="1" applyAlignment="1">
      <alignment horizontal="center"/>
    </xf>
    <xf numFmtId="0" fontId="21" fillId="0" borderId="26" xfId="0" applyFont="1" applyFill="1" applyBorder="1" applyAlignment="1">
      <alignment horizontal="center"/>
    </xf>
    <xf numFmtId="49" fontId="0" fillId="15" borderId="2" xfId="0" applyNumberFormat="1" applyFill="1" applyBorder="1"/>
    <xf numFmtId="0" fontId="21" fillId="0" borderId="21" xfId="0" applyFont="1" applyBorder="1" applyAlignment="1">
      <alignment horizontal="center"/>
    </xf>
    <xf numFmtId="0" fontId="21" fillId="0" borderId="0" xfId="0" applyFont="1" applyBorder="1" applyAlignment="1">
      <alignment horizontal="center"/>
    </xf>
    <xf numFmtId="0" fontId="21" fillId="0" borderId="22" xfId="0" applyFont="1" applyBorder="1" applyAlignment="1">
      <alignment horizontal="center"/>
    </xf>
    <xf numFmtId="0" fontId="21" fillId="0" borderId="23" xfId="0" applyFont="1" applyBorder="1" applyAlignment="1">
      <alignment horizontal="center"/>
    </xf>
    <xf numFmtId="0" fontId="21" fillId="0" borderId="24" xfId="0" applyFont="1" applyBorder="1" applyAlignment="1">
      <alignment horizontal="center"/>
    </xf>
    <xf numFmtId="0" fontId="7" fillId="0" borderId="0" xfId="0" applyFont="1" applyBorder="1" applyAlignment="1">
      <alignment horizontal="center"/>
    </xf>
    <xf numFmtId="0" fontId="21" fillId="0" borderId="0" xfId="0" applyFont="1" applyFill="1" applyBorder="1" applyAlignment="1">
      <alignment horizontal="center"/>
    </xf>
    <xf numFmtId="0" fontId="7" fillId="8" borderId="0" xfId="0" applyFont="1" applyFill="1" applyBorder="1" applyAlignment="1">
      <alignment horizontal="center"/>
    </xf>
    <xf numFmtId="0" fontId="21" fillId="8" borderId="0" xfId="0" applyFont="1" applyFill="1" applyBorder="1" applyAlignment="1">
      <alignment horizontal="center"/>
    </xf>
    <xf numFmtId="0" fontId="21" fillId="15" borderId="0" xfId="0" applyFont="1" applyFill="1" applyBorder="1" applyAlignment="1">
      <alignment horizontal="center"/>
    </xf>
    <xf numFmtId="0" fontId="7" fillId="15" borderId="0" xfId="0" applyFont="1" applyFill="1" applyBorder="1" applyAlignment="1">
      <alignment horizontal="center"/>
    </xf>
    <xf numFmtId="0" fontId="21" fillId="16" borderId="0" xfId="0" applyFont="1" applyFill="1" applyBorder="1" applyAlignment="1">
      <alignment horizontal="center"/>
    </xf>
    <xf numFmtId="0" fontId="16" fillId="0" borderId="0" xfId="0" applyFont="1" applyBorder="1" applyAlignment="1">
      <alignment horizontal="center"/>
    </xf>
    <xf numFmtId="0" fontId="16" fillId="8" borderId="0" xfId="0" applyFont="1" applyFill="1" applyBorder="1" applyAlignment="1">
      <alignment horizontal="center"/>
    </xf>
    <xf numFmtId="0" fontId="0" fillId="0" borderId="0" xfId="0" applyBorder="1" applyAlignment="1">
      <alignment wrapText="1"/>
    </xf>
    <xf numFmtId="0" fontId="0" fillId="0" borderId="2" xfId="0" applyBorder="1" applyAlignment="1">
      <alignment vertical="center" wrapText="1"/>
    </xf>
    <xf numFmtId="0" fontId="17" fillId="0" borderId="0" xfId="0" applyFont="1" applyBorder="1" applyAlignment="1">
      <alignment wrapText="1"/>
    </xf>
    <xf numFmtId="20" fontId="0" fillId="0" borderId="0" xfId="0" applyNumberFormat="1" applyBorder="1" applyAlignment="1">
      <alignment wrapText="1"/>
    </xf>
    <xf numFmtId="20" fontId="17" fillId="0" borderId="0" xfId="0" applyNumberFormat="1" applyFont="1" applyBorder="1" applyAlignment="1">
      <alignment wrapText="1"/>
    </xf>
    <xf numFmtId="0" fontId="7" fillId="0" borderId="86" xfId="0" applyFont="1" applyBorder="1"/>
    <xf numFmtId="0" fontId="7" fillId="0" borderId="87" xfId="0" applyFont="1" applyBorder="1"/>
    <xf numFmtId="0" fontId="7" fillId="0" borderId="88" xfId="0" applyFont="1" applyBorder="1"/>
    <xf numFmtId="164" fontId="5" fillId="2" borderId="20" xfId="0" applyNumberFormat="1" applyFont="1" applyFill="1" applyBorder="1" applyAlignment="1">
      <alignment horizontal="left"/>
    </xf>
    <xf numFmtId="0" fontId="21" fillId="16" borderId="22" xfId="0" applyFont="1" applyFill="1" applyBorder="1" applyAlignment="1">
      <alignment horizontal="center"/>
    </xf>
    <xf numFmtId="0" fontId="7" fillId="0" borderId="22" xfId="0" applyFont="1" applyBorder="1" applyAlignment="1">
      <alignment horizontal="center"/>
    </xf>
    <xf numFmtId="0" fontId="16" fillId="0" borderId="0" xfId="0" applyFont="1" applyFill="1" applyBorder="1" applyAlignment="1">
      <alignment horizontal="center"/>
    </xf>
    <xf numFmtId="0" fontId="21" fillId="8" borderId="21" xfId="0" applyFont="1" applyFill="1" applyBorder="1" applyAlignment="1">
      <alignment horizontal="center"/>
    </xf>
    <xf numFmtId="0" fontId="16" fillId="0" borderId="22" xfId="0" applyFont="1" applyBorder="1" applyAlignment="1">
      <alignment horizontal="center"/>
    </xf>
    <xf numFmtId="0" fontId="0" fillId="0" borderId="0" xfId="0" applyBorder="1"/>
    <xf numFmtId="0" fontId="7" fillId="0" borderId="0" xfId="0" quotePrefix="1" applyFont="1" applyBorder="1" applyAlignment="1">
      <alignment horizontal="center"/>
    </xf>
    <xf numFmtId="0" fontId="21" fillId="0" borderId="22" xfId="0" applyFont="1" applyFill="1" applyBorder="1" applyAlignment="1">
      <alignment horizontal="center"/>
    </xf>
    <xf numFmtId="0" fontId="7" fillId="0" borderId="24" xfId="0" applyFont="1" applyBorder="1" applyAlignment="1">
      <alignment horizontal="center"/>
    </xf>
    <xf numFmtId="0" fontId="21" fillId="8" borderId="24" xfId="0" applyFont="1" applyFill="1" applyBorder="1" applyAlignment="1">
      <alignment horizontal="center"/>
    </xf>
    <xf numFmtId="0" fontId="7" fillId="0" borderId="24" xfId="0" quotePrefix="1" applyFont="1" applyBorder="1" applyAlignment="1">
      <alignment horizontal="center"/>
    </xf>
    <xf numFmtId="0" fontId="0" fillId="0" borderId="1" xfId="0" applyBorder="1" applyAlignment="1">
      <alignment wrapText="1"/>
    </xf>
    <xf numFmtId="0" fontId="0" fillId="0" borderId="3" xfId="0" applyBorder="1" applyAlignment="1">
      <alignment wrapText="1"/>
    </xf>
    <xf numFmtId="0" fontId="17" fillId="0" borderId="3" xfId="0" applyFont="1" applyBorder="1" applyAlignment="1">
      <alignment wrapText="1"/>
    </xf>
    <xf numFmtId="0" fontId="17" fillId="0" borderId="5" xfId="0" applyFont="1" applyBorder="1" applyAlignment="1">
      <alignment wrapText="1"/>
    </xf>
    <xf numFmtId="0" fontId="3" fillId="0" borderId="0" xfId="0" applyFont="1" applyBorder="1" applyAlignment="1">
      <alignment wrapText="1"/>
    </xf>
    <xf numFmtId="0" fontId="3" fillId="0" borderId="0" xfId="0" applyFont="1" applyBorder="1"/>
    <xf numFmtId="20" fontId="3" fillId="0" borderId="0" xfId="0" applyNumberFormat="1" applyFont="1" applyBorder="1"/>
    <xf numFmtId="20" fontId="3" fillId="0" borderId="0" xfId="0" applyNumberFormat="1" applyFont="1" applyBorder="1" applyAlignment="1">
      <alignment wrapText="1"/>
    </xf>
    <xf numFmtId="0" fontId="17" fillId="0" borderId="6" xfId="0" applyFont="1" applyBorder="1" applyAlignment="1">
      <alignment vertical="center" wrapText="1"/>
    </xf>
    <xf numFmtId="0" fontId="17" fillId="0" borderId="1" xfId="0" applyFont="1" applyBorder="1" applyAlignment="1">
      <alignment wrapText="1"/>
    </xf>
    <xf numFmtId="0" fontId="3" fillId="0" borderId="1" xfId="0" applyFont="1" applyBorder="1" applyAlignment="1">
      <alignment wrapText="1"/>
    </xf>
    <xf numFmtId="0" fontId="17" fillId="0" borderId="4" xfId="0" applyFont="1" applyBorder="1" applyAlignment="1">
      <alignment wrapText="1"/>
    </xf>
    <xf numFmtId="0" fontId="17" fillId="0" borderId="8" xfId="0" applyFont="1" applyBorder="1" applyAlignment="1">
      <alignment wrapText="1"/>
    </xf>
    <xf numFmtId="0" fontId="17" fillId="0" borderId="2" xfId="0" applyFont="1" applyBorder="1"/>
    <xf numFmtId="0" fontId="17" fillId="0" borderId="0" xfId="0" applyFont="1" applyAlignment="1"/>
    <xf numFmtId="0" fontId="0" fillId="0" borderId="0" xfId="0" applyBorder="1" applyAlignment="1"/>
    <xf numFmtId="49" fontId="0" fillId="0" borderId="0" xfId="0" applyNumberFormat="1" applyBorder="1"/>
    <xf numFmtId="0" fontId="21" fillId="0" borderId="3" xfId="0" applyFont="1" applyBorder="1" applyAlignment="1">
      <alignment horizontal="center"/>
    </xf>
    <xf numFmtId="0" fontId="7" fillId="0" borderId="8" xfId="0" applyFont="1" applyBorder="1" applyAlignment="1">
      <alignment horizontal="center"/>
    </xf>
    <xf numFmtId="0" fontId="7" fillId="0" borderId="5" xfId="0" applyFont="1" applyBorder="1" applyAlignment="1">
      <alignment horizontal="center"/>
    </xf>
    <xf numFmtId="0" fontId="0" fillId="0" borderId="6" xfId="0" applyBorder="1"/>
    <xf numFmtId="0" fontId="0" fillId="18" borderId="2" xfId="0" applyFill="1" applyBorder="1"/>
    <xf numFmtId="164" fontId="5" fillId="2" borderId="19" xfId="0" applyNumberFormat="1" applyFont="1" applyFill="1" applyBorder="1" applyAlignment="1">
      <alignment horizontal="left"/>
    </xf>
    <xf numFmtId="0" fontId="7" fillId="8" borderId="21" xfId="0" applyFont="1" applyFill="1" applyBorder="1" applyAlignment="1">
      <alignment horizontal="center"/>
    </xf>
    <xf numFmtId="0" fontId="21" fillId="18" borderId="21" xfId="0" applyFont="1" applyFill="1" applyBorder="1" applyAlignment="1">
      <alignment horizontal="center"/>
    </xf>
    <xf numFmtId="0" fontId="21" fillId="18" borderId="0" xfId="0" applyFont="1" applyFill="1" applyBorder="1" applyAlignment="1">
      <alignment horizontal="center"/>
    </xf>
    <xf numFmtId="0" fontId="21" fillId="0" borderId="0" xfId="0" quotePrefix="1" applyFont="1" applyBorder="1" applyAlignment="1">
      <alignment horizontal="center"/>
    </xf>
    <xf numFmtId="0" fontId="21" fillId="0" borderId="24" xfId="0" quotePrefix="1" applyFont="1" applyBorder="1" applyAlignment="1">
      <alignment horizontal="center"/>
    </xf>
    <xf numFmtId="20" fontId="7" fillId="0" borderId="0" xfId="0" applyNumberFormat="1" applyFont="1" applyBorder="1" applyAlignment="1">
      <alignment horizontal="center"/>
    </xf>
    <xf numFmtId="164" fontId="5" fillId="0" borderId="20" xfId="0" applyNumberFormat="1" applyFont="1" applyBorder="1" applyAlignment="1">
      <alignment horizontal="left"/>
    </xf>
    <xf numFmtId="0" fontId="7" fillId="8" borderId="22" xfId="0" applyFont="1" applyFill="1" applyBorder="1" applyAlignment="1">
      <alignment horizontal="center"/>
    </xf>
    <xf numFmtId="0" fontId="21" fillId="8" borderId="22" xfId="0" applyFont="1" applyFill="1" applyBorder="1" applyAlignment="1">
      <alignment horizontal="center"/>
    </xf>
    <xf numFmtId="0" fontId="21" fillId="18" borderId="22" xfId="0" applyFont="1" applyFill="1" applyBorder="1" applyAlignment="1">
      <alignment horizontal="center"/>
    </xf>
    <xf numFmtId="0" fontId="21" fillId="8" borderId="26" xfId="0" applyFont="1" applyFill="1" applyBorder="1" applyAlignment="1">
      <alignment horizontal="center"/>
    </xf>
    <xf numFmtId="0" fontId="17" fillId="0" borderId="0" xfId="0" applyFont="1" applyBorder="1"/>
    <xf numFmtId="0" fontId="17" fillId="0" borderId="0" xfId="0" applyFont="1" applyBorder="1" applyAlignment="1">
      <alignment horizontal="center"/>
    </xf>
    <xf numFmtId="0" fontId="17" fillId="14" borderId="0" xfId="0" applyFont="1" applyFill="1" applyBorder="1" applyAlignment="1">
      <alignment horizontal="center"/>
    </xf>
    <xf numFmtId="0" fontId="0" fillId="0" borderId="89" xfId="0" applyBorder="1" applyAlignment="1">
      <alignment horizontal="center"/>
    </xf>
    <xf numFmtId="0" fontId="0" fillId="0" borderId="4" xfId="0" applyBorder="1" applyAlignment="1">
      <alignment vertical="center" wrapText="1"/>
    </xf>
    <xf numFmtId="0" fontId="29" fillId="0" borderId="0" xfId="0" applyFont="1"/>
    <xf numFmtId="0" fontId="30" fillId="0" borderId="0" xfId="0" applyFont="1"/>
    <xf numFmtId="0" fontId="24" fillId="0" borderId="91" xfId="0" applyFont="1" applyBorder="1" applyProtection="1">
      <protection locked="0"/>
    </xf>
    <xf numFmtId="0" fontId="24" fillId="0" borderId="92" xfId="0" applyFont="1" applyBorder="1" applyProtection="1">
      <protection locked="0"/>
    </xf>
    <xf numFmtId="0" fontId="24" fillId="11" borderId="90" xfId="0" applyFont="1" applyFill="1" applyBorder="1" applyProtection="1">
      <protection locked="0"/>
    </xf>
    <xf numFmtId="0" fontId="24" fillId="11" borderId="91" xfId="0" applyFont="1" applyFill="1" applyBorder="1" applyProtection="1">
      <protection locked="0"/>
    </xf>
    <xf numFmtId="0" fontId="24" fillId="0" borderId="90" xfId="0" applyFont="1" applyBorder="1" applyProtection="1">
      <protection locked="0"/>
    </xf>
    <xf numFmtId="0" fontId="0" fillId="15" borderId="21" xfId="0" applyFill="1" applyBorder="1" applyAlignment="1">
      <alignment horizontal="center"/>
    </xf>
    <xf numFmtId="0" fontId="0" fillId="15" borderId="2" xfId="0" applyFill="1" applyBorder="1" applyAlignment="1">
      <alignment horizontal="center"/>
    </xf>
    <xf numFmtId="0" fontId="0" fillId="15" borderId="0" xfId="0" applyFill="1" applyAlignment="1">
      <alignment horizontal="center"/>
    </xf>
    <xf numFmtId="0" fontId="0" fillId="15" borderId="6" xfId="0" applyFill="1" applyBorder="1" applyAlignment="1">
      <alignment horizontal="center"/>
    </xf>
    <xf numFmtId="0" fontId="0" fillId="15" borderId="7" xfId="0" applyFill="1" applyBorder="1" applyAlignment="1">
      <alignment horizontal="center"/>
    </xf>
    <xf numFmtId="0" fontId="3" fillId="15" borderId="22" xfId="0" applyFont="1" applyFill="1" applyBorder="1" applyAlignment="1">
      <alignment horizontal="center"/>
    </xf>
    <xf numFmtId="0" fontId="3" fillId="15" borderId="76" xfId="0" applyFont="1" applyFill="1" applyBorder="1" applyAlignment="1">
      <alignment horizontal="center"/>
    </xf>
    <xf numFmtId="0" fontId="1" fillId="2" borderId="14" xfId="0" applyFont="1" applyFill="1" applyBorder="1" applyAlignment="1">
      <alignment horizontal="center"/>
    </xf>
    <xf numFmtId="0" fontId="1" fillId="2" borderId="4" xfId="0" applyFont="1" applyFill="1" applyBorder="1" applyAlignment="1">
      <alignment horizontal="left"/>
    </xf>
    <xf numFmtId="0" fontId="1" fillId="2" borderId="8" xfId="0" applyFont="1" applyFill="1" applyBorder="1" applyAlignment="1">
      <alignment horizontal="left"/>
    </xf>
    <xf numFmtId="0" fontId="1" fillId="2" borderId="6" xfId="0" applyFont="1" applyFill="1" applyBorder="1"/>
    <xf numFmtId="0" fontId="1" fillId="2" borderId="7" xfId="0" applyFont="1" applyFill="1" applyBorder="1"/>
    <xf numFmtId="0" fontId="1" fillId="2" borderId="1" xfId="0" applyFont="1" applyFill="1" applyBorder="1"/>
    <xf numFmtId="0" fontId="1" fillId="2" borderId="7" xfId="0" applyFont="1" applyFill="1" applyBorder="1" applyAlignment="1">
      <alignment horizontal="center"/>
    </xf>
    <xf numFmtId="0" fontId="1" fillId="2" borderId="1" xfId="0" applyFont="1" applyFill="1" applyBorder="1" applyAlignment="1">
      <alignment horizontal="center"/>
    </xf>
    <xf numFmtId="165" fontId="5" fillId="4" borderId="6" xfId="0" applyNumberFormat="1" applyFont="1" applyFill="1" applyBorder="1" applyAlignment="1">
      <alignment horizontal="left"/>
    </xf>
    <xf numFmtId="165" fontId="5" fillId="4" borderId="1" xfId="0" applyNumberFormat="1" applyFont="1" applyFill="1" applyBorder="1" applyAlignment="1">
      <alignment horizontal="left"/>
    </xf>
    <xf numFmtId="0" fontId="11" fillId="0" borderId="13" xfId="0" applyFont="1" applyBorder="1" applyAlignment="1" applyProtection="1">
      <alignment horizontal="center"/>
      <protection locked="0"/>
    </xf>
    <xf numFmtId="0" fontId="11"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3" fillId="0" borderId="0" xfId="0" applyFont="1" applyAlignment="1">
      <alignment wrapText="1"/>
    </xf>
  </cellXfs>
  <cellStyles count="1">
    <cellStyle name="Standard" xfId="0" builtinId="0"/>
  </cellStyles>
  <dxfs count="392">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s>
  <tableStyles count="0" defaultTableStyle="TableStyleMedium2" defaultPivotStyle="PivotStyleLight16"/>
  <colors>
    <mruColors>
      <color rgb="FF67C6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Simon Haug" id="{0CF57073-34A5-414D-98BB-AAC443D07575}" userId="S::simon.haug@ost.ch::ca0e39b8-b1da-4b15-9664-419e181c989f" providerId="AD"/>
  <person displayName="Samuel Kolb" id="{A74F0B81-6ACB-8D46-A053-26161FF55584}" userId="S::samuel.kolb@ost.ch::e80832ae-9c23-4ae2-9b5d-643f3fd7ae23" providerId="AD"/>
  <person displayName="Reinhard Bürgy" id="{0CDD2DBB-4711-1F41-B5C2-BE7F90A7B51F}" userId="S::reinhard.buergy@polypoint.ch::9a6b9696-97f0-4419-8690-8fe7302ed00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3-02-22T18:54:09.60" personId="{A74F0B81-6ACB-8D46-A053-26161FF55584}" id="{49FFF105-FA98-4557-9874-EC64961F2346}">
    <text>eigentlich 05:45, wird aber auf Plan zu klein angezeigt</text>
  </threadedComment>
  <threadedComment ref="C19" dT="2023-02-22T18:56:26.14" personId="{A74F0B81-6ACB-8D46-A053-26161FF55584}" id="{4C3A5EA4-339C-441E-A62A-FB5CF17A97DE}">
    <text>eigentlich 16:15, wird aber im Plan zu klein angezeigt</text>
  </threadedComment>
  <threadedComment ref="D19" dT="2023-02-22T18:55:31.58" personId="{A74F0B81-6ACB-8D46-A053-26161FF55584}" id="{676D13EF-E117-4BD2-9E6E-4BC8BA6C8B1C}">
    <text>eigentlich 02:30, wird aber im Plan zu klein angezeigt</text>
  </threadedComment>
  <threadedComment ref="D28" dT="2023-02-13T15:53:29.18" personId="{0CF57073-34A5-414D-98BB-AAC443D07575}" id="{BC8FDE02-8213-4654-9E1A-ECDF6BF79C8B}">
    <text>wie lange dauert Doku Nachmittag?</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2-10-28T10:05:43.18" personId="{A74F0B81-6ACB-8D46-A053-26161FF55584}" id="{D1EADF04-72C5-4AC2-AEDE-4BEA5CC501B5}">
    <text>zählen nicht zum Bedarf am VM</text>
  </threadedComment>
  <threadedComment ref="A11" dT="2022-10-04T08:46:22.92" personId="{A74F0B81-6ACB-8D46-A053-26161FF55584}" id="{B17EA548-B3AB-47C5-86FC-BB88BDCBD0F4}">
    <text>"Nicht Vor Früh": Für "Früh vor Frei" - Regel relevant</text>
  </threadedComment>
  <threadedComment ref="A16" dT="2022-10-06T15:29:30.25" personId="{0CF57073-34A5-414D-98BB-AAC443D07575}" id="{7E09B71C-A68F-48A8-ADA4-283E18E3C5D0}">
    <text>Für Planungswunsch: Jeden 1. Montag F1 oder G1. Mit Reinhard besprechen</text>
  </threadedComment>
  <threadedComment ref="A16" dT="2022-10-11T05:55:54.33" personId="{0CF57073-34A5-414D-98BB-AAC443D07575}" id="{40AE5F80-C307-41CF-8D1D-5D7E410CB5F5}" parentId="{7E09B71C-A68F-48A8-ADA4-283E18E3C5D0}">
    <text>Wird im Planungswunsch 2.0 berücksichtigt. In Version 1.0 noch nicht</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10-04T13:25:27.61" personId="{A74F0B81-6ACB-8D46-A053-26161FF55584}" id="{831948B5-0B00-44B9-9D45-34A274231185}">
    <text xml:space="preserve">Leitung, Fachpersonal mit Diplom, Fachpersonal mit Fähigkeitszeugnis </text>
  </threadedComment>
  <threadedComment ref="C3" dT="2022-11-30T16:42:32.81" personId="{A74F0B81-6ACB-8D46-A053-26161FF55584}" id="{925E9545-B943-4682-B8AB-3D4D0E1FEFA7}">
    <text>Du kannst die Demands nun einfacher eingeben mit: KAT1 KAT2 … - SHIFT_TYPE_GROUP 
siehe KSA</text>
  </threadedComment>
  <threadedComment ref="W3" dT="2023-02-23T01:09:12.89" personId="{A74F0B81-6ACB-8D46-A053-26161FF55584}" id="{0A4CF072-4A68-418A-A5DD-F3FEB545C2BC}">
    <text>ist diese Regel so streng? Generiert riesige Kosten...</text>
  </threadedComment>
  <threadedComment ref="W3" dT="2023-02-23T12:29:43.71" personId="{A74F0B81-6ACB-8D46-A053-26161FF55584}" id="{420C389C-0D01-47BE-AEDC-0C7CEC464938}" parentId="{0A4CF072-4A68-418A-A5DD-F3FEB545C2BC}">
    <text>war 0</text>
  </threadedComment>
  <threadedComment ref="B11" dT="2022-10-04T13:25:46.87" personId="{A74F0B81-6ACB-8D46-A053-26161FF55584}" id="{BEB1CF6D-7879-4E62-9F12-2DB0CC77CB70}">
    <text>Leitung, Fachpersonal mit Diplom, Fachpersonal mit Fähigkeitszeugnis, Mitarbeitende</text>
  </threadedComment>
  <threadedComment ref="W15" dT="2023-01-25T19:03:40.31" personId="{A74F0B81-6ACB-8D46-A053-26161FF55584}" id="{0207A5FF-0A28-4570-A385-C6B45DE1CC7D}">
    <text>Obergrenze bei der Bedarfsabdeckung (3 wäre ok ab 13 Uhr) -&gt; gilt für alle roten oben</text>
  </threadedComment>
  <threadedComment ref="W16" dT="2022-12-02T21:29:13.71" personId="{A74F0B81-6ACB-8D46-A053-26161FF55584}" id="{2A2BE023-9F07-4DF9-A7CF-5525E7F5F6D5}">
    <text>max. 2 aus Pflege -&gt; wenn 3. Person, dann Lernende</text>
  </threadedComment>
  <threadedComment ref="W16" dT="2023-01-26T15:36:28.74" personId="{A74F0B81-6ACB-8D46-A053-26161FF55584}" id="{4CF99DFD-E18D-4390-97A6-684FD4142744}" parentId="{2A2BE023-9F07-4DF9-A7CF-5525E7F5F6D5}">
    <text>war 0, aber dann kommen die Leute nicht auf ihre Stunden</text>
  </threadedComment>
  <threadedComment ref="W17" dT="2022-12-02T11:16:03.73" personId="{A74F0B81-6ACB-8D46-A053-26161FF55584}" id="{57E088F6-7B73-4C01-A2ED-EAFD81ED71A1}">
    <text>nicht 2 Leute bis halb 9</text>
  </threadedComment>
  <threadedComment ref="W26" dT="2023-01-25T15:43:40.96" personId="{A74F0B81-6ACB-8D46-A053-26161FF55584}" id="{0CEF8ED3-8F87-493D-89C6-95A6B97248CF}">
    <text>jeder MA 2-3x im Monat. Wird begrenzt über Monatslimiten. -&gt; überprüfen, ob das klappt.</text>
  </threadedComment>
  <threadedComment ref="W26" dT="2023-01-26T19:04:07.11" personId="{A74F0B81-6ACB-8D46-A053-26161FF55584}" id="{39BCEC19-0BAB-47C6-BEA3-1E51E2F33168}" parentId="{0CEF8ED3-8F87-493D-89C6-95A6B97248CF}">
    <text>aktuell über 1x pro Woche gelöst</text>
  </threadedComment>
  <threadedComment ref="B29" dT="2022-11-23T11:47:15.70" personId="{A74F0B81-6ACB-8D46-A053-26161FF55584}" id="{1AF99646-5436-4137-A67E-955F8614BAFA}">
    <text>Bedarfsprofil für WE hat andere Zeiten, nicht nur andere Bedarfe, deshalb hier separat definiert.</text>
  </threadedComment>
  <threadedComment ref="A32" dT="2022-12-24T00:09:38.19" personId="{A74F0B81-6ACB-8D46-A053-26161FF55584}" id="{4B4554BD-751B-45EF-8746-94B6BC560860}">
    <text>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ext>
  </threadedComment>
</ThreadedComments>
</file>

<file path=xl/threadedComments/threadedComment4.xml><?xml version="1.0" encoding="utf-8"?>
<ThreadedComments xmlns="http://schemas.microsoft.com/office/spreadsheetml/2018/threadedcomments" xmlns:x="http://schemas.openxmlformats.org/spreadsheetml/2006/main">
  <threadedComment ref="C12" dT="2022-11-23T06:36:32.07" personId="{0CF57073-34A5-414D-98BB-AAC443D07575}" id="{34E8AA98-C930-406B-871C-5ADB56AF3557}">
    <text>40</text>
  </threadedComment>
</ThreadedComments>
</file>

<file path=xl/threadedComments/threadedComment5.xml><?xml version="1.0" encoding="utf-8"?>
<ThreadedComments xmlns="http://schemas.microsoft.com/office/spreadsheetml/2018/threadedcomments" xmlns:x="http://schemas.openxmlformats.org/spreadsheetml/2006/main">
  <threadedComment ref="F2" dT="2022-10-03T16:06:59.36" personId="{A74F0B81-6ACB-8D46-A053-26161FF55584}" id="{25E53D01-BBAC-4DD8-89A3-D7CB8E699386}">
    <text>@Reinhard:
Ist das eine Abmachung (fix "kein Frühdienst am Donnerstag") oder eine Präferenz (wenn möglich "kein Frühdienst am Donnerstag")?</text>
  </threadedComment>
  <threadedComment ref="F2" dT="2022-10-03T18:12:33.02" personId="{0CDD2DBB-4711-1F41-B5C2-BE7F90A7B51F}" id="{867571E9-B110-4C90-B92A-5B1D3F26B5BE}" parentId="{25E53D01-BBAC-4DD8-89A3-D7CB8E699386}">
    <text xml:space="preserve">Verbot = verbot, d.h. Planer gibt das ein. Ok für euch? </text>
  </threadedComment>
  <threadedComment ref="T2" dT="2023-02-20T12:22:50.39" personId="{0CF57073-34A5-414D-98BB-AAC443D07575}" id="{148EF7F7-2AF1-483F-BE25-4563550A95F7}">
    <text>Min + Opt. freie Weekends oder  Opt. + Min?</text>
  </threadedComment>
  <threadedComment ref="U2" dT="2022-09-20T14:19:06.29" personId="{A74F0B81-6ACB-8D46-A053-26161FF55584}" id="{0B6CCD2D-EBA5-4086-B6F7-F4CA70561074}">
    <text xml:space="preserve">Müsste hier der Bereich nicht optLow und optHigh sein? </text>
  </threadedComment>
  <threadedComment ref="U2" dT="2022-09-20T14:40:46.59" personId="{0CDD2DBB-4711-1F41-B5C2-BE7F90A7B51F}" id="{2CB2BFF0-32AD-D04D-B7C6-DBA94987DB84}" parentId="{0B6CCD2D-EBA5-4086-B6F7-F4CA70561074}">
    <text xml:space="preserve">Meines Erachtens nein. Idee: Planer definiert max. (1. Wert). MA definiert „opt“ = optHigh. Min + optLow würde ich immer als 0 interpretieren, d.h. am liebsten keine WE.
Macht das Sinn?
</text>
  </threadedComment>
  <threadedComment ref="U2" dT="2022-10-03T18:06:55.21" personId="{A74F0B81-6ACB-8D46-A053-26161FF55584}" id="{51400F3F-9716-4425-A0A2-87CD359E4F70}" parentId="{0B6CCD2D-EBA5-4086-B6F7-F4CA70561074}">
    <text>Ja, das macht Sinn, danke!</text>
  </threadedComment>
  <threadedComment ref="K4" dT="2022-11-22T15:50:37.57" personId="{0CF57073-34A5-414D-98BB-AAC443D07575}" id="{EE32E801-A485-4F1B-AB04-8F76E8E4349C}">
    <text>24-48</text>
  </threadedComment>
  <threadedComment ref="T4" dT="2023-02-23T16:02:43.68" personId="{A74F0B81-6ACB-8D46-A053-26161FF55584}" id="{442338D9-3D66-44FC-A94B-2E76ADE75AF6}">
    <text>Wenn neutral = 3 - 2, dann wichtig = 2 - 1
unwichtig = wird nicht auf WE geachtet.
Leer = neutral</text>
  </threadedComment>
  <threadedComment ref="B5" dT="2023-01-26T08:14:29.81" personId="{A74F0B81-6ACB-8D46-A053-26161FF55584}" id="{4783FC6E-D9CB-46B8-808D-CA9EA8DA034B}">
    <text>70</text>
  </threadedComment>
  <threadedComment ref="C5" dT="2022-11-15T15:11:46.92" personId="{0CF57073-34A5-414D-98BB-AAC443D07575}" id="{A11447F0-CE45-40AD-BE33-A4A2EFE1CF39}">
    <text>Mi, Do - 13:00 - 24:00</text>
  </threadedComment>
  <threadedComment ref="I5" dT="2022-09-20T16:27:38.73" personId="{A74F0B81-6ACB-8D46-A053-26161FF55584}" id="{DDEAEEF3-2AAD-46B0-9B2F-88772A049AAE}">
    <text>Falls nötig, hier pro Monat einstellen, z.B. Januar 23:
B2 : 14 - 9, B2M : 4 - 0
"Büro-Regel Monika" bereits gelöst mittels:
- Bedarfe
- Un-/Beliebte Dienste
- live-daten (Abmachungen)</text>
  </threadedComment>
  <threadedComment ref="K5" dT="2023-01-24T08:57:38.65" personId="{A74F0B81-6ACB-8D46-A053-26161FF55584}" id="{FA526BE6-6D61-4F0D-9762-6D88FE637609}">
    <text>war leer</text>
  </threadedComment>
  <threadedComment ref="T5" dT="2022-09-21T08:21:31.63" personId="{A74F0B81-6ACB-8D46-A053-26161FF55584}" id="{19728A74-03C8-476B-B435-07DAC7501430}">
    <text>Gem. MA-Profil: Bereit, 2 WE zu arbeiten
Nach Rücksprache: kein WE einplanen. Sie plant sich dann selbst ein, wo es sie braucht oder wenn jemand krank wird, springt sie ein.</text>
  </threadedComment>
  <threadedComment ref="B6" dT="2023-01-26T08:14:35.75" personId="{A74F0B81-6ACB-8D46-A053-26161FF55584}" id="{FCF251BD-D27F-4F81-BC09-8D3276BE1794}">
    <text>90</text>
  </threadedComment>
  <threadedComment ref="J6" dT="2022-12-02T22:24:33.47" personId="{A74F0B81-6ACB-8D46-A053-26161FF55584}" id="{FC7D798C-98E9-4971-B670-E78BF4F85EBC}">
    <text>war 3 - 5</text>
  </threadedComment>
  <threadedComment ref="K6" dT="2022-11-22T15:51:13.71" personId="{0CF57073-34A5-414D-98BB-AAC443D07575}" id="{CBEFF0E7-4B91-4D6D-AFB9-EF156CB5AA7F}">
    <text>24-72</text>
  </threadedComment>
  <threadedComment ref="T6" dT="2023-02-23T16:02:43.68" personId="{A74F0B81-6ACB-8D46-A053-26161FF55584}" id="{C783A4FC-8851-455B-B492-2FCEB2EA37D5}">
    <text>Wenn neutral = 3 - 2, dann wichtig = 2 - 1
unwichtig = wird nicht auf WE geachtet.
Leer = neutral</text>
  </threadedComment>
  <threadedComment ref="B7" dT="2023-01-26T08:14:41.82" personId="{A74F0B81-6ACB-8D46-A053-26161FF55584}" id="{13AA3D54-012E-4CD0-9EDA-F8A7BFCE1209}">
    <text>80</text>
  </threadedComment>
  <threadedComment ref="T7" dT="2023-02-23T16:02:43.68" personId="{A74F0B81-6ACB-8D46-A053-26161FF55584}" id="{E82A8420-8323-4CFA-A5F2-5EFBDDD1D637}">
    <text>Wenn neutral = 3 - 2, dann wichtig = 2 - 1
unwichtig = wird nicht auf WE geachtet.
Leer = neutral</text>
  </threadedComment>
  <threadedComment ref="B8" dT="2023-01-26T08:14:46.52" personId="{A74F0B81-6ACB-8D46-A053-26161FF55584}" id="{699D9CB2-58FA-41EB-B6F5-19759161CF61}">
    <text>90</text>
  </threadedComment>
  <threadedComment ref="G8" dT="2022-11-24T10:36:54.65" personId="{A74F0B81-6ACB-8D46-A053-26161FF55584}" id="{9EEC97AD-6F7D-4EDB-9854-53F2A67C8705}">
    <text>F, S2 von uns hinzugefügt, um G noch unbeliebter zu machen?</text>
  </threadedComment>
  <threadedComment ref="J8" dT="2023-01-24T09:49:07.96" personId="{A74F0B81-6ACB-8D46-A053-26161FF55584}" id="{052B9747-5F06-4377-BDAF-5E8063E73E71}">
    <text>war leer</text>
  </threadedComment>
  <threadedComment ref="K8" dT="2022-11-22T15:51:13.71" personId="{0CF57073-34A5-414D-98BB-AAC443D07575}" id="{116B9C13-B2A0-4B74-B79F-22AECE7F7FDC}">
    <text>24-72</text>
  </threadedComment>
  <threadedComment ref="L8" dT="2023-01-26T18:01:49.01" personId="{A74F0B81-6ACB-8D46-A053-26161FF55584}" id="{C0395729-4E0F-46EA-9F10-8B05280D50B9}">
    <text>war G : 3 - 2</text>
  </threadedComment>
  <threadedComment ref="T8" dT="2023-02-23T16:02:43.68" personId="{A74F0B81-6ACB-8D46-A053-26161FF55584}" id="{69BAFC6F-C485-4D6F-87F2-C9C4B61D505D}">
    <text>Wenn neutral = 3 - 2, dann wichtig = 2 - 1
unwichtig = wird nicht auf WE geachtet.
Leer = neutral</text>
  </threadedComment>
  <threadedComment ref="B9" dT="2023-01-26T08:14:58.95" personId="{A74F0B81-6ACB-8D46-A053-26161FF55584}" id="{D6FBA118-E0AF-4B2F-8E16-8BAE89DF2049}">
    <text>30</text>
  </threadedComment>
  <threadedComment ref="C9" dT="2022-11-23T17:11:41.16" personId="{A74F0B81-6ACB-8D46-A053-26161FF55584}" id="{A09066C5-BB1C-45A0-A8B8-2E05AC716717}">
    <text>war nur "Di"</text>
  </threadedComment>
  <threadedComment ref="C9" dT="2023-02-13T15:22:59.86" personId="{0CF57073-34A5-414D-98BB-AAC443D07575}" id="{BB07723C-52E6-455A-A3CD-EECA407CAA12}" parentId="{A09066C5-BB1C-45A0-A8B8-2E05AC716717}">
    <text>Melanie Elkuch hatte bis jetzt die Präferenz nur am Donnerstag zu arbeiten. Ab sofort kann sie jeden Tag ausser Montag arbeiten (halt im Rahmen ihres Beschäftigungsgrades)</text>
  </threadedComment>
  <threadedComment ref="C9" dT="2023-02-21T14:00:16.94" personId="{A74F0B81-6ACB-8D46-A053-26161FF55584}" id="{C9987296-9F34-4A0F-9313-B3219D34514D}" parentId="{A09066C5-BB1C-45A0-A8B8-2E05AC716717}">
    <text>hier muss Mo stehen, nur wegen Ostermontag rausgenommen!!!</text>
  </threadedComment>
  <threadedComment ref="H9" dT="2022-10-28T11:05:25.85" personId="{A74F0B81-6ACB-8D46-A053-26161FF55584}" id="{51842F7D-2203-4932-BFEE-38C6BAB478E1}">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A74F0B81-6ACB-8D46-A053-26161FF55584}" id="{EFB13705-3927-4055-93A5-3640ECD16EF9}" parentId="{51842F7D-2203-4932-BFEE-38C6BAB478E1}">
    <text>aktuell verbieten wir diese Wochentage -&gt; falls später wieder nötig: PFvor16 - Mo Di Mi Fr</text>
  </threadedComment>
  <threadedComment ref="J9" dT="2023-02-22T19:19:44.05" personId="{A74F0B81-6ACB-8D46-A053-26161FF55584}" id="{92A500B3-739D-4B3D-8BB7-1D460388C100}">
    <text>4 - 4 - 1</text>
  </threadedComment>
  <threadedComment ref="K9" dT="2023-01-24T08:55:23.42" personId="{A74F0B81-6ACB-8D46-A053-26161FF55584}" id="{881FDCEE-692F-4F7B-B30E-38C3AF77903E}">
    <text>war leer</text>
  </threadedComment>
  <threadedComment ref="T9" dT="2023-02-23T16:02:43.68" personId="{A74F0B81-6ACB-8D46-A053-26161FF55584}" id="{83C1A89E-797B-4CB1-92BF-2A5647279598}">
    <text>Wenn neutral = 3 - 2, dann wichtig = 2 - 1
unwichtig = wird nicht auf WE geachtet.
Leer = neutral</text>
  </threadedComment>
  <threadedComment ref="B10" dT="2023-01-26T08:15:05.14" personId="{A74F0B81-6ACB-8D46-A053-26161FF55584}" id="{923BF334-89DC-444A-950F-15C182BDD004}">
    <text>70</text>
  </threadedComment>
  <threadedComment ref="C10" dT="2022-11-15T15:11:56.23" personId="{0CF57073-34A5-414D-98BB-AAC443D07575}" id="{9E050493-9DAF-402E-B66C-60BD7F19A0DA}">
    <text>Mo, Di -16:00 - 24:00, Do - 13:00 - 24:00</text>
  </threadedComment>
  <threadedComment ref="J10" dT="2022-11-23T17:16:28.04" personId="{A74F0B81-6ACB-8D46-A053-26161FF55584}" id="{4409BBC2-D332-4820-8268-BEB217CC77BF}">
    <text>6 - 4 - 1</text>
  </threadedComment>
  <threadedComment ref="K10" dT="2023-01-24T08:54:45.46" personId="{A74F0B81-6ACB-8D46-A053-26161FF55584}" id="{75ECE491-8D22-43C9-AFE5-22771BDC1F96}">
    <text>war leer</text>
  </threadedComment>
  <threadedComment ref="T10" dT="2023-02-23T16:02:43.68" personId="{A74F0B81-6ACB-8D46-A053-26161FF55584}" id="{BDEF9115-2AC7-42EE-A000-52D0E5577D7B}">
    <text>Wenn neutral = 3 - 2, dann wichtig = 2 - 1
unwichtig = wird nicht auf WE geachtet.
Leer = neutral</text>
  </threadedComment>
  <threadedComment ref="B11" dT="2023-01-26T08:15:15.83" personId="{A74F0B81-6ACB-8D46-A053-26161FF55584}" id="{51A436E9-C312-4653-A234-B316DB8B1602}">
    <text>80</text>
  </threadedComment>
  <threadedComment ref="K11" dT="2022-11-22T15:51:13.71" personId="{0CF57073-34A5-414D-98BB-AAC443D07575}" id="{FA99DE55-B716-4523-9120-69DF1B91A569}">
    <text>24-72</text>
  </threadedComment>
  <threadedComment ref="L11" dT="2022-12-02T22:30:51.20" personId="{A74F0B81-6ACB-8D46-A053-26161FF55584}" id="{2AECD62A-02FD-4238-AA5F-6F3E9C53770A}">
    <text>war S : 5 - 1</text>
  </threadedComment>
  <threadedComment ref="T11" dT="2023-02-23T16:02:43.68" personId="{A74F0B81-6ACB-8D46-A053-26161FF55584}" id="{67E1F65B-D146-4718-AD92-61A69FB53959}">
    <text>Wenn neutral = 3 - 2, dann wichtig = 2 - 1
unwichtig = wird nicht auf WE geachtet.
Leer = neutral</text>
  </threadedComment>
  <threadedComment ref="B12" dT="2023-01-26T08:15:21.42" personId="{A74F0B81-6ACB-8D46-A053-26161FF55584}" id="{2B638F03-3FE2-4164-A509-E99D5CB5E8B5}">
    <text>50</text>
  </threadedComment>
  <threadedComment ref="T12" dT="2023-02-23T16:02:43.68" personId="{A74F0B81-6ACB-8D46-A053-26161FF55584}" id="{ED4B7498-9B53-42E7-B157-F76FB8DE69D8}">
    <text>Wenn neutral = 3 - 2, dann wichtig = 2 - 1
unwichtig = wird nicht auf WE geachtet.
Leer = neutral</text>
  </threadedComment>
  <threadedComment ref="B13" dT="2023-01-26T08:16:06.33" personId="{A74F0B81-6ACB-8D46-A053-26161FF55584}" id="{CBED3272-381B-4339-9A04-54EB7DA84DDE}">
    <text>Ab 1.2. 30 % 
Arbeitet nur Dienstag und Wochenende</text>
  </threadedComment>
  <threadedComment ref="J13" dT="2023-02-22T19:19:58.56" personId="{A74F0B81-6ACB-8D46-A053-26161FF55584}" id="{B56E303B-A0FA-430A-9EF1-6148B685604B}">
    <text>5 - 4 - 1</text>
  </threadedComment>
  <threadedComment ref="K13" dT="2023-01-24T08:54:55.39" personId="{A74F0B81-6ACB-8D46-A053-26161FF55584}" id="{E8B985B5-63FC-459B-BD54-758866BAAA98}">
    <text>war leer</text>
  </threadedComment>
  <threadedComment ref="T13" dT="2022-10-03T17:49:52.55" personId="{A74F0B81-6ACB-8D46-A053-26161FF55584}" id="{E0EF3543-8F51-42A5-BD0D-C1D47DC1B5CC}">
    <text>Abgemacht, max. 1 WE zu arbeiten
Kontrollieren, ob das mit "wichtig" klappt!</text>
  </threadedComment>
  <threadedComment ref="B14" dT="2023-01-26T08:16:35.90" personId="{A74F0B81-6ACB-8D46-A053-26161FF55584}" id="{6FFD9BDB-BBBF-4CB8-ACF2-1C5CD97E063D}">
    <text>0% seit Februar (Mutterschaft)</text>
  </threadedComment>
  <threadedComment ref="C14" dT="2022-12-01T09:08:58.76" personId="{A74F0B81-6ACB-8D46-A053-26161FF55584}" id="{D23BCD2E-5139-4702-9773-38BF83D9CB91}">
    <text>Mo, Di, Mi, Do - 13:00 - 24:00, Fr - 13:00 - 24:00, Sa - 13:00 - 24:00, So - 13:00 - 24:00</text>
  </threadedComment>
  <threadedComment ref="J14" dT="2023-02-22T19:20:04.05" personId="{A74F0B81-6ACB-8D46-A053-26161FF55584}" id="{C7087E31-EEC4-41E5-B43B-AB6C44BEAB41}">
    <text>5 - 4 - 1</text>
  </threadedComment>
  <threadedComment ref="T14" dT="2023-02-23T16:02:43.68" personId="{A74F0B81-6ACB-8D46-A053-26161FF55584}" id="{14F29479-6A95-4E4C-9D85-9CBAAA5F79EA}">
    <text>Wenn neutral = 3 - 2, dann wichtig = 2 - 1
unwichtig = wird nicht auf WE geachtet.
Leer = neutral</text>
  </threadedComment>
  <threadedComment ref="B15" dT="2023-01-26T08:17:04.97" personId="{A74F0B81-6ACB-8D46-A053-26161FF55584}" id="{37CBDC00-6D13-4D83-869A-D2CCE27F5206}">
    <text>90
Darf aber aktuell 100 eingeplant werden, auch 6er Schichten wenn nötig</text>
  </threadedComment>
  <threadedComment ref="K15" dT="2023-01-24T13:15:56.40" personId="{A74F0B81-6ACB-8D46-A053-26161FF55584}" id="{CFE58327-3966-45A2-9D85-6D03F2AEB0BA}">
    <text>1 Tag frei zwischen 2 Blöcken möglich!</text>
  </threadedComment>
  <threadedComment ref="T15" dT="2023-02-23T16:02:43.68" personId="{A74F0B81-6ACB-8D46-A053-26161FF55584}" id="{0AADF93A-E4C0-4705-84F6-81EEEA0CB3D6}">
    <text>Wenn neutral = 3 - 2, dann wichtig = 2 - 1
unwichtig = wird nicht auf WE geachtet.
Leer = neutral</text>
  </threadedComment>
  <threadedComment ref="B16" dT="2023-01-26T08:17:15.98" personId="{A74F0B81-6ACB-8D46-A053-26161FF55584}" id="{AF12AA66-7816-4479-8B5B-81724AB998C2}">
    <text>90</text>
  </threadedComment>
  <threadedComment ref="T16" dT="2023-02-23T16:02:43.68" personId="{A74F0B81-6ACB-8D46-A053-26161FF55584}" id="{EDFE8AB6-F831-44B4-9C3A-39FA82AC8028}">
    <text>Wenn neutral = 3 - 2, dann wichtig = 2 - 1
unwichtig = wird nicht auf WE geachtet.
Leer = neutral</text>
  </threadedComment>
  <threadedComment ref="B17" dT="2023-01-26T08:17:20.73" personId="{A74F0B81-6ACB-8D46-A053-26161FF55584}" id="{9758509A-EB58-4FF5-832B-B8E3535B6D8E}">
    <text>50</text>
  </threadedComment>
  <threadedComment ref="I17" dT="2023-01-25T09:54:53.40" personId="{A74F0B81-6ACB-8D46-A053-26161FF55584}" id="{D2976F3B-B737-4AA4-9924-639392D186B2}">
    <text>war A5 : 2
wurde geändert wegen Bedarfsregeln für Almas (jeder 3x A3+A6)</text>
  </threadedComment>
  <threadedComment ref="K17" dT="2022-11-22T15:51:17.02" personId="{0CF57073-34A5-414D-98BB-AAC443D07575}" id="{EEC5766D-213F-4F53-97B8-C1E14803CB58}">
    <text>24-72</text>
  </threadedComment>
  <threadedComment ref="L17" dT="2023-01-26T18:00:33.05" personId="{A74F0B81-6ACB-8D46-A053-26161FF55584}" id="{75FEE6D1-972E-463D-9E96-645A6D81EE77}">
    <text>war A5 : 5 - 2</text>
  </threadedComment>
  <threadedComment ref="T17" dT="2022-09-21T08:21:31.63" personId="{A74F0B81-6ACB-8D46-A053-26161FF55584}" id="{ADE13867-68B2-4223-9E2F-A7325EAB7A8F}">
    <text>Gem. MA-Profil: Bereit, 2 WE zu arbeiten
Nach Rücksprache: kein WE einplanen. Sie plant sich dann selbst ein, wo es sie braucht oder wenn jemand krank wird, springt sie ein.</text>
  </threadedComment>
  <threadedComment ref="B18" dT="2023-01-26T08:17:24.80" personId="{A74F0B81-6ACB-8D46-A053-26161FF55584}" id="{652C0B13-36B6-407F-BE03-E74138F7B6AB}">
    <text>60</text>
  </threadedComment>
  <threadedComment ref="G18" dT="2023-01-27T00:02:08.03" personId="{A74F0B81-6ACB-8D46-A053-26161FF55584}" id="{B12594FB-F092-4FBA-A299-DC9246D2665D}">
    <text>war A1 - Fr Sa So Mo</text>
  </threadedComment>
  <threadedComment ref="I18" dT="2023-01-25T09:56:15.83" personId="{A74F0B81-6ACB-8D46-A053-26161FF55584}" id="{E788BA75-9918-4069-9E09-FA3C975F97BD}">
    <text>war A6 : 2
wurde geändert wegen Bedarfsregeln für Almas (jeder 3x A3)</text>
  </threadedComment>
  <threadedComment ref="T18" dT="2022-10-03T17:39:41.00" personId="{A74F0B81-6ACB-8D46-A053-26161FF55584}" id="{AA676958-90DB-4558-B0B7-37CF51E6DE92}">
    <text>Gem. MA-Profil: Bereit, 2 WE zu arbeiten
Gem. Monika: arbeitet Roswitha gerne an WE, deshalb Roswitha mehr WE einplanen, Heidi weniger.</text>
  </threadedComment>
  <threadedComment ref="B19" dT="2023-01-26T08:17:31.46" personId="{A74F0B81-6ACB-8D46-A053-26161FF55584}" id="{7A7E9D34-61CB-4676-B649-C3093F4EC204}">
    <text>100</text>
  </threadedComment>
  <threadedComment ref="T19" dT="2022-09-21T08:21:31.63" personId="{A74F0B81-6ACB-8D46-A053-26161FF55584}" id="{9A726169-A2BD-441C-A783-EFA503BBFE3A}">
    <text>Gem. MA-Profil: Bereit, 2 WE zu arbeiten
Nach Rücksprache: kein WE einplanen. Sie plant sich dann selbst ein, wo es sie braucht oder wenn jemand krank wird, springt sie ein.</text>
  </threadedComment>
  <threadedComment ref="B20" dT="2023-01-26T08:17:36.85" personId="{A74F0B81-6ACB-8D46-A053-26161FF55584}" id="{D3BC07B6-EDBA-4969-99D8-7810287A94DD}">
    <text>100</text>
  </threadedComment>
  <threadedComment ref="T20" dT="2022-09-21T08:21:31.63" personId="{A74F0B81-6ACB-8D46-A053-26161FF55584}" id="{DC804E60-6032-4B7C-BE18-F92F6B77388B}">
    <text>Gem. MA-Profil: Bereit, 2 WE zu arbeiten
Nach Rücksprache: kein WE einplanen. Sie plant sich dann selbst ein, wo es sie braucht oder wenn jemand krank wird, springt sie ein.</text>
  </threadedComment>
  <threadedComment ref="B21" dT="2023-01-26T08:17:43.02" personId="{A74F0B81-6ACB-8D46-A053-26161FF55584}" id="{92AADF35-41CA-4245-AC89-CB88532FCEF4}">
    <text>100</text>
  </threadedComment>
  <threadedComment ref="T21" dT="2022-09-21T08:21:31.63" personId="{A74F0B81-6ACB-8D46-A053-26161FF55584}" id="{1A26D2BA-74C6-4681-B9D4-2EF15CEB49CE}">
    <text>Gem. MA-Profil: Bereit, 2 WE zu arbeiten
Nach Rücksprache: kein WE einplanen. Sie plant sich dann selbst ein, wo es sie braucht oder wenn jemand krank wird, springt sie ein.</text>
  </threadedComment>
</ThreadedComments>
</file>

<file path=xl/threadedComments/threadedComment6.xml><?xml version="1.0" encoding="utf-8"?>
<ThreadedComments xmlns="http://schemas.microsoft.com/office/spreadsheetml/2018/threadedcomments" xmlns:x="http://schemas.openxmlformats.org/spreadsheetml/2006/main">
  <threadedComment ref="T9" dT="2023-02-21T13:56:51.22" personId="{A74F0B81-6ACB-8D46-A053-26161FF55584}" id="{CDFFDD83-A48C-402F-85C7-613128697FC9}">
    <text>Montag arbeitet sie eigentlich nicht, aber gem. Regula wird sie wahrscheinlich über Ostern arbeiten, da Pfingsten frei hat.</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2-09-13T15:34:47.46" personId="{A74F0B81-6ACB-8D46-A053-26161FF55584}" id="{CB1BE913-4951-42C1-A645-0B320D57D684}">
    <text>Alltagsmanagement (nur spezifische MA)</text>
  </threadedComment>
  <threadedComment ref="C11" dT="2023-01-25T11:06:48.48" personId="{A74F0B81-6ACB-8D46-A053-26161FF55584}" id="{13039ACE-9722-4BE4-A31D-CD115E691D06}">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8.xml><?xml version="1.0" encoding="utf-8"?>
<ThreadedComments xmlns="http://schemas.microsoft.com/office/spreadsheetml/2018/threadedcomments" xmlns:x="http://schemas.openxmlformats.org/spreadsheetml/2006/main">
  <threadedComment ref="A10" dT="2023-01-25T10:59:53.35" personId="{A74F0B81-6ACB-8D46-A053-26161FF55584}" id="{47893A64-01D2-4E91-87AB-CB3EF7739E7B}">
    <text>Bedarf eigentlich definiert über: A2 und A6, darf aber teilweise unter- oder überdeckt werden.
Erlaubte Kombis:
A3+A5 (optimal)
A2+A6 (Überlappung tlw. nötig)
A2+A4 (Überlappung tlw. nötig)
A3+A6 (jeder MA 2-3x im Mt.; Ämtli)
A1 (Bedarf WE)</text>
  </threadedComment>
  <threadedComment ref="A32" dT="2023-01-25T10:59:53.35" personId="{A74F0B81-6ACB-8D46-A053-26161FF55584}" id="{EC7992D8-8A60-4C63-B729-1B22A0758277}">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9.xml><?xml version="1.0" encoding="utf-8"?>
<ThreadedComments xmlns="http://schemas.microsoft.com/office/spreadsheetml/2018/threadedcomments" xmlns:x="http://schemas.openxmlformats.org/spreadsheetml/2006/main">
  <threadedComment ref="J2" dT="2022-09-21T12:17:08.10" personId="{A74F0B81-6ACB-8D46-A053-26161FF55584}" id="{2E6604F4-B906-4428-B1B0-69E2CECF9BBA}">
    <text>Nur zur Kontrolle:
Überall Ruhezeit so einstellen, dass früheste Schicht möglich ist = 07:00 (F1, K2)</text>
  </threadedComment>
  <threadedComment ref="A3" dT="2022-09-21T12:14:25.01" personId="{A74F0B81-6ACB-8D46-A053-26161FF55584}" id="{E268E56C-4528-47FB-9F5C-792A056B65C6}">
    <text>B2: 08:00 - 12:00, 13:00 - 16:00
Doku: ?</text>
  </threadedComment>
  <threadedComment ref="A3" dT="2022-10-28T08:42:28.82" personId="{A74F0B81-6ACB-8D46-A053-26161FF55584}" id="{EC11FAAD-CF36-4704-A6EB-274A39624ECD}" parentId="{E268E56C-4528-47FB-9F5C-792A056B65C6}">
    <text>Doku wird immer nachträglich eingeplant, nicht relevant für uns</text>
  </threadedComment>
  <threadedComment ref="A4" dT="2022-09-21T12:14:47.13" personId="{A74F0B81-6ACB-8D46-A053-26161FF55584}" id="{98D58D65-2C7A-43C6-B6A1-7489395E2744}">
    <text>K2: 07:00 - 13:00
-&gt;: ?</text>
  </threadedComment>
  <threadedComment ref="A4" dT="2022-10-28T08:42:00.54" personId="{A74F0B81-6ACB-8D46-A053-26161FF55584}" id="{87B3331B-C6CA-43EC-ACAB-4D878744A8FA}" parentId="{98D58D65-2C7A-43C6-B6A1-7489395E2744}">
    <text>-&gt; meistens so dass insgesamt 8:24 ergibt
Bedarf nur K2</text>
  </threadedComment>
  <threadedComment ref="A5" dT="2022-09-21T12:13:40.11" personId="{A74F0B81-6ACB-8D46-A053-26161FF55584}" id="{693264EF-BCD8-4B6A-90B6-5E48A9C9D62E}">
    <text>K2: 07:00 - 13:00
Doku: ?</text>
  </threadedComment>
  <threadedComment ref="A6" dT="2022-09-21T12:13:17.23" personId="{A74F0B81-6ACB-8D46-A053-26161FF55584}" id="{CA92F11B-42B2-41D4-B10E-EE60A6DB8629}">
    <text>A2: 07:30 - 13:15
Doku: ?</text>
  </threadedComment>
  <threadedComment ref="A7" dT="2022-09-21T12:11:46.70" personId="{A74F0B81-6ACB-8D46-A053-26161FF55584}" id="{2E936B59-93B3-47E9-A989-4E3E5E32972C}">
    <text>Doku: ?
S2: 11:30 - 13:00, 13:45 - 20:30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microsoft.com/office/2017/10/relationships/threadedComment" Target="../threadedComments/threadedComment6.x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 Id="rId4" Type="http://schemas.microsoft.com/office/2017/10/relationships/threadedComment" Target="../threadedComments/threadedComment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7A2C-6D15-6841-ADFC-1B869FCD6D81}">
  <sheetPr codeName="Tabelle3"/>
  <dimension ref="A1:C14"/>
  <sheetViews>
    <sheetView zoomScaleNormal="100" workbookViewId="0">
      <selection activeCell="D11" sqref="D11"/>
    </sheetView>
  </sheetViews>
  <sheetFormatPr baseColWidth="10" defaultColWidth="11.453125" defaultRowHeight="12.5"/>
  <cols>
    <col min="2" max="2" width="32" customWidth="1"/>
  </cols>
  <sheetData>
    <row r="1" spans="1:3" ht="13">
      <c r="A1" s="67" t="s">
        <v>213</v>
      </c>
      <c r="B1" s="68"/>
    </row>
    <row r="2" spans="1:3" ht="13">
      <c r="A2" s="138" t="s">
        <v>0</v>
      </c>
      <c r="B2" s="138" t="s">
        <v>1</v>
      </c>
      <c r="C2" s="67" t="s">
        <v>172</v>
      </c>
    </row>
    <row r="3" spans="1:3">
      <c r="A3" s="139" t="s">
        <v>200</v>
      </c>
      <c r="B3" s="140" t="s">
        <v>214</v>
      </c>
      <c r="C3" t="s">
        <v>201</v>
      </c>
    </row>
    <row r="4" spans="1:3">
      <c r="A4" s="46" t="s">
        <v>203</v>
      </c>
      <c r="B4" s="1" t="s">
        <v>215</v>
      </c>
      <c r="C4" t="s">
        <v>201</v>
      </c>
    </row>
    <row r="5" spans="1:3">
      <c r="A5" s="46" t="s">
        <v>208</v>
      </c>
      <c r="B5" s="1" t="s">
        <v>216</v>
      </c>
      <c r="C5" t="s">
        <v>202</v>
      </c>
    </row>
    <row r="6" spans="1:3">
      <c r="A6" s="46" t="s">
        <v>217</v>
      </c>
      <c r="B6" s="1" t="s">
        <v>218</v>
      </c>
      <c r="C6" t="s">
        <v>173</v>
      </c>
    </row>
    <row r="7" spans="1:3">
      <c r="A7" s="46" t="s">
        <v>219</v>
      </c>
      <c r="B7" s="1" t="s">
        <v>220</v>
      </c>
      <c r="C7" t="s">
        <v>204</v>
      </c>
    </row>
    <row r="9" spans="1:3" ht="13">
      <c r="B9" s="80" t="s">
        <v>2</v>
      </c>
    </row>
    <row r="10" spans="1:3">
      <c r="B10" s="55"/>
    </row>
    <row r="11" spans="1:3" ht="13">
      <c r="B11" s="80"/>
      <c r="C11" s="12"/>
    </row>
    <row r="12" spans="1:3">
      <c r="C12" s="12"/>
    </row>
    <row r="13" spans="1:3">
      <c r="C13" s="12"/>
    </row>
    <row r="14" spans="1:3">
      <c r="C14" s="12"/>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2"/>
  <dimension ref="A1:M37"/>
  <sheetViews>
    <sheetView zoomScaleNormal="100" workbookViewId="0">
      <selection activeCell="G23" sqref="G23"/>
    </sheetView>
  </sheetViews>
  <sheetFormatPr baseColWidth="10" defaultColWidth="11.453125" defaultRowHeight="12.5"/>
  <cols>
    <col min="1" max="1" width="11.08984375" bestFit="1" customWidth="1"/>
    <col min="2" max="2" width="35.453125" bestFit="1" customWidth="1"/>
    <col min="3" max="3" width="18.6328125" customWidth="1"/>
    <col min="4" max="5" width="14.453125" customWidth="1"/>
    <col min="6" max="6" width="17.36328125" customWidth="1"/>
    <col min="7" max="7" width="28.90625" bestFit="1" customWidth="1"/>
    <col min="8" max="8" width="14.7265625" bestFit="1" customWidth="1"/>
  </cols>
  <sheetData>
    <row r="1" spans="1:13" ht="13">
      <c r="A1" s="13" t="s">
        <v>29</v>
      </c>
      <c r="B1" s="37"/>
      <c r="C1" s="37"/>
      <c r="D1" s="37"/>
      <c r="E1" s="37"/>
      <c r="F1" s="38"/>
      <c r="G1" s="17" t="s">
        <v>221</v>
      </c>
      <c r="M1" s="35"/>
    </row>
    <row r="2" spans="1:13" ht="13">
      <c r="A2" s="13" t="s">
        <v>0</v>
      </c>
      <c r="B2" s="37" t="s">
        <v>1</v>
      </c>
      <c r="C2" s="37" t="s">
        <v>30</v>
      </c>
      <c r="D2" s="37" t="s">
        <v>31</v>
      </c>
      <c r="E2" s="37" t="s">
        <v>32</v>
      </c>
      <c r="F2" s="38" t="s">
        <v>33</v>
      </c>
      <c r="G2" s="17" t="s">
        <v>222</v>
      </c>
      <c r="H2" s="141" t="s">
        <v>69</v>
      </c>
      <c r="M2" s="35"/>
    </row>
    <row r="3" spans="1:13" ht="13">
      <c r="A3" s="142" t="s">
        <v>223</v>
      </c>
      <c r="B3" s="143" t="s">
        <v>224</v>
      </c>
      <c r="C3" s="144">
        <v>0.33333333333333331</v>
      </c>
      <c r="D3" s="144">
        <v>0.33333333333333331</v>
      </c>
      <c r="E3" s="144">
        <v>0.29166666666666669</v>
      </c>
      <c r="F3" s="144">
        <v>0.29166666666666669</v>
      </c>
      <c r="G3" s="143"/>
      <c r="H3" s="438"/>
      <c r="M3" s="35"/>
    </row>
    <row r="4" spans="1:13" ht="13">
      <c r="A4" s="147" t="s">
        <v>476</v>
      </c>
      <c r="B4" s="432" t="s">
        <v>478</v>
      </c>
      <c r="C4" s="435">
        <v>0.33333333333333331</v>
      </c>
      <c r="D4" s="435">
        <v>0.16666666666666666</v>
      </c>
      <c r="E4" s="435">
        <v>0.16666666666666666</v>
      </c>
      <c r="F4" s="435">
        <v>0.29166666666666669</v>
      </c>
      <c r="G4" s="432"/>
      <c r="H4" s="250" t="s">
        <v>225</v>
      </c>
      <c r="M4" s="35"/>
    </row>
    <row r="5" spans="1:13">
      <c r="A5" s="149" t="s">
        <v>480</v>
      </c>
      <c r="B5" s="150" t="s">
        <v>479</v>
      </c>
      <c r="C5" s="151">
        <v>0.54166666666666663</v>
      </c>
      <c r="D5" s="152">
        <v>0.125</v>
      </c>
      <c r="E5" s="152">
        <v>0.125</v>
      </c>
      <c r="F5" s="152">
        <v>0.29166666666666669</v>
      </c>
      <c r="G5" s="150"/>
      <c r="H5" s="254"/>
    </row>
    <row r="6" spans="1:13">
      <c r="A6" s="153" t="s">
        <v>205</v>
      </c>
      <c r="B6" s="408" t="s">
        <v>226</v>
      </c>
      <c r="C6" s="411">
        <v>0.29166666666666669</v>
      </c>
      <c r="D6" s="411">
        <v>0.38125000000000003</v>
      </c>
      <c r="E6" s="411">
        <v>0.35000000000000003</v>
      </c>
      <c r="F6" s="411">
        <v>0.29166666666666669</v>
      </c>
      <c r="G6" s="408"/>
      <c r="H6" s="250"/>
    </row>
    <row r="7" spans="1:13" ht="13">
      <c r="A7" s="154" t="s">
        <v>227</v>
      </c>
      <c r="B7" s="410" t="s">
        <v>228</v>
      </c>
      <c r="C7" s="412">
        <v>0.3125</v>
      </c>
      <c r="D7" s="412">
        <v>0.47500000000000003</v>
      </c>
      <c r="E7" s="412">
        <v>0.35000000000000003</v>
      </c>
      <c r="F7" s="411">
        <v>0.29166666666666669</v>
      </c>
      <c r="G7" s="410" t="s">
        <v>229</v>
      </c>
      <c r="H7" s="250"/>
      <c r="M7" s="35"/>
    </row>
    <row r="8" spans="1:13" ht="13">
      <c r="A8" s="147" t="s">
        <v>477</v>
      </c>
      <c r="B8" s="432" t="s">
        <v>230</v>
      </c>
      <c r="C8" s="435">
        <v>0.3125</v>
      </c>
      <c r="D8" s="435">
        <v>0.22916666666666666</v>
      </c>
      <c r="E8" s="435">
        <v>0.22916666666666666</v>
      </c>
      <c r="F8" s="435">
        <v>0.29166666666666669</v>
      </c>
      <c r="G8" s="432"/>
      <c r="H8" s="250" t="s">
        <v>225</v>
      </c>
      <c r="M8" s="35"/>
    </row>
    <row r="9" spans="1:13" ht="13">
      <c r="A9" s="155" t="s">
        <v>486</v>
      </c>
      <c r="B9" s="432" t="s">
        <v>231</v>
      </c>
      <c r="C9" s="435">
        <v>0.66666666666666663</v>
      </c>
      <c r="D9" s="435">
        <v>0.12083333333333333</v>
      </c>
      <c r="E9" s="435">
        <v>0.12083333333333333</v>
      </c>
      <c r="F9" s="435">
        <v>0.29166666666666669</v>
      </c>
      <c r="G9" s="432"/>
      <c r="H9" s="250" t="s">
        <v>225</v>
      </c>
      <c r="M9" s="35"/>
    </row>
    <row r="10" spans="1:13" ht="13">
      <c r="A10" s="154" t="s">
        <v>232</v>
      </c>
      <c r="B10" s="410" t="s">
        <v>233</v>
      </c>
      <c r="C10" s="412">
        <v>0.3125</v>
      </c>
      <c r="D10" s="412">
        <v>0.54166666666666663</v>
      </c>
      <c r="E10" s="412">
        <v>0.34375</v>
      </c>
      <c r="F10" s="412">
        <v>0.29166666666666669</v>
      </c>
      <c r="G10" s="410" t="s">
        <v>234</v>
      </c>
      <c r="H10" s="250"/>
      <c r="M10" s="35"/>
    </row>
    <row r="11" spans="1:13">
      <c r="A11" s="155" t="s">
        <v>490</v>
      </c>
      <c r="B11" s="432" t="s">
        <v>235</v>
      </c>
      <c r="C11" s="435">
        <v>0.3125</v>
      </c>
      <c r="D11" s="435">
        <v>0.15625</v>
      </c>
      <c r="E11" s="435">
        <v>0.15625</v>
      </c>
      <c r="F11" s="435">
        <v>0.29166666666666669</v>
      </c>
      <c r="G11" s="432"/>
      <c r="H11" s="250" t="s">
        <v>225</v>
      </c>
    </row>
    <row r="12" spans="1:13" ht="13">
      <c r="A12" s="155" t="s">
        <v>491</v>
      </c>
      <c r="B12" s="432" t="s">
        <v>236</v>
      </c>
      <c r="C12" s="435">
        <v>0.66666666666666663</v>
      </c>
      <c r="D12" s="435">
        <v>0.1875</v>
      </c>
      <c r="E12" s="435">
        <v>0.1875</v>
      </c>
      <c r="F12" s="435">
        <v>0.29166666666666669</v>
      </c>
      <c r="G12" s="432"/>
      <c r="H12" s="250" t="s">
        <v>225</v>
      </c>
      <c r="M12" s="35"/>
    </row>
    <row r="13" spans="1:13" ht="13">
      <c r="A13" s="154" t="s">
        <v>237</v>
      </c>
      <c r="B13" s="410" t="s">
        <v>238</v>
      </c>
      <c r="C13" s="412">
        <v>0.29166666666666669</v>
      </c>
      <c r="D13" s="412">
        <v>0.25</v>
      </c>
      <c r="E13" s="412">
        <v>0.25</v>
      </c>
      <c r="F13" s="412">
        <v>0.29166666666666669</v>
      </c>
      <c r="G13" s="410"/>
      <c r="H13" s="250"/>
      <c r="M13" s="35"/>
    </row>
    <row r="14" spans="1:13" ht="13">
      <c r="A14" s="439" t="s">
        <v>239</v>
      </c>
      <c r="B14" s="440" t="s">
        <v>240</v>
      </c>
      <c r="C14" s="152">
        <v>0.47916666666666669</v>
      </c>
      <c r="D14" s="152">
        <v>0.375</v>
      </c>
      <c r="E14" s="152">
        <v>0.34375</v>
      </c>
      <c r="F14" s="152">
        <v>0.29166666666666669</v>
      </c>
      <c r="G14" s="440"/>
      <c r="H14" s="254"/>
      <c r="M14" s="35"/>
    </row>
    <row r="15" spans="1:13">
      <c r="A15" s="154" t="s">
        <v>241</v>
      </c>
      <c r="B15" s="410" t="s">
        <v>242</v>
      </c>
      <c r="C15" s="412">
        <v>0.3125</v>
      </c>
      <c r="D15" s="412">
        <v>0.46875</v>
      </c>
      <c r="E15" s="412">
        <v>0.34375</v>
      </c>
      <c r="F15" s="411">
        <v>0.29166666666666669</v>
      </c>
      <c r="G15" s="410" t="s">
        <v>243</v>
      </c>
      <c r="H15" s="250"/>
    </row>
    <row r="16" spans="1:13" ht="13">
      <c r="A16" s="154" t="s">
        <v>244</v>
      </c>
      <c r="B16" s="410" t="s">
        <v>245</v>
      </c>
      <c r="C16" s="412">
        <v>0.3125</v>
      </c>
      <c r="D16" s="435">
        <v>0.29166666666666669</v>
      </c>
      <c r="E16" s="412">
        <v>0.23958333333333334</v>
      </c>
      <c r="F16" s="412">
        <v>0.29166666666666669</v>
      </c>
      <c r="G16" s="410"/>
      <c r="H16" s="250"/>
      <c r="M16" s="35"/>
    </row>
    <row r="17" spans="1:13" ht="13">
      <c r="A17" s="154" t="s">
        <v>246</v>
      </c>
      <c r="B17" s="408" t="s">
        <v>247</v>
      </c>
      <c r="C17" s="411">
        <v>0.3125</v>
      </c>
      <c r="D17" s="411">
        <v>0.35416666666666669</v>
      </c>
      <c r="E17" s="411">
        <v>0.32291666666666669</v>
      </c>
      <c r="F17" s="411">
        <v>0.29166666666666669</v>
      </c>
      <c r="G17" s="408"/>
      <c r="H17" s="250"/>
      <c r="M17" s="35"/>
    </row>
    <row r="18" spans="1:13" ht="13">
      <c r="A18" s="153" t="s">
        <v>248</v>
      </c>
      <c r="B18" s="408" t="s">
        <v>249</v>
      </c>
      <c r="C18" s="411">
        <v>0.42708333333333331</v>
      </c>
      <c r="D18" s="411">
        <v>0.35416666666666669</v>
      </c>
      <c r="E18" s="411">
        <v>0.33333333333333331</v>
      </c>
      <c r="F18" s="411">
        <v>0.29166666666666669</v>
      </c>
      <c r="G18" s="408"/>
      <c r="H18" s="250"/>
      <c r="M18" s="35"/>
    </row>
    <row r="19" spans="1:13" ht="13">
      <c r="A19" s="153" t="s">
        <v>250</v>
      </c>
      <c r="B19" s="408" t="s">
        <v>251</v>
      </c>
      <c r="C19" s="435">
        <v>0.67708333333333337</v>
      </c>
      <c r="D19" s="435">
        <v>0.29166666666666669</v>
      </c>
      <c r="E19" s="411">
        <v>0.10416666666666667</v>
      </c>
      <c r="F19" s="411">
        <v>0.29166666666666669</v>
      </c>
      <c r="G19" s="408"/>
      <c r="H19" s="250"/>
      <c r="M19" s="35"/>
    </row>
    <row r="20" spans="1:13" ht="13">
      <c r="A20" s="153" t="s">
        <v>252</v>
      </c>
      <c r="B20" s="408" t="s">
        <v>253</v>
      </c>
      <c r="C20" s="411">
        <v>0.48958333333333331</v>
      </c>
      <c r="D20" s="411">
        <v>0.29166666666666669</v>
      </c>
      <c r="E20" s="411">
        <v>0.26041666666666669</v>
      </c>
      <c r="F20" s="411">
        <v>0.29166666666666669</v>
      </c>
      <c r="G20" s="408"/>
      <c r="H20" s="250"/>
      <c r="M20" s="35"/>
    </row>
    <row r="21" spans="1:13" ht="13">
      <c r="A21" s="436" t="s">
        <v>460</v>
      </c>
      <c r="B21" s="156" t="s">
        <v>484</v>
      </c>
      <c r="C21" s="157">
        <v>0.29166666666666669</v>
      </c>
      <c r="D21" s="157">
        <v>0.38125000000000003</v>
      </c>
      <c r="E21" s="157">
        <v>0.35000000000000003</v>
      </c>
      <c r="F21" s="144">
        <v>0.29166666666666669</v>
      </c>
      <c r="G21" s="156"/>
      <c r="H21" s="437" t="s">
        <v>254</v>
      </c>
      <c r="M21" s="35"/>
    </row>
    <row r="22" spans="1:13" ht="13">
      <c r="A22" s="154" t="s">
        <v>468</v>
      </c>
      <c r="B22" s="410" t="s">
        <v>469</v>
      </c>
      <c r="C22" s="412">
        <v>0.29166666666666669</v>
      </c>
      <c r="D22" s="412">
        <v>0.38125000000000003</v>
      </c>
      <c r="E22" s="412">
        <v>0.35000000000000003</v>
      </c>
      <c r="F22" s="411">
        <v>0.29166666666666669</v>
      </c>
      <c r="G22" s="410"/>
      <c r="H22" s="430" t="s">
        <v>254</v>
      </c>
      <c r="M22" s="35"/>
    </row>
    <row r="23" spans="1:13" ht="13">
      <c r="A23" s="154" t="s">
        <v>470</v>
      </c>
      <c r="B23" s="410" t="s">
        <v>471</v>
      </c>
      <c r="C23" s="412">
        <v>0.29166666666666669</v>
      </c>
      <c r="D23" s="412">
        <v>0.38125000000000003</v>
      </c>
      <c r="E23" s="412">
        <v>0.35000000000000003</v>
      </c>
      <c r="F23" s="411">
        <v>0.29166666666666669</v>
      </c>
      <c r="G23" s="410"/>
      <c r="H23" s="430" t="s">
        <v>254</v>
      </c>
      <c r="M23" s="35"/>
    </row>
    <row r="24" spans="1:13">
      <c r="A24" s="153" t="s">
        <v>475</v>
      </c>
      <c r="B24" s="408" t="s">
        <v>475</v>
      </c>
      <c r="C24" s="412">
        <v>0.29166666666666669</v>
      </c>
      <c r="D24" s="412">
        <v>0.38125000000000003</v>
      </c>
      <c r="E24" s="412">
        <v>0.35000000000000003</v>
      </c>
      <c r="F24" s="411">
        <v>0.29166666666666669</v>
      </c>
      <c r="G24" s="408"/>
      <c r="H24" s="430" t="s">
        <v>254</v>
      </c>
    </row>
    <row r="25" spans="1:13" ht="13">
      <c r="A25" s="154" t="s">
        <v>462</v>
      </c>
      <c r="B25" s="410" t="s">
        <v>466</v>
      </c>
      <c r="C25" s="411">
        <v>0.33333333333333331</v>
      </c>
      <c r="D25" s="411">
        <v>0.33333333333333331</v>
      </c>
      <c r="E25" s="411">
        <v>0.29166666666666669</v>
      </c>
      <c r="F25" s="411">
        <v>0.29166666666666669</v>
      </c>
      <c r="G25" s="410"/>
      <c r="H25" s="430" t="s">
        <v>254</v>
      </c>
      <c r="M25" s="35"/>
    </row>
    <row r="26" spans="1:13" ht="13">
      <c r="A26" s="154" t="s">
        <v>465</v>
      </c>
      <c r="B26" s="410" t="s">
        <v>467</v>
      </c>
      <c r="C26" s="435">
        <v>0.3125</v>
      </c>
      <c r="D26" s="435">
        <v>0.47500000000000003</v>
      </c>
      <c r="E26" s="435">
        <v>0.35000000000000003</v>
      </c>
      <c r="F26" s="435">
        <v>0.29166666666666669</v>
      </c>
      <c r="G26" s="432" t="s">
        <v>243</v>
      </c>
      <c r="H26" s="430" t="s">
        <v>254</v>
      </c>
      <c r="M26" s="35"/>
    </row>
    <row r="27" spans="1:13">
      <c r="A27" s="153" t="s">
        <v>463</v>
      </c>
      <c r="B27" s="408" t="s">
        <v>463</v>
      </c>
      <c r="C27" s="412">
        <v>0.29166666666666669</v>
      </c>
      <c r="D27" s="412">
        <v>0.38125000000000003</v>
      </c>
      <c r="E27" s="412">
        <v>0.35000000000000003</v>
      </c>
      <c r="F27" s="411">
        <v>0.29166666666666669</v>
      </c>
      <c r="G27" s="408"/>
      <c r="H27" s="430" t="s">
        <v>254</v>
      </c>
    </row>
    <row r="28" spans="1:13" ht="13">
      <c r="A28" s="147" t="s">
        <v>464</v>
      </c>
      <c r="B28" s="433" t="s">
        <v>474</v>
      </c>
      <c r="C28" s="434">
        <v>0.54166666666666663</v>
      </c>
      <c r="D28" s="434">
        <v>0.17500000000000002</v>
      </c>
      <c r="E28" s="434">
        <v>0.17500000000000002</v>
      </c>
      <c r="F28" s="434">
        <v>0.29166666666666669</v>
      </c>
      <c r="G28" s="422"/>
      <c r="H28" s="430" t="s">
        <v>254</v>
      </c>
      <c r="M28" s="35"/>
    </row>
    <row r="29" spans="1:13" ht="13">
      <c r="A29" s="26" t="s">
        <v>472</v>
      </c>
      <c r="B29" s="8" t="s">
        <v>473</v>
      </c>
      <c r="C29" s="152">
        <v>0.47916666666666669</v>
      </c>
      <c r="D29" s="152">
        <v>0.375</v>
      </c>
      <c r="E29" s="152">
        <v>0.34375</v>
      </c>
      <c r="F29" s="152">
        <v>0.29166666666666669</v>
      </c>
      <c r="G29" s="8"/>
      <c r="H29" s="2" t="s">
        <v>254</v>
      </c>
      <c r="M29" s="35"/>
    </row>
    <row r="30" spans="1:13" ht="13">
      <c r="A30" s="142" t="s">
        <v>255</v>
      </c>
      <c r="B30" s="143" t="s">
        <v>256</v>
      </c>
      <c r="C30" s="144">
        <v>0.29166666666666669</v>
      </c>
      <c r="D30" s="144">
        <v>0.35416666666666669</v>
      </c>
      <c r="E30" s="144">
        <v>0.33333333333333331</v>
      </c>
      <c r="F30" s="144">
        <v>0.29166666666666669</v>
      </c>
      <c r="G30" s="143"/>
      <c r="H30" s="428"/>
      <c r="M30" s="35"/>
    </row>
    <row r="31" spans="1:13" ht="13">
      <c r="A31" s="153" t="s">
        <v>257</v>
      </c>
      <c r="B31" s="408" t="s">
        <v>258</v>
      </c>
      <c r="C31" s="411">
        <v>0.4375</v>
      </c>
      <c r="D31" s="411">
        <v>0.35416666666666669</v>
      </c>
      <c r="E31" s="411">
        <v>0.33333333333333331</v>
      </c>
      <c r="F31" s="411">
        <v>0.29166666666666669</v>
      </c>
      <c r="G31" s="408"/>
      <c r="H31" s="429"/>
      <c r="M31" s="35"/>
    </row>
    <row r="32" spans="1:13" ht="13">
      <c r="A32" s="153" t="s">
        <v>459</v>
      </c>
      <c r="B32" s="408" t="s">
        <v>461</v>
      </c>
      <c r="C32" s="412">
        <v>0.29166666666666669</v>
      </c>
      <c r="D32" s="412">
        <v>0.20833333333333334</v>
      </c>
      <c r="E32" s="412">
        <v>0.20833333333333334</v>
      </c>
      <c r="F32" s="412">
        <v>0.29166666666666669</v>
      </c>
      <c r="G32" s="408"/>
      <c r="H32" s="429" t="s">
        <v>254</v>
      </c>
      <c r="M32" s="35"/>
    </row>
    <row r="33" spans="1:13">
      <c r="A33" s="153" t="s">
        <v>259</v>
      </c>
      <c r="B33" s="408" t="s">
        <v>260</v>
      </c>
      <c r="C33" s="411">
        <v>0.29166666666666669</v>
      </c>
      <c r="D33" s="411">
        <v>0.35416666666666669</v>
      </c>
      <c r="E33" s="411">
        <v>0.33333333333333331</v>
      </c>
      <c r="F33" s="411">
        <v>0.29166666666666669</v>
      </c>
      <c r="G33" s="408"/>
      <c r="H33" s="430" t="s">
        <v>254</v>
      </c>
    </row>
    <row r="34" spans="1:13" ht="13">
      <c r="A34" s="409" t="s">
        <v>502</v>
      </c>
      <c r="B34" s="410" t="s">
        <v>504</v>
      </c>
      <c r="C34" s="411">
        <v>0.29166666666666669</v>
      </c>
      <c r="D34" s="411">
        <v>0.35416666666666669</v>
      </c>
      <c r="E34" s="411">
        <v>0.33333333333333331</v>
      </c>
      <c r="F34" s="411">
        <v>0.29166666666666669</v>
      </c>
      <c r="G34" s="408"/>
      <c r="H34" s="430" t="s">
        <v>254</v>
      </c>
      <c r="M34" s="35"/>
    </row>
    <row r="35" spans="1:13" ht="13">
      <c r="A35" s="466" t="s">
        <v>503</v>
      </c>
      <c r="B35" s="440" t="s">
        <v>458</v>
      </c>
      <c r="C35" s="151">
        <v>0.29166666666666669</v>
      </c>
      <c r="D35" s="151">
        <v>0.35416666666666669</v>
      </c>
      <c r="E35" s="151">
        <v>0.33333333333333331</v>
      </c>
      <c r="F35" s="151">
        <v>0.29166666666666669</v>
      </c>
      <c r="G35" s="150"/>
      <c r="H35" s="431" t="s">
        <v>254</v>
      </c>
      <c r="M35" s="35"/>
    </row>
    <row r="36" spans="1:13" ht="13">
      <c r="M36" s="35"/>
    </row>
    <row r="37" spans="1:13" ht="13">
      <c r="M37" s="35"/>
    </row>
  </sheetData>
  <phoneticPr fontId="21" type="noConversion"/>
  <pageMargins left="0.7" right="0.7" top="0.78740157499999996" bottom="0.78740157499999996"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K19"/>
  <sheetViews>
    <sheetView zoomScale="120" zoomScaleNormal="120" workbookViewId="0">
      <selection activeCell="F6" sqref="F6"/>
    </sheetView>
  </sheetViews>
  <sheetFormatPr baseColWidth="10" defaultColWidth="11.453125" defaultRowHeight="12.5"/>
  <cols>
    <col min="1" max="1" width="8.6328125" customWidth="1"/>
    <col min="2" max="2" width="13" customWidth="1"/>
    <col min="8" max="8" width="15.6328125" customWidth="1"/>
  </cols>
  <sheetData>
    <row r="1" spans="1:11" ht="13">
      <c r="A1" s="13" t="s">
        <v>37</v>
      </c>
      <c r="B1" s="37"/>
      <c r="C1" s="37"/>
      <c r="D1" s="37"/>
      <c r="E1" s="37"/>
      <c r="F1" s="38"/>
    </row>
    <row r="2" spans="1:11" ht="13">
      <c r="A2" s="39" t="s">
        <v>0</v>
      </c>
      <c r="B2" s="40" t="s">
        <v>1</v>
      </c>
      <c r="C2" s="40" t="s">
        <v>29</v>
      </c>
      <c r="D2" s="40"/>
      <c r="E2" s="40"/>
      <c r="F2" s="41"/>
    </row>
    <row r="3" spans="1:11">
      <c r="A3" s="164" t="s">
        <v>35</v>
      </c>
      <c r="B3" s="164" t="s">
        <v>36</v>
      </c>
      <c r="C3" s="165" t="s">
        <v>223</v>
      </c>
      <c r="D3" s="165" t="s">
        <v>476</v>
      </c>
      <c r="E3" s="165" t="s">
        <v>480</v>
      </c>
      <c r="F3" s="12"/>
      <c r="G3" s="165"/>
      <c r="H3" s="165"/>
      <c r="I3" s="165"/>
      <c r="J3" s="165"/>
      <c r="K3" s="165"/>
    </row>
    <row r="4" spans="1:11">
      <c r="A4" s="164" t="s">
        <v>206</v>
      </c>
      <c r="B4" s="164" t="s">
        <v>279</v>
      </c>
      <c r="C4" s="165" t="s">
        <v>205</v>
      </c>
      <c r="D4" s="165"/>
      <c r="E4" s="165"/>
      <c r="F4" s="165"/>
      <c r="G4" s="165"/>
      <c r="H4" s="165"/>
      <c r="I4" s="165"/>
      <c r="J4" s="165"/>
      <c r="K4" s="165"/>
    </row>
    <row r="5" spans="1:11">
      <c r="A5" s="164" t="s">
        <v>280</v>
      </c>
      <c r="B5" s="164" t="s">
        <v>281</v>
      </c>
      <c r="C5" s="165" t="s">
        <v>227</v>
      </c>
      <c r="D5" s="165" t="s">
        <v>232</v>
      </c>
      <c r="E5" s="12" t="s">
        <v>486</v>
      </c>
      <c r="F5" s="12" t="s">
        <v>491</v>
      </c>
      <c r="G5" s="165"/>
      <c r="H5" s="165"/>
      <c r="J5" s="165"/>
      <c r="K5" s="165"/>
    </row>
    <row r="6" spans="1:11">
      <c r="A6" s="164" t="s">
        <v>282</v>
      </c>
      <c r="B6" s="164" t="s">
        <v>283</v>
      </c>
      <c r="C6" s="165" t="s">
        <v>237</v>
      </c>
      <c r="D6" s="165"/>
      <c r="E6" s="165"/>
      <c r="F6" s="165"/>
      <c r="G6" s="165"/>
      <c r="H6" s="165"/>
      <c r="I6" s="165"/>
      <c r="J6" s="165"/>
      <c r="K6" s="165"/>
    </row>
    <row r="7" spans="1:11">
      <c r="A7" s="164" t="s">
        <v>34</v>
      </c>
      <c r="B7" s="164" t="s">
        <v>207</v>
      </c>
      <c r="C7" s="165" t="s">
        <v>239</v>
      </c>
      <c r="D7" s="165"/>
      <c r="E7" s="165"/>
      <c r="F7" s="165"/>
      <c r="G7" s="165"/>
      <c r="H7" s="165"/>
      <c r="I7" s="165"/>
      <c r="J7" s="165"/>
      <c r="K7" s="165"/>
    </row>
    <row r="8" spans="1:11">
      <c r="A8" s="164" t="s">
        <v>284</v>
      </c>
      <c r="B8" s="164" t="s">
        <v>285</v>
      </c>
      <c r="C8" s="165" t="s">
        <v>241</v>
      </c>
      <c r="D8" s="165" t="s">
        <v>244</v>
      </c>
      <c r="E8" s="165" t="s">
        <v>246</v>
      </c>
      <c r="F8" s="165" t="s">
        <v>248</v>
      </c>
      <c r="G8" s="165" t="s">
        <v>250</v>
      </c>
      <c r="H8" s="165" t="s">
        <v>252</v>
      </c>
      <c r="I8" s="165"/>
      <c r="J8" s="165"/>
      <c r="K8" s="165"/>
    </row>
    <row r="9" spans="1:11">
      <c r="A9" s="164" t="s">
        <v>286</v>
      </c>
      <c r="B9" s="164" t="s">
        <v>287</v>
      </c>
      <c r="C9" s="165" t="s">
        <v>205</v>
      </c>
      <c r="D9" s="165" t="s">
        <v>227</v>
      </c>
      <c r="E9" s="165" t="s">
        <v>232</v>
      </c>
      <c r="F9" s="165" t="s">
        <v>237</v>
      </c>
      <c r="G9" s="165" t="s">
        <v>239</v>
      </c>
      <c r="H9" s="12" t="s">
        <v>477</v>
      </c>
      <c r="I9" s="12" t="s">
        <v>486</v>
      </c>
      <c r="J9" s="12" t="s">
        <v>490</v>
      </c>
      <c r="K9" s="12" t="s">
        <v>491</v>
      </c>
    </row>
    <row r="10" spans="1:11">
      <c r="A10" s="164" t="s">
        <v>288</v>
      </c>
      <c r="B10" s="164" t="s">
        <v>289</v>
      </c>
      <c r="C10" s="165" t="s">
        <v>205</v>
      </c>
      <c r="D10" s="165" t="s">
        <v>227</v>
      </c>
      <c r="E10" s="165" t="s">
        <v>232</v>
      </c>
      <c r="F10" s="165" t="s">
        <v>237</v>
      </c>
      <c r="G10" s="165" t="s">
        <v>239</v>
      </c>
      <c r="H10" s="12" t="s">
        <v>477</v>
      </c>
      <c r="I10" s="12" t="s">
        <v>490</v>
      </c>
    </row>
    <row r="11" spans="1:11">
      <c r="A11" s="164" t="s">
        <v>290</v>
      </c>
      <c r="B11" s="164" t="s">
        <v>291</v>
      </c>
      <c r="C11" s="165" t="s">
        <v>232</v>
      </c>
      <c r="D11" s="165" t="s">
        <v>239</v>
      </c>
      <c r="E11" s="12" t="s">
        <v>491</v>
      </c>
      <c r="I11" s="165"/>
      <c r="J11" s="165"/>
      <c r="K11" s="165"/>
    </row>
    <row r="12" spans="1:11">
      <c r="A12" s="164" t="s">
        <v>292</v>
      </c>
      <c r="B12" s="164" t="s">
        <v>293</v>
      </c>
      <c r="C12" s="165" t="s">
        <v>205</v>
      </c>
      <c r="D12" s="165" t="s">
        <v>237</v>
      </c>
      <c r="E12" s="12"/>
      <c r="I12" s="165"/>
      <c r="J12" s="165"/>
      <c r="K12" s="165"/>
    </row>
    <row r="13" spans="1:11">
      <c r="A13" s="164" t="s">
        <v>294</v>
      </c>
      <c r="B13" s="164" t="s">
        <v>295</v>
      </c>
      <c r="C13" s="165" t="s">
        <v>227</v>
      </c>
      <c r="D13" s="165" t="s">
        <v>232</v>
      </c>
      <c r="E13" s="12" t="s">
        <v>239</v>
      </c>
      <c r="I13" s="165"/>
      <c r="J13" s="165"/>
      <c r="K13" s="165"/>
    </row>
    <row r="14" spans="1:11">
      <c r="A14" s="164" t="s">
        <v>296</v>
      </c>
      <c r="B14" s="165" t="s">
        <v>297</v>
      </c>
      <c r="C14" s="165" t="s">
        <v>232</v>
      </c>
      <c r="D14" s="165" t="s">
        <v>239</v>
      </c>
      <c r="E14" s="12" t="s">
        <v>491</v>
      </c>
      <c r="G14" s="165"/>
      <c r="H14" s="165"/>
      <c r="I14" s="165"/>
      <c r="J14" s="165"/>
      <c r="K14" s="165"/>
    </row>
    <row r="15" spans="1:11">
      <c r="A15" s="165" t="s">
        <v>298</v>
      </c>
      <c r="B15" s="165" t="s">
        <v>299</v>
      </c>
      <c r="C15" s="165" t="s">
        <v>205</v>
      </c>
      <c r="D15" s="165" t="s">
        <v>237</v>
      </c>
      <c r="E15" s="165"/>
      <c r="F15" s="165"/>
      <c r="G15" s="165"/>
      <c r="H15" s="165"/>
      <c r="I15" s="165"/>
      <c r="J15" s="165"/>
      <c r="K15" s="165"/>
    </row>
    <row r="16" spans="1:11">
      <c r="A16" s="164" t="s">
        <v>300</v>
      </c>
      <c r="B16" s="164" t="s">
        <v>301</v>
      </c>
      <c r="C16" s="165" t="s">
        <v>205</v>
      </c>
      <c r="D16" s="165" t="s">
        <v>227</v>
      </c>
      <c r="E16" s="165"/>
      <c r="F16" s="165"/>
      <c r="G16" s="165"/>
      <c r="H16" s="165"/>
      <c r="I16" s="165"/>
      <c r="J16" s="165"/>
      <c r="K16" s="165"/>
    </row>
    <row r="17" spans="1:6">
      <c r="A17" s="11" t="s">
        <v>302</v>
      </c>
      <c r="B17" s="11" t="s">
        <v>303</v>
      </c>
      <c r="C17" s="12" t="s">
        <v>477</v>
      </c>
      <c r="D17" s="12" t="s">
        <v>486</v>
      </c>
      <c r="E17" s="12" t="s">
        <v>490</v>
      </c>
      <c r="F17" s="12" t="s">
        <v>491</v>
      </c>
    </row>
    <row r="18" spans="1:6">
      <c r="A18" s="164" t="s">
        <v>304</v>
      </c>
      <c r="B18" t="s">
        <v>305</v>
      </c>
      <c r="C18" s="165" t="s">
        <v>255</v>
      </c>
      <c r="D18" s="165" t="s">
        <v>257</v>
      </c>
      <c r="E18" s="165" t="s">
        <v>459</v>
      </c>
    </row>
    <row r="19" spans="1:6">
      <c r="A19" s="164" t="s">
        <v>447</v>
      </c>
      <c r="B19" t="s">
        <v>448</v>
      </c>
      <c r="C19" s="165" t="s">
        <v>205</v>
      </c>
      <c r="D19" s="165" t="s">
        <v>227</v>
      </c>
      <c r="E19" s="165" t="s">
        <v>232</v>
      </c>
    </row>
  </sheetData>
  <pageMargins left="0.7" right="0.7" top="0.78740157499999996" bottom="0.78740157499999996"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71749-337E-204D-97AD-0701F7889C39}">
  <sheetPr codeName="Tabelle7"/>
  <dimension ref="A1:X33"/>
  <sheetViews>
    <sheetView zoomScaleNormal="100" workbookViewId="0">
      <selection activeCell="C37" sqref="C37"/>
    </sheetView>
  </sheetViews>
  <sheetFormatPr baseColWidth="10" defaultColWidth="11.453125" defaultRowHeight="12.5"/>
  <cols>
    <col min="1" max="1" width="6" customWidth="1"/>
    <col min="2" max="2" width="25.7265625" customWidth="1"/>
    <col min="3" max="3" width="47.453125" customWidth="1"/>
    <col min="4" max="4" width="22.453125" customWidth="1"/>
    <col min="5" max="5" width="8.453125" customWidth="1"/>
    <col min="6" max="6" width="3.90625" bestFit="1" customWidth="1"/>
    <col min="7" max="7" width="3.6328125" bestFit="1" customWidth="1"/>
    <col min="8" max="8" width="3.90625" bestFit="1" customWidth="1"/>
    <col min="9" max="9" width="3.6328125" bestFit="1" customWidth="1"/>
    <col min="10" max="10" width="3.90625" bestFit="1" customWidth="1"/>
    <col min="11" max="11" width="3.6328125" bestFit="1" customWidth="1"/>
    <col min="12" max="12" width="3.90625" bestFit="1" customWidth="1"/>
    <col min="13" max="13" width="3.6328125" bestFit="1" customWidth="1"/>
    <col min="14" max="14" width="3.90625" bestFit="1" customWidth="1"/>
    <col min="15" max="15" width="3.6328125" bestFit="1" customWidth="1"/>
    <col min="16" max="16" width="3.90625" bestFit="1" customWidth="1"/>
    <col min="17" max="17" width="3.6328125" bestFit="1" customWidth="1"/>
    <col min="18" max="18" width="3.90625" bestFit="1" customWidth="1"/>
    <col min="19" max="19" width="3.6328125" bestFit="1" customWidth="1"/>
    <col min="20" max="20" width="3.90625" customWidth="1"/>
    <col min="21" max="21" width="3.6328125" customWidth="1"/>
    <col min="22" max="22" width="15.1796875" customWidth="1"/>
    <col min="23" max="23" width="13.90625" style="5" bestFit="1" customWidth="1"/>
  </cols>
  <sheetData>
    <row r="1" spans="1:24" ht="13">
      <c r="A1" s="27" t="s">
        <v>139</v>
      </c>
      <c r="B1" s="44"/>
      <c r="C1" s="481" t="s">
        <v>159</v>
      </c>
      <c r="D1" s="481"/>
      <c r="E1" s="37" t="s">
        <v>140</v>
      </c>
      <c r="F1" s="123" t="s">
        <v>141</v>
      </c>
      <c r="G1" s="124"/>
      <c r="H1" s="124" t="s">
        <v>81</v>
      </c>
      <c r="I1" s="124"/>
      <c r="J1" s="124" t="s">
        <v>79</v>
      </c>
      <c r="K1" s="124"/>
      <c r="L1" s="124" t="s">
        <v>80</v>
      </c>
      <c r="M1" s="124"/>
      <c r="N1" s="124" t="s">
        <v>142</v>
      </c>
      <c r="O1" s="125"/>
      <c r="P1" s="123" t="s">
        <v>143</v>
      </c>
      <c r="Q1" s="124"/>
      <c r="R1" s="124" t="s">
        <v>144</v>
      </c>
      <c r="S1" s="125"/>
      <c r="T1" s="123" t="s">
        <v>145</v>
      </c>
      <c r="U1" s="125"/>
      <c r="V1" s="45" t="s">
        <v>146</v>
      </c>
      <c r="W1" s="17" t="s">
        <v>170</v>
      </c>
    </row>
    <row r="2" spans="1:24" ht="13.5" thickBot="1">
      <c r="A2" s="47" t="s">
        <v>147</v>
      </c>
      <c r="B2" s="48" t="s">
        <v>148</v>
      </c>
      <c r="C2" s="48" t="s">
        <v>160</v>
      </c>
      <c r="D2" s="48" t="s">
        <v>161</v>
      </c>
      <c r="E2" s="48" t="s">
        <v>149</v>
      </c>
      <c r="F2" s="126" t="s">
        <v>150</v>
      </c>
      <c r="G2" s="48" t="s">
        <v>151</v>
      </c>
      <c r="H2" s="48" t="s">
        <v>150</v>
      </c>
      <c r="I2" s="48" t="s">
        <v>151</v>
      </c>
      <c r="J2" s="48" t="s">
        <v>150</v>
      </c>
      <c r="K2" s="48" t="s">
        <v>151</v>
      </c>
      <c r="L2" s="48" t="s">
        <v>150</v>
      </c>
      <c r="M2" s="48" t="s">
        <v>151</v>
      </c>
      <c r="N2" s="48" t="s">
        <v>150</v>
      </c>
      <c r="O2" s="127" t="s">
        <v>151</v>
      </c>
      <c r="P2" s="126" t="s">
        <v>150</v>
      </c>
      <c r="Q2" s="48" t="s">
        <v>151</v>
      </c>
      <c r="R2" s="48" t="s">
        <v>150</v>
      </c>
      <c r="S2" s="127" t="s">
        <v>151</v>
      </c>
      <c r="T2" s="126" t="s">
        <v>150</v>
      </c>
      <c r="U2" s="127" t="s">
        <v>151</v>
      </c>
      <c r="V2" s="49" t="s">
        <v>152</v>
      </c>
      <c r="W2" s="41" t="s">
        <v>171</v>
      </c>
      <c r="X2" s="36" t="s">
        <v>153</v>
      </c>
    </row>
    <row r="3" spans="1:24">
      <c r="A3" s="256">
        <v>1</v>
      </c>
      <c r="B3" s="257" t="s">
        <v>334</v>
      </c>
      <c r="C3" s="258" t="s">
        <v>335</v>
      </c>
      <c r="D3" s="258" t="s">
        <v>506</v>
      </c>
      <c r="E3" s="259"/>
      <c r="F3" s="260">
        <v>0</v>
      </c>
      <c r="G3" s="22">
        <v>1</v>
      </c>
      <c r="H3" s="260">
        <v>0</v>
      </c>
      <c r="I3" s="22">
        <v>1</v>
      </c>
      <c r="J3" s="260">
        <v>0</v>
      </c>
      <c r="K3" s="22">
        <v>1</v>
      </c>
      <c r="L3" s="260">
        <v>0</v>
      </c>
      <c r="M3" s="22">
        <v>1</v>
      </c>
      <c r="N3" s="260">
        <v>0</v>
      </c>
      <c r="O3" s="132">
        <v>1</v>
      </c>
      <c r="P3" s="261">
        <v>0</v>
      </c>
      <c r="Q3" s="262">
        <v>0</v>
      </c>
      <c r="R3" s="262">
        <v>0</v>
      </c>
      <c r="S3" s="262">
        <v>0</v>
      </c>
      <c r="T3" s="262">
        <v>0</v>
      </c>
      <c r="U3" s="263">
        <v>0</v>
      </c>
      <c r="V3" s="380" t="s">
        <v>66</v>
      </c>
      <c r="W3" s="314">
        <v>1</v>
      </c>
    </row>
    <row r="4" spans="1:24">
      <c r="A4" s="256">
        <v>2</v>
      </c>
      <c r="B4" s="256" t="s">
        <v>336</v>
      </c>
      <c r="C4" s="165" t="s">
        <v>337</v>
      </c>
      <c r="D4" s="165"/>
      <c r="E4" s="264"/>
      <c r="F4" s="260">
        <v>0</v>
      </c>
      <c r="G4" s="22">
        <v>1</v>
      </c>
      <c r="H4" s="260">
        <v>0</v>
      </c>
      <c r="I4" s="22">
        <v>1</v>
      </c>
      <c r="J4" s="260">
        <v>0</v>
      </c>
      <c r="K4" s="22">
        <v>1</v>
      </c>
      <c r="L4" s="260">
        <v>0</v>
      </c>
      <c r="M4" s="22">
        <v>1</v>
      </c>
      <c r="N4" s="260">
        <v>0</v>
      </c>
      <c r="O4" s="132">
        <v>1</v>
      </c>
      <c r="P4" s="265">
        <v>0</v>
      </c>
      <c r="Q4" s="266">
        <v>0</v>
      </c>
      <c r="R4" s="266">
        <v>0</v>
      </c>
      <c r="S4" s="266">
        <v>0</v>
      </c>
      <c r="T4" s="266">
        <v>0</v>
      </c>
      <c r="U4" s="267">
        <v>0</v>
      </c>
      <c r="V4" s="380" t="s">
        <v>66</v>
      </c>
      <c r="W4" s="132">
        <v>0</v>
      </c>
    </row>
    <row r="5" spans="1:24">
      <c r="A5" s="256">
        <v>3</v>
      </c>
      <c r="B5" s="268" t="s">
        <v>338</v>
      </c>
      <c r="C5" s="269" t="s">
        <v>339</v>
      </c>
      <c r="D5" s="269"/>
      <c r="E5" s="270"/>
      <c r="F5" s="271">
        <v>1</v>
      </c>
      <c r="G5" s="271">
        <v>1</v>
      </c>
      <c r="H5" s="271">
        <v>1</v>
      </c>
      <c r="I5" s="271">
        <v>1</v>
      </c>
      <c r="J5" s="271">
        <v>1</v>
      </c>
      <c r="K5" s="271">
        <v>1</v>
      </c>
      <c r="L5" s="271">
        <v>1</v>
      </c>
      <c r="M5" s="271">
        <v>1</v>
      </c>
      <c r="N5" s="271">
        <v>1</v>
      </c>
      <c r="O5" s="129">
        <v>1</v>
      </c>
      <c r="P5" s="265">
        <v>0</v>
      </c>
      <c r="Q5" s="266">
        <v>0</v>
      </c>
      <c r="R5" s="266">
        <v>0</v>
      </c>
      <c r="S5" s="266">
        <v>0</v>
      </c>
      <c r="T5" s="266">
        <v>0</v>
      </c>
      <c r="U5" s="267">
        <v>0</v>
      </c>
      <c r="V5" s="279" t="s">
        <v>62</v>
      </c>
      <c r="W5" s="132">
        <v>2</v>
      </c>
    </row>
    <row r="6" spans="1:24">
      <c r="A6" s="256">
        <v>4</v>
      </c>
      <c r="B6" s="256" t="s">
        <v>340</v>
      </c>
      <c r="C6" s="165" t="s">
        <v>492</v>
      </c>
      <c r="D6" s="165" t="s">
        <v>518</v>
      </c>
      <c r="E6" s="264"/>
      <c r="F6" s="478">
        <v>1</v>
      </c>
      <c r="G6" s="274">
        <v>2</v>
      </c>
      <c r="H6" s="478">
        <v>1</v>
      </c>
      <c r="I6" s="273">
        <v>2</v>
      </c>
      <c r="J6" s="477">
        <v>1</v>
      </c>
      <c r="K6" s="274">
        <v>2</v>
      </c>
      <c r="L6" s="478">
        <v>1</v>
      </c>
      <c r="M6" s="273">
        <v>2</v>
      </c>
      <c r="N6" s="477">
        <v>1</v>
      </c>
      <c r="O6" s="275">
        <v>2</v>
      </c>
      <c r="P6" s="276">
        <v>0</v>
      </c>
      <c r="Q6" s="277">
        <v>0</v>
      </c>
      <c r="R6" s="277">
        <v>0</v>
      </c>
      <c r="S6" s="277">
        <v>0</v>
      </c>
      <c r="T6" s="277">
        <v>0</v>
      </c>
      <c r="U6" s="278">
        <v>0</v>
      </c>
      <c r="V6" s="381" t="s">
        <v>66</v>
      </c>
      <c r="W6" s="480">
        <v>1</v>
      </c>
    </row>
    <row r="7" spans="1:24">
      <c r="A7" s="256">
        <v>5</v>
      </c>
      <c r="B7" s="256" t="s">
        <v>341</v>
      </c>
      <c r="C7" s="165" t="s">
        <v>493</v>
      </c>
      <c r="D7" s="165" t="s">
        <v>505</v>
      </c>
      <c r="E7" s="264"/>
      <c r="F7" s="22">
        <v>1</v>
      </c>
      <c r="G7" s="279">
        <v>1</v>
      </c>
      <c r="H7" s="22">
        <v>1</v>
      </c>
      <c r="I7" s="22">
        <v>1</v>
      </c>
      <c r="J7" s="120">
        <v>1</v>
      </c>
      <c r="K7" s="279">
        <v>1</v>
      </c>
      <c r="L7" s="22">
        <v>1</v>
      </c>
      <c r="M7" s="22">
        <v>1</v>
      </c>
      <c r="N7" s="120">
        <v>1</v>
      </c>
      <c r="O7" s="132">
        <v>1</v>
      </c>
      <c r="P7" s="265">
        <v>0</v>
      </c>
      <c r="Q7" s="266">
        <v>0</v>
      </c>
      <c r="R7" s="266">
        <v>0</v>
      </c>
      <c r="S7" s="266">
        <v>0</v>
      </c>
      <c r="T7" s="266">
        <v>0</v>
      </c>
      <c r="U7" s="267">
        <v>0</v>
      </c>
      <c r="V7" s="382" t="s">
        <v>62</v>
      </c>
      <c r="W7" s="479">
        <v>1</v>
      </c>
    </row>
    <row r="8" spans="1:24">
      <c r="A8" s="256">
        <v>6</v>
      </c>
      <c r="B8" s="256" t="s">
        <v>342</v>
      </c>
      <c r="C8" s="165" t="s">
        <v>343</v>
      </c>
      <c r="D8" s="165" t="s">
        <v>481</v>
      </c>
      <c r="E8" s="264"/>
      <c r="F8" s="22">
        <v>1</v>
      </c>
      <c r="G8" s="279">
        <v>1</v>
      </c>
      <c r="H8" s="22">
        <v>1</v>
      </c>
      <c r="I8" s="22">
        <v>1</v>
      </c>
      <c r="J8" s="120">
        <v>1</v>
      </c>
      <c r="K8" s="279">
        <v>1</v>
      </c>
      <c r="L8" s="22">
        <v>1</v>
      </c>
      <c r="M8" s="22">
        <v>1</v>
      </c>
      <c r="N8" s="120">
        <v>1</v>
      </c>
      <c r="O8" s="132">
        <v>1</v>
      </c>
      <c r="P8" s="265">
        <v>0</v>
      </c>
      <c r="Q8" s="266">
        <v>0</v>
      </c>
      <c r="R8" s="266">
        <v>0</v>
      </c>
      <c r="S8" s="266">
        <v>0</v>
      </c>
      <c r="T8" s="266">
        <v>0</v>
      </c>
      <c r="U8" s="267">
        <v>0</v>
      </c>
      <c r="V8" s="382" t="s">
        <v>62</v>
      </c>
      <c r="W8" s="130">
        <v>1</v>
      </c>
    </row>
    <row r="9" spans="1:24" s="12" customFormat="1">
      <c r="A9" s="256">
        <v>7</v>
      </c>
      <c r="B9" s="281" t="s">
        <v>344</v>
      </c>
      <c r="C9" s="165" t="s">
        <v>494</v>
      </c>
      <c r="D9" s="165" t="s">
        <v>481</v>
      </c>
      <c r="E9" s="264"/>
      <c r="F9" s="476">
        <v>1</v>
      </c>
      <c r="G9" s="279">
        <v>2</v>
      </c>
      <c r="H9" s="476">
        <v>1</v>
      </c>
      <c r="I9" s="22">
        <v>2</v>
      </c>
      <c r="J9" s="475">
        <v>1</v>
      </c>
      <c r="K9" s="279">
        <v>2</v>
      </c>
      <c r="L9" s="476">
        <v>1</v>
      </c>
      <c r="M9" s="22">
        <v>2</v>
      </c>
      <c r="N9" s="475">
        <v>1</v>
      </c>
      <c r="O9" s="132">
        <v>2</v>
      </c>
      <c r="P9" s="265">
        <v>0</v>
      </c>
      <c r="Q9" s="266">
        <v>0</v>
      </c>
      <c r="R9" s="266">
        <v>0</v>
      </c>
      <c r="S9" s="266">
        <v>0</v>
      </c>
      <c r="T9" s="266">
        <v>0</v>
      </c>
      <c r="U9" s="267">
        <v>0</v>
      </c>
      <c r="V9" s="382" t="s">
        <v>66</v>
      </c>
      <c r="W9" s="479">
        <v>1</v>
      </c>
    </row>
    <row r="10" spans="1:24">
      <c r="A10" s="256">
        <v>8</v>
      </c>
      <c r="B10" s="256" t="s">
        <v>345</v>
      </c>
      <c r="C10" s="165" t="s">
        <v>495</v>
      </c>
      <c r="D10" s="269" t="s">
        <v>481</v>
      </c>
      <c r="E10" s="270"/>
      <c r="F10" s="282">
        <v>1</v>
      </c>
      <c r="G10" s="272">
        <v>1</v>
      </c>
      <c r="H10" s="282">
        <v>1</v>
      </c>
      <c r="I10" s="282">
        <v>1</v>
      </c>
      <c r="J10" s="283">
        <v>1</v>
      </c>
      <c r="K10" s="272">
        <v>1</v>
      </c>
      <c r="L10" s="282">
        <v>1</v>
      </c>
      <c r="M10" s="282">
        <v>1</v>
      </c>
      <c r="N10" s="283">
        <v>1</v>
      </c>
      <c r="O10" s="284">
        <v>1</v>
      </c>
      <c r="P10" s="285">
        <v>0</v>
      </c>
      <c r="Q10" s="286">
        <v>0</v>
      </c>
      <c r="R10" s="286">
        <v>0</v>
      </c>
      <c r="S10" s="286">
        <v>0</v>
      </c>
      <c r="T10" s="286">
        <v>0</v>
      </c>
      <c r="U10" s="287">
        <v>0</v>
      </c>
      <c r="V10" s="383" t="s">
        <v>62</v>
      </c>
      <c r="W10" s="288">
        <v>1</v>
      </c>
    </row>
    <row r="11" spans="1:24">
      <c r="A11" s="256">
        <v>9</v>
      </c>
      <c r="B11" s="257" t="s">
        <v>346</v>
      </c>
      <c r="C11" s="258" t="s">
        <v>347</v>
      </c>
      <c r="D11" s="258" t="s">
        <v>519</v>
      </c>
      <c r="E11" s="259" t="s">
        <v>287</v>
      </c>
      <c r="F11" s="289">
        <v>2</v>
      </c>
      <c r="G11" s="290">
        <v>2</v>
      </c>
      <c r="H11" s="291">
        <v>2</v>
      </c>
      <c r="I11" s="290">
        <v>2</v>
      </c>
      <c r="J11" s="289">
        <v>2</v>
      </c>
      <c r="K11" s="290">
        <v>2</v>
      </c>
      <c r="L11" s="291">
        <v>2</v>
      </c>
      <c r="M11" s="290">
        <v>2</v>
      </c>
      <c r="N11" s="289">
        <v>2</v>
      </c>
      <c r="O11" s="292">
        <v>2</v>
      </c>
      <c r="P11" s="276">
        <v>0</v>
      </c>
      <c r="Q11" s="277">
        <v>0</v>
      </c>
      <c r="R11" s="277">
        <v>0</v>
      </c>
      <c r="S11" s="277">
        <v>0</v>
      </c>
      <c r="T11" s="277">
        <v>0</v>
      </c>
      <c r="U11" s="278">
        <v>0</v>
      </c>
      <c r="V11" s="279" t="s">
        <v>62</v>
      </c>
      <c r="W11" s="280">
        <v>2</v>
      </c>
    </row>
    <row r="12" spans="1:24">
      <c r="A12" s="256">
        <v>10</v>
      </c>
      <c r="B12" s="256" t="s">
        <v>348</v>
      </c>
      <c r="C12" s="165" t="s">
        <v>496</v>
      </c>
      <c r="D12" s="165" t="s">
        <v>519</v>
      </c>
      <c r="E12" s="264" t="s">
        <v>287</v>
      </c>
      <c r="F12" s="271">
        <v>4</v>
      </c>
      <c r="G12" s="293">
        <v>4</v>
      </c>
      <c r="H12" s="121">
        <v>4</v>
      </c>
      <c r="I12" s="293">
        <v>4</v>
      </c>
      <c r="J12" s="271">
        <v>4</v>
      </c>
      <c r="K12" s="293">
        <v>4</v>
      </c>
      <c r="L12" s="121">
        <v>4</v>
      </c>
      <c r="M12" s="293">
        <v>4</v>
      </c>
      <c r="N12" s="271">
        <v>4</v>
      </c>
      <c r="O12" s="129">
        <v>4</v>
      </c>
      <c r="P12" s="265">
        <v>0</v>
      </c>
      <c r="Q12" s="266">
        <v>0</v>
      </c>
      <c r="R12" s="266">
        <v>0</v>
      </c>
      <c r="S12" s="266">
        <v>0</v>
      </c>
      <c r="T12" s="266">
        <v>0</v>
      </c>
      <c r="U12" s="267">
        <v>0</v>
      </c>
      <c r="V12" s="279" t="s">
        <v>62</v>
      </c>
      <c r="W12" s="130">
        <v>2</v>
      </c>
    </row>
    <row r="13" spans="1:24">
      <c r="A13" s="256">
        <v>11</v>
      </c>
      <c r="B13" s="256" t="s">
        <v>349</v>
      </c>
      <c r="C13" s="165" t="s">
        <v>497</v>
      </c>
      <c r="D13" s="165" t="s">
        <v>520</v>
      </c>
      <c r="E13" s="264" t="s">
        <v>287</v>
      </c>
      <c r="F13" s="271">
        <v>3</v>
      </c>
      <c r="G13" s="293">
        <v>3</v>
      </c>
      <c r="H13" s="121">
        <v>3</v>
      </c>
      <c r="I13" s="293">
        <v>3</v>
      </c>
      <c r="J13" s="271">
        <v>3</v>
      </c>
      <c r="K13" s="293">
        <v>3</v>
      </c>
      <c r="L13" s="121">
        <v>3</v>
      </c>
      <c r="M13" s="293">
        <v>3</v>
      </c>
      <c r="N13" s="271">
        <v>3</v>
      </c>
      <c r="O13" s="129">
        <v>3</v>
      </c>
      <c r="P13" s="265">
        <v>0</v>
      </c>
      <c r="Q13" s="266">
        <v>0</v>
      </c>
      <c r="R13" s="266">
        <v>0</v>
      </c>
      <c r="S13" s="266">
        <v>0</v>
      </c>
      <c r="T13" s="266">
        <v>0</v>
      </c>
      <c r="U13" s="267">
        <v>0</v>
      </c>
      <c r="V13" s="279" t="s">
        <v>62</v>
      </c>
      <c r="W13" s="130">
        <v>2</v>
      </c>
    </row>
    <row r="14" spans="1:24">
      <c r="A14" s="256">
        <v>12</v>
      </c>
      <c r="B14" s="256" t="s">
        <v>350</v>
      </c>
      <c r="C14" s="165" t="s">
        <v>351</v>
      </c>
      <c r="D14" s="165" t="s">
        <v>507</v>
      </c>
      <c r="E14" s="264" t="s">
        <v>287</v>
      </c>
      <c r="F14" s="271">
        <v>2</v>
      </c>
      <c r="G14" s="293">
        <v>2</v>
      </c>
      <c r="H14" s="121">
        <v>2</v>
      </c>
      <c r="I14" s="293">
        <v>2</v>
      </c>
      <c r="J14" s="271">
        <v>2</v>
      </c>
      <c r="K14" s="293">
        <v>2</v>
      </c>
      <c r="L14" s="121">
        <v>2</v>
      </c>
      <c r="M14" s="293">
        <v>2</v>
      </c>
      <c r="N14" s="271">
        <v>2</v>
      </c>
      <c r="O14" s="129">
        <v>2</v>
      </c>
      <c r="P14" s="265">
        <v>0</v>
      </c>
      <c r="Q14" s="266">
        <v>0</v>
      </c>
      <c r="R14" s="266">
        <v>0</v>
      </c>
      <c r="S14" s="266">
        <v>0</v>
      </c>
      <c r="T14" s="266">
        <v>0</v>
      </c>
      <c r="U14" s="267">
        <v>0</v>
      </c>
      <c r="V14" s="279" t="s">
        <v>62</v>
      </c>
      <c r="W14" s="130">
        <v>3</v>
      </c>
    </row>
    <row r="15" spans="1:24">
      <c r="A15" s="256">
        <v>13</v>
      </c>
      <c r="B15" s="256" t="s">
        <v>352</v>
      </c>
      <c r="C15" s="165" t="s">
        <v>498</v>
      </c>
      <c r="D15" s="165" t="s">
        <v>508</v>
      </c>
      <c r="E15" s="264" t="s">
        <v>287</v>
      </c>
      <c r="F15" s="271">
        <v>4</v>
      </c>
      <c r="G15" s="293">
        <v>4</v>
      </c>
      <c r="H15" s="121">
        <v>4</v>
      </c>
      <c r="I15" s="293">
        <v>4</v>
      </c>
      <c r="J15" s="271">
        <v>4</v>
      </c>
      <c r="K15" s="293">
        <v>4</v>
      </c>
      <c r="L15" s="121">
        <v>4</v>
      </c>
      <c r="M15" s="293">
        <v>4</v>
      </c>
      <c r="N15" s="271">
        <v>4</v>
      </c>
      <c r="O15" s="129">
        <v>4</v>
      </c>
      <c r="P15" s="265">
        <v>0</v>
      </c>
      <c r="Q15" s="266">
        <v>0</v>
      </c>
      <c r="R15" s="266">
        <v>0</v>
      </c>
      <c r="S15" s="266">
        <v>0</v>
      </c>
      <c r="T15" s="266">
        <v>0</v>
      </c>
      <c r="U15" s="267">
        <v>0</v>
      </c>
      <c r="V15" s="279" t="s">
        <v>62</v>
      </c>
      <c r="W15" s="130">
        <v>2</v>
      </c>
    </row>
    <row r="16" spans="1:24">
      <c r="A16" s="256">
        <v>14</v>
      </c>
      <c r="B16" s="256" t="s">
        <v>353</v>
      </c>
      <c r="C16" s="165" t="s">
        <v>499</v>
      </c>
      <c r="D16" s="165" t="s">
        <v>485</v>
      </c>
      <c r="E16" s="264" t="s">
        <v>287</v>
      </c>
      <c r="F16" s="271">
        <v>2</v>
      </c>
      <c r="G16" s="293">
        <v>2</v>
      </c>
      <c r="H16" s="121">
        <v>2</v>
      </c>
      <c r="I16" s="293">
        <v>2</v>
      </c>
      <c r="J16" s="271">
        <v>2</v>
      </c>
      <c r="K16" s="293">
        <v>2</v>
      </c>
      <c r="L16" s="121">
        <v>2</v>
      </c>
      <c r="M16" s="293">
        <v>2</v>
      </c>
      <c r="N16" s="271">
        <v>2</v>
      </c>
      <c r="O16" s="129">
        <v>2</v>
      </c>
      <c r="P16" s="265">
        <v>0</v>
      </c>
      <c r="Q16" s="266">
        <v>0</v>
      </c>
      <c r="R16" s="266">
        <v>0</v>
      </c>
      <c r="S16" s="266">
        <v>0</v>
      </c>
      <c r="T16" s="266">
        <v>0</v>
      </c>
      <c r="U16" s="267">
        <v>0</v>
      </c>
      <c r="V16" s="279" t="s">
        <v>62</v>
      </c>
      <c r="W16" s="130">
        <v>1</v>
      </c>
    </row>
    <row r="17" spans="1:23">
      <c r="A17" s="256">
        <v>15</v>
      </c>
      <c r="B17" s="268" t="s">
        <v>354</v>
      </c>
      <c r="C17" s="269" t="s">
        <v>500</v>
      </c>
      <c r="D17" s="269" t="s">
        <v>485</v>
      </c>
      <c r="E17" s="270" t="s">
        <v>287</v>
      </c>
      <c r="F17" s="282">
        <v>1</v>
      </c>
      <c r="G17" s="294">
        <v>1</v>
      </c>
      <c r="H17" s="295">
        <v>1</v>
      </c>
      <c r="I17" s="294">
        <v>1</v>
      </c>
      <c r="J17" s="296">
        <v>1</v>
      </c>
      <c r="K17" s="272">
        <v>1</v>
      </c>
      <c r="L17" s="283">
        <v>1</v>
      </c>
      <c r="M17" s="272">
        <v>1</v>
      </c>
      <c r="N17" s="282">
        <v>1</v>
      </c>
      <c r="O17" s="284">
        <v>1</v>
      </c>
      <c r="P17" s="285">
        <v>0</v>
      </c>
      <c r="Q17" s="286">
        <v>0</v>
      </c>
      <c r="R17" s="286">
        <v>0</v>
      </c>
      <c r="S17" s="286">
        <v>0</v>
      </c>
      <c r="T17" s="286">
        <v>0</v>
      </c>
      <c r="U17" s="287">
        <v>0</v>
      </c>
      <c r="V17" s="383" t="s">
        <v>62</v>
      </c>
      <c r="W17" s="288">
        <v>0</v>
      </c>
    </row>
    <row r="18" spans="1:23">
      <c r="A18" s="256">
        <v>16</v>
      </c>
      <c r="B18" s="256" t="s">
        <v>355</v>
      </c>
      <c r="C18" s="165" t="s">
        <v>356</v>
      </c>
      <c r="D18" s="165"/>
      <c r="E18" s="264" t="s">
        <v>287</v>
      </c>
      <c r="F18" s="266">
        <v>0</v>
      </c>
      <c r="G18" s="297">
        <v>0</v>
      </c>
      <c r="H18" s="266">
        <v>0</v>
      </c>
      <c r="I18" s="266">
        <v>0</v>
      </c>
      <c r="J18" s="298">
        <v>0</v>
      </c>
      <c r="K18" s="297">
        <v>0</v>
      </c>
      <c r="L18" s="266">
        <v>0</v>
      </c>
      <c r="M18" s="266">
        <v>0</v>
      </c>
      <c r="N18" s="298">
        <v>0</v>
      </c>
      <c r="O18" s="267">
        <v>0</v>
      </c>
      <c r="P18" s="128">
        <v>1</v>
      </c>
      <c r="Q18" s="271">
        <v>1</v>
      </c>
      <c r="R18" s="121">
        <v>1</v>
      </c>
      <c r="S18" s="293">
        <v>1</v>
      </c>
      <c r="T18" s="271">
        <v>1</v>
      </c>
      <c r="U18" s="129">
        <v>1</v>
      </c>
      <c r="V18" s="279" t="s">
        <v>62</v>
      </c>
      <c r="W18" s="132">
        <v>2</v>
      </c>
    </row>
    <row r="19" spans="1:23">
      <c r="A19" s="256">
        <v>17</v>
      </c>
      <c r="B19" s="256" t="s">
        <v>357</v>
      </c>
      <c r="C19" s="165" t="s">
        <v>358</v>
      </c>
      <c r="D19" s="165"/>
      <c r="E19" s="264" t="s">
        <v>287</v>
      </c>
      <c r="F19" s="266">
        <v>0</v>
      </c>
      <c r="G19" s="297">
        <v>0</v>
      </c>
      <c r="H19" s="266">
        <v>0</v>
      </c>
      <c r="I19" s="266">
        <v>0</v>
      </c>
      <c r="J19" s="298">
        <v>0</v>
      </c>
      <c r="K19" s="297">
        <v>0</v>
      </c>
      <c r="L19" s="266">
        <v>0</v>
      </c>
      <c r="M19" s="266">
        <v>0</v>
      </c>
      <c r="N19" s="298">
        <v>0</v>
      </c>
      <c r="O19" s="267">
        <v>0</v>
      </c>
      <c r="P19" s="474">
        <v>0</v>
      </c>
      <c r="Q19" s="22">
        <v>1</v>
      </c>
      <c r="R19" s="475">
        <v>0</v>
      </c>
      <c r="S19" s="279">
        <v>1</v>
      </c>
      <c r="T19" s="476">
        <v>0</v>
      </c>
      <c r="U19" s="132">
        <v>1</v>
      </c>
      <c r="V19" s="279" t="s">
        <v>65</v>
      </c>
      <c r="W19" s="132">
        <v>1</v>
      </c>
    </row>
    <row r="20" spans="1:23">
      <c r="A20" s="256">
        <v>18</v>
      </c>
      <c r="B20" s="256" t="s">
        <v>359</v>
      </c>
      <c r="C20" s="165" t="s">
        <v>360</v>
      </c>
      <c r="D20" s="165"/>
      <c r="E20" s="264" t="s">
        <v>287</v>
      </c>
      <c r="F20" s="266">
        <v>0</v>
      </c>
      <c r="G20" s="297">
        <v>0</v>
      </c>
      <c r="H20" s="266">
        <v>0</v>
      </c>
      <c r="I20" s="266">
        <v>0</v>
      </c>
      <c r="J20" s="298">
        <v>0</v>
      </c>
      <c r="K20" s="297">
        <v>0</v>
      </c>
      <c r="L20" s="266">
        <v>0</v>
      </c>
      <c r="M20" s="266">
        <v>0</v>
      </c>
      <c r="N20" s="298">
        <v>0</v>
      </c>
      <c r="O20" s="267">
        <v>0</v>
      </c>
      <c r="P20" s="131">
        <v>2</v>
      </c>
      <c r="Q20" s="22">
        <v>2</v>
      </c>
      <c r="R20" s="120">
        <v>2</v>
      </c>
      <c r="S20" s="279">
        <v>2</v>
      </c>
      <c r="T20" s="22">
        <v>2</v>
      </c>
      <c r="U20" s="132">
        <v>2</v>
      </c>
      <c r="V20" s="279" t="s">
        <v>62</v>
      </c>
      <c r="W20" s="132">
        <v>0</v>
      </c>
    </row>
    <row r="21" spans="1:23">
      <c r="A21" s="256">
        <v>19</v>
      </c>
      <c r="B21" s="256" t="s">
        <v>361</v>
      </c>
      <c r="C21" s="165" t="s">
        <v>362</v>
      </c>
      <c r="D21" s="165"/>
      <c r="E21" s="264" t="s">
        <v>287</v>
      </c>
      <c r="F21" s="266">
        <v>0</v>
      </c>
      <c r="G21" s="297">
        <v>0</v>
      </c>
      <c r="H21" s="266">
        <v>0</v>
      </c>
      <c r="I21" s="266">
        <v>0</v>
      </c>
      <c r="J21" s="298">
        <v>0</v>
      </c>
      <c r="K21" s="297">
        <v>0</v>
      </c>
      <c r="L21" s="266">
        <v>0</v>
      </c>
      <c r="M21" s="266">
        <v>0</v>
      </c>
      <c r="N21" s="298">
        <v>0</v>
      </c>
      <c r="O21" s="267">
        <v>0</v>
      </c>
      <c r="P21" s="131">
        <v>1</v>
      </c>
      <c r="Q21" s="22">
        <v>1</v>
      </c>
      <c r="R21" s="120">
        <v>1</v>
      </c>
      <c r="S21" s="279">
        <v>1</v>
      </c>
      <c r="T21" s="22">
        <v>1</v>
      </c>
      <c r="U21" s="132">
        <v>1</v>
      </c>
      <c r="V21" s="279" t="s">
        <v>62</v>
      </c>
      <c r="W21" s="132">
        <v>0</v>
      </c>
    </row>
    <row r="22" spans="1:23" ht="13" thickBot="1">
      <c r="A22" s="256">
        <v>20</v>
      </c>
      <c r="B22" s="299" t="s">
        <v>363</v>
      </c>
      <c r="C22" s="300" t="s">
        <v>364</v>
      </c>
      <c r="D22" s="300"/>
      <c r="E22" s="301" t="s">
        <v>287</v>
      </c>
      <c r="F22" s="266">
        <v>0</v>
      </c>
      <c r="G22" s="297">
        <v>0</v>
      </c>
      <c r="H22" s="266">
        <v>0</v>
      </c>
      <c r="I22" s="266">
        <v>0</v>
      </c>
      <c r="J22" s="298">
        <v>0</v>
      </c>
      <c r="K22" s="297">
        <v>0</v>
      </c>
      <c r="L22" s="266">
        <v>0</v>
      </c>
      <c r="M22" s="266">
        <v>0</v>
      </c>
      <c r="N22" s="298">
        <v>0</v>
      </c>
      <c r="O22" s="267">
        <v>0</v>
      </c>
      <c r="P22" s="133">
        <v>1</v>
      </c>
      <c r="Q22" s="134">
        <v>1</v>
      </c>
      <c r="R22" s="135">
        <v>1</v>
      </c>
      <c r="S22" s="302">
        <v>1</v>
      </c>
      <c r="T22" s="134">
        <v>1</v>
      </c>
      <c r="U22" s="136">
        <v>1</v>
      </c>
      <c r="V22" s="383" t="s">
        <v>62</v>
      </c>
      <c r="W22" s="136">
        <v>0</v>
      </c>
    </row>
    <row r="23" spans="1:23">
      <c r="A23" s="256">
        <v>21</v>
      </c>
      <c r="B23" s="303" t="s">
        <v>365</v>
      </c>
      <c r="C23" s="304" t="s">
        <v>366</v>
      </c>
      <c r="D23" s="304"/>
      <c r="E23" s="305" t="s">
        <v>285</v>
      </c>
      <c r="F23" s="306">
        <v>1</v>
      </c>
      <c r="G23" s="307">
        <v>1</v>
      </c>
      <c r="H23" s="308">
        <v>1</v>
      </c>
      <c r="I23" s="308">
        <v>1</v>
      </c>
      <c r="J23" s="309">
        <v>1</v>
      </c>
      <c r="K23" s="307">
        <v>1</v>
      </c>
      <c r="L23" s="308">
        <v>1</v>
      </c>
      <c r="M23" s="308">
        <v>1</v>
      </c>
      <c r="N23" s="309">
        <v>1</v>
      </c>
      <c r="O23" s="310">
        <v>1</v>
      </c>
      <c r="P23" s="261">
        <v>0</v>
      </c>
      <c r="Q23" s="262">
        <v>0</v>
      </c>
      <c r="R23" s="311">
        <v>0</v>
      </c>
      <c r="S23" s="312">
        <v>0</v>
      </c>
      <c r="T23" s="262">
        <v>0</v>
      </c>
      <c r="U23" s="263">
        <v>0</v>
      </c>
      <c r="V23" s="279" t="s">
        <v>62</v>
      </c>
      <c r="W23" s="132">
        <v>0</v>
      </c>
    </row>
    <row r="24" spans="1:23">
      <c r="A24" s="256">
        <v>22</v>
      </c>
      <c r="B24" s="256" t="s">
        <v>367</v>
      </c>
      <c r="C24" s="165" t="s">
        <v>368</v>
      </c>
      <c r="D24" s="165"/>
      <c r="E24" s="313" t="s">
        <v>285</v>
      </c>
      <c r="F24" s="131">
        <v>1</v>
      </c>
      <c r="G24" s="279">
        <v>1</v>
      </c>
      <c r="H24" s="22">
        <v>1</v>
      </c>
      <c r="I24" s="22">
        <v>1</v>
      </c>
      <c r="J24" s="120">
        <v>1</v>
      </c>
      <c r="K24" s="279">
        <v>1</v>
      </c>
      <c r="L24" s="22">
        <v>1</v>
      </c>
      <c r="M24" s="22">
        <v>1</v>
      </c>
      <c r="N24" s="120">
        <v>1</v>
      </c>
      <c r="O24" s="132">
        <v>1</v>
      </c>
      <c r="P24" s="265">
        <v>0</v>
      </c>
      <c r="Q24" s="266">
        <v>0</v>
      </c>
      <c r="R24" s="298">
        <v>0</v>
      </c>
      <c r="S24" s="297">
        <v>0</v>
      </c>
      <c r="T24" s="266">
        <v>0</v>
      </c>
      <c r="U24" s="267">
        <v>0</v>
      </c>
      <c r="V24" s="279" t="s">
        <v>62</v>
      </c>
      <c r="W24" s="314">
        <v>1</v>
      </c>
    </row>
    <row r="25" spans="1:23">
      <c r="A25" s="256">
        <v>23</v>
      </c>
      <c r="B25" s="256" t="s">
        <v>369</v>
      </c>
      <c r="C25" s="165" t="s">
        <v>370</v>
      </c>
      <c r="D25" s="165"/>
      <c r="E25" s="313" t="s">
        <v>285</v>
      </c>
      <c r="F25" s="131">
        <v>1</v>
      </c>
      <c r="G25" s="279">
        <v>1</v>
      </c>
      <c r="H25" s="22">
        <v>1</v>
      </c>
      <c r="I25" s="22">
        <v>1</v>
      </c>
      <c r="J25" s="120">
        <v>1</v>
      </c>
      <c r="K25" s="279">
        <v>1</v>
      </c>
      <c r="L25" s="22">
        <v>1</v>
      </c>
      <c r="M25" s="22">
        <v>1</v>
      </c>
      <c r="N25" s="120">
        <v>1</v>
      </c>
      <c r="O25" s="132">
        <v>1</v>
      </c>
      <c r="P25" s="265">
        <v>0</v>
      </c>
      <c r="Q25" s="266">
        <v>0</v>
      </c>
      <c r="R25" s="298">
        <v>0</v>
      </c>
      <c r="S25" s="297">
        <v>0</v>
      </c>
      <c r="T25" s="266">
        <v>0</v>
      </c>
      <c r="U25" s="267">
        <v>0</v>
      </c>
      <c r="V25" s="279" t="s">
        <v>62</v>
      </c>
      <c r="W25" s="314">
        <v>1</v>
      </c>
    </row>
    <row r="26" spans="1:23">
      <c r="A26" s="256">
        <v>24</v>
      </c>
      <c r="B26" s="256" t="s">
        <v>371</v>
      </c>
      <c r="C26" s="165" t="s">
        <v>372</v>
      </c>
      <c r="D26" s="165"/>
      <c r="E26" s="313" t="s">
        <v>285</v>
      </c>
      <c r="F26" s="265">
        <v>0</v>
      </c>
      <c r="G26" s="279">
        <v>2</v>
      </c>
      <c r="H26" s="266">
        <v>0</v>
      </c>
      <c r="I26" s="22">
        <v>1</v>
      </c>
      <c r="J26" s="298">
        <v>0</v>
      </c>
      <c r="K26" s="279">
        <v>1</v>
      </c>
      <c r="L26" s="266">
        <v>0</v>
      </c>
      <c r="M26" s="22">
        <v>1</v>
      </c>
      <c r="N26" s="298">
        <v>0</v>
      </c>
      <c r="O26" s="132">
        <v>1</v>
      </c>
      <c r="P26" s="265">
        <v>0</v>
      </c>
      <c r="Q26" s="266">
        <v>0</v>
      </c>
      <c r="R26" s="298">
        <v>0</v>
      </c>
      <c r="S26" s="297">
        <v>0</v>
      </c>
      <c r="T26" s="266">
        <v>0</v>
      </c>
      <c r="U26" s="267">
        <v>0</v>
      </c>
      <c r="V26" s="279" t="s">
        <v>66</v>
      </c>
      <c r="W26" s="314">
        <v>0</v>
      </c>
    </row>
    <row r="27" spans="1:23">
      <c r="A27" s="256">
        <v>25</v>
      </c>
      <c r="B27" s="256" t="s">
        <v>373</v>
      </c>
      <c r="C27" s="165" t="s">
        <v>374</v>
      </c>
      <c r="D27" s="165" t="s">
        <v>501</v>
      </c>
      <c r="E27" s="313" t="s">
        <v>285</v>
      </c>
      <c r="F27" s="131">
        <v>1</v>
      </c>
      <c r="G27" s="279">
        <v>1</v>
      </c>
      <c r="H27" s="22">
        <v>1</v>
      </c>
      <c r="I27" s="22">
        <v>1</v>
      </c>
      <c r="J27" s="120">
        <v>1</v>
      </c>
      <c r="K27" s="279">
        <v>1</v>
      </c>
      <c r="L27" s="22">
        <v>1</v>
      </c>
      <c r="M27" s="22">
        <v>1</v>
      </c>
      <c r="N27" s="120">
        <v>1</v>
      </c>
      <c r="O27" s="132">
        <v>1</v>
      </c>
      <c r="P27" s="265">
        <v>0</v>
      </c>
      <c r="Q27" s="266">
        <v>0</v>
      </c>
      <c r="R27" s="298">
        <v>0</v>
      </c>
      <c r="S27" s="297">
        <v>0</v>
      </c>
      <c r="T27" s="266">
        <v>0</v>
      </c>
      <c r="U27" s="267">
        <v>0</v>
      </c>
      <c r="V27" s="279" t="s">
        <v>62</v>
      </c>
      <c r="W27" s="132">
        <v>0</v>
      </c>
    </row>
    <row r="28" spans="1:23">
      <c r="A28" s="256">
        <v>26</v>
      </c>
      <c r="B28" s="268" t="s">
        <v>375</v>
      </c>
      <c r="C28" s="269" t="s">
        <v>376</v>
      </c>
      <c r="D28" s="269"/>
      <c r="E28" s="315" t="s">
        <v>285</v>
      </c>
      <c r="F28" s="377">
        <v>0</v>
      </c>
      <c r="G28" s="294">
        <v>1</v>
      </c>
      <c r="H28" s="378">
        <v>0</v>
      </c>
      <c r="I28" s="294">
        <v>1</v>
      </c>
      <c r="J28" s="378">
        <v>0</v>
      </c>
      <c r="K28" s="294">
        <v>1</v>
      </c>
      <c r="L28" s="378">
        <v>0</v>
      </c>
      <c r="M28" s="294">
        <v>1</v>
      </c>
      <c r="N28" s="378">
        <v>0</v>
      </c>
      <c r="O28" s="379">
        <v>1</v>
      </c>
      <c r="P28" s="285">
        <v>0</v>
      </c>
      <c r="Q28" s="316">
        <v>0</v>
      </c>
      <c r="R28" s="286">
        <v>0</v>
      </c>
      <c r="S28" s="316">
        <v>0</v>
      </c>
      <c r="T28" s="286">
        <v>0</v>
      </c>
      <c r="U28" s="287">
        <v>0</v>
      </c>
      <c r="V28" s="383" t="s">
        <v>66</v>
      </c>
      <c r="W28" s="284">
        <v>0</v>
      </c>
    </row>
    <row r="29" spans="1:23" ht="13" thickBot="1">
      <c r="A29" s="256">
        <v>27</v>
      </c>
      <c r="B29" s="299" t="s">
        <v>377</v>
      </c>
      <c r="C29" s="300" t="s">
        <v>378</v>
      </c>
      <c r="D29" s="300"/>
      <c r="E29" s="317" t="s">
        <v>285</v>
      </c>
      <c r="F29" s="318">
        <v>0</v>
      </c>
      <c r="G29" s="319">
        <v>0</v>
      </c>
      <c r="H29" s="320">
        <v>0</v>
      </c>
      <c r="I29" s="320">
        <v>0</v>
      </c>
      <c r="J29" s="321">
        <v>0</v>
      </c>
      <c r="K29" s="319">
        <v>0</v>
      </c>
      <c r="L29" s="320">
        <v>0</v>
      </c>
      <c r="M29" s="320">
        <v>0</v>
      </c>
      <c r="N29" s="321">
        <v>0</v>
      </c>
      <c r="O29" s="322">
        <v>0</v>
      </c>
      <c r="P29" s="133">
        <v>1</v>
      </c>
      <c r="Q29" s="134">
        <v>1</v>
      </c>
      <c r="R29" s="135">
        <v>1</v>
      </c>
      <c r="S29" s="302">
        <v>1</v>
      </c>
      <c r="T29" s="134">
        <v>1</v>
      </c>
      <c r="U29" s="136">
        <v>1</v>
      </c>
      <c r="V29" s="384" t="s">
        <v>62</v>
      </c>
      <c r="W29" s="132">
        <v>0</v>
      </c>
    </row>
    <row r="30" spans="1:23">
      <c r="A30" s="256">
        <v>28</v>
      </c>
      <c r="B30" s="281" t="s">
        <v>380</v>
      </c>
      <c r="C30" s="165" t="s">
        <v>482</v>
      </c>
      <c r="D30" s="165"/>
      <c r="E30" s="264" t="s">
        <v>36</v>
      </c>
      <c r="F30" s="329">
        <v>0</v>
      </c>
      <c r="G30" s="293">
        <v>1</v>
      </c>
      <c r="H30" s="271">
        <v>1</v>
      </c>
      <c r="I30" s="271">
        <v>1</v>
      </c>
      <c r="J30" s="121">
        <v>0</v>
      </c>
      <c r="K30" s="293">
        <v>0</v>
      </c>
      <c r="L30" s="271">
        <v>1</v>
      </c>
      <c r="M30" s="271">
        <v>1</v>
      </c>
      <c r="N30" s="121">
        <v>1</v>
      </c>
      <c r="O30" s="129">
        <v>1</v>
      </c>
      <c r="P30" s="329">
        <v>0</v>
      </c>
      <c r="Q30" s="330">
        <v>0</v>
      </c>
      <c r="R30" s="331">
        <v>0</v>
      </c>
      <c r="S30" s="332">
        <v>0</v>
      </c>
      <c r="T30" s="330">
        <v>0</v>
      </c>
      <c r="U30" s="333">
        <v>0</v>
      </c>
      <c r="V30" s="279" t="s">
        <v>66</v>
      </c>
      <c r="W30" s="132">
        <v>0</v>
      </c>
    </row>
    <row r="31" spans="1:23" ht="13" thickBot="1">
      <c r="A31" s="256">
        <v>29</v>
      </c>
      <c r="B31" s="281" t="s">
        <v>381</v>
      </c>
      <c r="C31" s="462" t="s">
        <v>379</v>
      </c>
      <c r="D31" s="462" t="s">
        <v>483</v>
      </c>
      <c r="E31" s="264" t="s">
        <v>36</v>
      </c>
      <c r="F31" s="329">
        <v>0</v>
      </c>
      <c r="G31" s="293">
        <v>1</v>
      </c>
      <c r="H31" s="463">
        <v>1</v>
      </c>
      <c r="I31" s="463">
        <v>1</v>
      </c>
      <c r="J31" s="121">
        <v>0</v>
      </c>
      <c r="K31" s="293">
        <v>0</v>
      </c>
      <c r="L31" s="463">
        <v>0</v>
      </c>
      <c r="M31" s="463">
        <v>0</v>
      </c>
      <c r="N31" s="121">
        <v>1</v>
      </c>
      <c r="O31" s="129">
        <v>1</v>
      </c>
      <c r="P31" s="329">
        <v>0</v>
      </c>
      <c r="Q31" s="464">
        <v>0</v>
      </c>
      <c r="R31" s="331">
        <v>0</v>
      </c>
      <c r="S31" s="332">
        <v>0</v>
      </c>
      <c r="T31" s="464">
        <v>0</v>
      </c>
      <c r="U31" s="333">
        <v>0</v>
      </c>
      <c r="V31" s="382" t="s">
        <v>66</v>
      </c>
      <c r="W31" s="132">
        <v>0</v>
      </c>
    </row>
    <row r="32" spans="1:23">
      <c r="A32" s="256">
        <v>30</v>
      </c>
      <c r="B32" s="323" t="s">
        <v>382</v>
      </c>
      <c r="C32" s="304" t="s">
        <v>383</v>
      </c>
      <c r="D32" s="340"/>
      <c r="E32" s="341"/>
      <c r="F32" s="326">
        <v>0</v>
      </c>
      <c r="G32" s="324">
        <v>1</v>
      </c>
      <c r="H32" s="327">
        <v>0</v>
      </c>
      <c r="I32" s="324">
        <v>1</v>
      </c>
      <c r="J32" s="327">
        <v>0</v>
      </c>
      <c r="K32" s="324">
        <v>1</v>
      </c>
      <c r="L32" s="327">
        <v>0</v>
      </c>
      <c r="M32" s="324">
        <v>1</v>
      </c>
      <c r="N32" s="327">
        <v>0</v>
      </c>
      <c r="O32" s="324">
        <v>1</v>
      </c>
      <c r="P32" s="325">
        <v>0</v>
      </c>
      <c r="Q32" s="326">
        <v>0</v>
      </c>
      <c r="R32" s="326">
        <v>0</v>
      </c>
      <c r="S32" s="326">
        <v>0</v>
      </c>
      <c r="T32" s="326">
        <v>0</v>
      </c>
      <c r="U32" s="328">
        <v>0</v>
      </c>
      <c r="V32" s="307" t="s">
        <v>66</v>
      </c>
      <c r="W32" s="328">
        <v>1</v>
      </c>
    </row>
    <row r="33" spans="1:23" ht="13" thickBot="1">
      <c r="A33" s="256">
        <v>31</v>
      </c>
      <c r="B33" s="334" t="s">
        <v>384</v>
      </c>
      <c r="C33" s="300" t="s">
        <v>385</v>
      </c>
      <c r="D33" s="342"/>
      <c r="E33" s="343"/>
      <c r="F33" s="337">
        <v>0</v>
      </c>
      <c r="G33" s="335">
        <v>1</v>
      </c>
      <c r="H33" s="338">
        <v>0</v>
      </c>
      <c r="I33" s="335">
        <v>1</v>
      </c>
      <c r="J33" s="338">
        <v>0</v>
      </c>
      <c r="K33" s="335">
        <v>1</v>
      </c>
      <c r="L33" s="338">
        <v>0</v>
      </c>
      <c r="M33" s="335">
        <v>1</v>
      </c>
      <c r="N33" s="338">
        <v>0</v>
      </c>
      <c r="O33" s="335">
        <v>1</v>
      </c>
      <c r="P33" s="336">
        <v>0</v>
      </c>
      <c r="Q33" s="337">
        <v>0</v>
      </c>
      <c r="R33" s="337">
        <v>0</v>
      </c>
      <c r="S33" s="337">
        <v>0</v>
      </c>
      <c r="T33" s="337">
        <v>0</v>
      </c>
      <c r="U33" s="339">
        <v>0</v>
      </c>
      <c r="V33" s="465" t="s">
        <v>66</v>
      </c>
      <c r="W33" s="339">
        <v>1</v>
      </c>
    </row>
  </sheetData>
  <mergeCells count="1">
    <mergeCell ref="C1:D1"/>
  </mergeCells>
  <conditionalFormatting sqref="F3:U7 F9:U14 J15:K15">
    <cfRule type="containsText" dxfId="391" priority="4" operator="containsText" text="0">
      <formula>NOT(ISERROR(SEARCH("0",F3)))</formula>
    </cfRule>
  </conditionalFormatting>
  <conditionalFormatting sqref="F8:U8">
    <cfRule type="containsText" dxfId="390" priority="3" operator="containsText" text="0">
      <formula>NOT(ISERROR(SEARCH("0",F8)))</formula>
    </cfRule>
  </conditionalFormatting>
  <conditionalFormatting sqref="F15:I15">
    <cfRule type="containsText" dxfId="389" priority="2" operator="containsText" text="0">
      <formula>NOT(ISERROR(SEARCH("0",F15)))</formula>
    </cfRule>
  </conditionalFormatting>
  <conditionalFormatting sqref="L15:U15">
    <cfRule type="containsText" dxfId="388" priority="1" operator="containsText" text="0">
      <formula>NOT(ISERROR(SEARCH("0",L15)))</formula>
    </cfRule>
  </conditionalFormatting>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1D1FB5-EA36-C843-BA9A-B3619714857C}">
          <x14:formula1>
            <xm:f>qualitativeGewichte!$A$2:$A$9</xm:f>
          </x14:formula1>
          <xm:sqref>V3:V33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25"/>
  <sheetViews>
    <sheetView zoomScaleNormal="100" workbookViewId="0">
      <selection activeCell="A8" sqref="A8:XFD8"/>
    </sheetView>
  </sheetViews>
  <sheetFormatPr baseColWidth="10" defaultColWidth="11.453125" defaultRowHeight="12.5"/>
  <cols>
    <col min="1" max="1" width="7.81640625" customWidth="1"/>
    <col min="2" max="2" width="30.453125" customWidth="1"/>
    <col min="3" max="3" width="12.6328125" customWidth="1"/>
    <col min="4" max="4" width="13.6328125" customWidth="1"/>
    <col min="5" max="5" width="22.1796875" customWidth="1"/>
    <col min="6" max="6" width="8.81640625" bestFit="1" customWidth="1"/>
    <col min="7" max="7" width="6.1796875" bestFit="1" customWidth="1"/>
    <col min="8" max="8" width="5.1796875" bestFit="1" customWidth="1"/>
    <col min="9" max="9" width="48.54296875" style="349" customWidth="1"/>
  </cols>
  <sheetData>
    <row r="1" spans="1:9" ht="13">
      <c r="A1" s="13" t="s">
        <v>3</v>
      </c>
      <c r="B1" s="14"/>
      <c r="C1" s="15"/>
      <c r="D1" s="15"/>
      <c r="E1" s="15"/>
      <c r="F1" s="482" t="s">
        <v>4</v>
      </c>
      <c r="G1" s="483"/>
      <c r="H1" s="483"/>
    </row>
    <row r="2" spans="1:9" ht="13">
      <c r="A2" s="16" t="s">
        <v>0</v>
      </c>
      <c r="B2" s="17" t="s">
        <v>5</v>
      </c>
      <c r="C2" s="15" t="s">
        <v>6</v>
      </c>
      <c r="D2" s="15" t="s">
        <v>7</v>
      </c>
      <c r="E2" s="15" t="s">
        <v>8</v>
      </c>
      <c r="F2" s="50" t="s">
        <v>285</v>
      </c>
      <c r="G2" s="50" t="s">
        <v>287</v>
      </c>
      <c r="H2" s="347" t="s">
        <v>36</v>
      </c>
    </row>
    <row r="3" spans="1:9">
      <c r="A3" s="78" t="s">
        <v>9</v>
      </c>
      <c r="B3" s="344" t="s">
        <v>386</v>
      </c>
      <c r="C3" s="6">
        <v>70</v>
      </c>
      <c r="D3" s="42" t="s">
        <v>200</v>
      </c>
      <c r="E3">
        <v>1</v>
      </c>
      <c r="F3" s="46"/>
      <c r="G3" t="s">
        <v>314</v>
      </c>
      <c r="H3" s="348" t="s">
        <v>314</v>
      </c>
      <c r="I3" s="350" t="s">
        <v>403</v>
      </c>
    </row>
    <row r="4" spans="1:9">
      <c r="A4" s="79" t="s">
        <v>10</v>
      </c>
      <c r="B4" s="345" t="s">
        <v>387</v>
      </c>
      <c r="C4">
        <v>90</v>
      </c>
      <c r="D4" s="43" t="s">
        <v>200</v>
      </c>
      <c r="E4">
        <v>2</v>
      </c>
      <c r="F4" s="46"/>
      <c r="G4" t="s">
        <v>314</v>
      </c>
      <c r="H4" s="137"/>
      <c r="I4" s="350" t="s">
        <v>404</v>
      </c>
    </row>
    <row r="5" spans="1:9">
      <c r="A5" s="79" t="s">
        <v>11</v>
      </c>
      <c r="B5" s="345" t="s">
        <v>388</v>
      </c>
      <c r="C5">
        <v>80</v>
      </c>
      <c r="D5" s="43" t="s">
        <v>203</v>
      </c>
      <c r="E5">
        <v>3</v>
      </c>
      <c r="F5" s="46"/>
      <c r="G5" t="s">
        <v>314</v>
      </c>
      <c r="H5" s="137"/>
    </row>
    <row r="6" spans="1:9">
      <c r="A6" s="79" t="s">
        <v>12</v>
      </c>
      <c r="B6" s="345" t="s">
        <v>389</v>
      </c>
      <c r="C6">
        <v>90</v>
      </c>
      <c r="D6" s="43" t="s">
        <v>203</v>
      </c>
      <c r="E6">
        <v>4</v>
      </c>
      <c r="F6" s="46"/>
      <c r="G6" t="s">
        <v>314</v>
      </c>
      <c r="H6" s="137"/>
    </row>
    <row r="7" spans="1:9">
      <c r="A7" s="79" t="s">
        <v>13</v>
      </c>
      <c r="B7" s="345" t="s">
        <v>390</v>
      </c>
      <c r="C7">
        <v>30</v>
      </c>
      <c r="D7" s="43" t="s">
        <v>203</v>
      </c>
      <c r="E7">
        <v>6</v>
      </c>
      <c r="F7" s="46"/>
      <c r="G7" t="s">
        <v>314</v>
      </c>
      <c r="H7" s="137"/>
    </row>
    <row r="8" spans="1:9">
      <c r="A8" s="79" t="s">
        <v>14</v>
      </c>
      <c r="B8" s="345" t="s">
        <v>391</v>
      </c>
      <c r="C8">
        <v>70</v>
      </c>
      <c r="D8" s="43" t="s">
        <v>208</v>
      </c>
      <c r="E8">
        <v>7</v>
      </c>
      <c r="F8" s="46"/>
      <c r="G8" t="s">
        <v>314</v>
      </c>
      <c r="H8" s="137"/>
    </row>
    <row r="9" spans="1:9">
      <c r="A9" s="79" t="s">
        <v>15</v>
      </c>
      <c r="B9" s="345" t="s">
        <v>392</v>
      </c>
      <c r="C9">
        <v>80</v>
      </c>
      <c r="D9" s="43" t="s">
        <v>208</v>
      </c>
      <c r="E9">
        <v>8</v>
      </c>
      <c r="F9" s="46"/>
      <c r="G9" t="s">
        <v>314</v>
      </c>
      <c r="H9" s="137"/>
    </row>
    <row r="10" spans="1:9">
      <c r="A10" s="79" t="s">
        <v>16</v>
      </c>
      <c r="B10" s="345" t="s">
        <v>393</v>
      </c>
      <c r="C10">
        <v>50</v>
      </c>
      <c r="D10" s="43" t="s">
        <v>217</v>
      </c>
      <c r="E10">
        <v>9</v>
      </c>
      <c r="F10" s="46"/>
      <c r="G10" t="s">
        <v>314</v>
      </c>
      <c r="H10" s="137"/>
    </row>
    <row r="11" spans="1:9">
      <c r="A11" s="79" t="s">
        <v>17</v>
      </c>
      <c r="B11" s="345" t="s">
        <v>394</v>
      </c>
      <c r="C11">
        <v>30</v>
      </c>
      <c r="D11" s="43" t="s">
        <v>217</v>
      </c>
      <c r="E11">
        <v>10</v>
      </c>
      <c r="F11" s="46"/>
      <c r="G11" t="s">
        <v>314</v>
      </c>
      <c r="H11" s="137"/>
    </row>
    <row r="12" spans="1:9">
      <c r="A12" s="79" t="s">
        <v>18</v>
      </c>
      <c r="B12" s="346" t="s">
        <v>395</v>
      </c>
      <c r="C12" s="12">
        <v>0</v>
      </c>
      <c r="D12" s="43" t="s">
        <v>217</v>
      </c>
      <c r="E12">
        <v>11</v>
      </c>
      <c r="F12" s="46"/>
      <c r="G12" t="s">
        <v>314</v>
      </c>
      <c r="H12" s="137"/>
      <c r="I12" s="350"/>
    </row>
    <row r="13" spans="1:9">
      <c r="A13" s="79" t="s">
        <v>19</v>
      </c>
      <c r="B13" s="345" t="s">
        <v>396</v>
      </c>
      <c r="C13">
        <v>90</v>
      </c>
      <c r="D13" s="43" t="s">
        <v>217</v>
      </c>
      <c r="E13">
        <v>12</v>
      </c>
      <c r="F13" s="46"/>
      <c r="G13" t="s">
        <v>314</v>
      </c>
      <c r="H13" s="137"/>
      <c r="I13" s="350" t="s">
        <v>405</v>
      </c>
    </row>
    <row r="14" spans="1:9">
      <c r="A14" s="79" t="s">
        <v>20</v>
      </c>
      <c r="B14" s="345" t="s">
        <v>397</v>
      </c>
      <c r="C14">
        <v>90</v>
      </c>
      <c r="D14" s="43" t="s">
        <v>217</v>
      </c>
      <c r="E14">
        <v>13</v>
      </c>
      <c r="F14" s="46" t="s">
        <v>314</v>
      </c>
      <c r="H14" s="137"/>
    </row>
    <row r="15" spans="1:9">
      <c r="A15" s="79" t="s">
        <v>21</v>
      </c>
      <c r="B15" s="345" t="s">
        <v>398</v>
      </c>
      <c r="C15">
        <v>50</v>
      </c>
      <c r="D15" s="43" t="s">
        <v>217</v>
      </c>
      <c r="E15">
        <v>14</v>
      </c>
      <c r="F15" s="46" t="s">
        <v>314</v>
      </c>
      <c r="H15" s="137"/>
    </row>
    <row r="16" spans="1:9">
      <c r="A16" s="79" t="s">
        <v>22</v>
      </c>
      <c r="B16" s="345" t="s">
        <v>399</v>
      </c>
      <c r="C16">
        <v>60</v>
      </c>
      <c r="D16" s="43" t="s">
        <v>217</v>
      </c>
      <c r="E16">
        <v>15</v>
      </c>
      <c r="F16" s="46" t="s">
        <v>314</v>
      </c>
      <c r="H16" s="137"/>
    </row>
    <row r="17" spans="1:9" s="165" customFormat="1">
      <c r="A17" s="79" t="s">
        <v>209</v>
      </c>
      <c r="B17" s="356" t="s">
        <v>400</v>
      </c>
      <c r="C17" s="165">
        <v>100</v>
      </c>
      <c r="D17" s="119" t="s">
        <v>219</v>
      </c>
      <c r="E17" s="165">
        <v>16</v>
      </c>
      <c r="F17" s="441"/>
      <c r="G17" s="165" t="s">
        <v>314</v>
      </c>
      <c r="H17" s="348"/>
      <c r="I17" s="442" t="s">
        <v>406</v>
      </c>
    </row>
    <row r="18" spans="1:9" s="165" customFormat="1">
      <c r="A18" s="79" t="s">
        <v>23</v>
      </c>
      <c r="B18" s="356" t="s">
        <v>401</v>
      </c>
      <c r="C18" s="165">
        <v>100</v>
      </c>
      <c r="D18" s="119" t="s">
        <v>219</v>
      </c>
      <c r="E18" s="165">
        <v>17</v>
      </c>
      <c r="F18" s="441"/>
      <c r="G18" s="165" t="s">
        <v>314</v>
      </c>
      <c r="H18" s="348"/>
      <c r="I18" s="442" t="s">
        <v>407</v>
      </c>
    </row>
    <row r="19" spans="1:9" s="165" customFormat="1">
      <c r="A19" s="79" t="s">
        <v>24</v>
      </c>
      <c r="B19" s="356" t="s">
        <v>402</v>
      </c>
      <c r="C19" s="165">
        <v>100</v>
      </c>
      <c r="D19" s="119" t="s">
        <v>219</v>
      </c>
      <c r="E19" s="165">
        <v>18</v>
      </c>
      <c r="F19" s="441"/>
      <c r="G19" s="165" t="s">
        <v>314</v>
      </c>
      <c r="H19" s="348"/>
      <c r="I19" s="442" t="s">
        <v>407</v>
      </c>
    </row>
    <row r="20" spans="1:9" s="422" customFormat="1">
      <c r="I20" s="443"/>
    </row>
    <row r="21" spans="1:9" s="422" customFormat="1">
      <c r="B21" s="444"/>
      <c r="F21" s="433"/>
      <c r="I21" s="443"/>
    </row>
    <row r="23" spans="1:9">
      <c r="B23" s="12" t="s">
        <v>25</v>
      </c>
      <c r="D23" s="12" t="s">
        <v>26</v>
      </c>
      <c r="E23" s="12"/>
    </row>
    <row r="24" spans="1:9" ht="13">
      <c r="D24" s="12" t="s">
        <v>27</v>
      </c>
      <c r="E24" s="12"/>
      <c r="F24" s="36" t="s">
        <v>28</v>
      </c>
    </row>
    <row r="25" spans="1:9">
      <c r="D25" s="12"/>
      <c r="E25" s="12"/>
    </row>
  </sheetData>
  <sortState xmlns:xlrd2="http://schemas.microsoft.com/office/spreadsheetml/2017/richdata2" ref="A3:F19">
    <sortCondition ref="E3:E19"/>
  </sortState>
  <mergeCells count="1">
    <mergeCell ref="F1:H1"/>
  </mergeCells>
  <phoneticPr fontId="21" type="noConversion"/>
  <conditionalFormatting sqref="D3:D19">
    <cfRule type="expression" dxfId="387" priority="1" stopIfTrue="1">
      <formula>D$3="So"</formula>
    </cfRule>
    <cfRule type="expression" dxfId="386" priority="2">
      <formula>D$3="Sa"</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5"/>
  <dimension ref="A1:Y52"/>
  <sheetViews>
    <sheetView tabSelected="1" zoomScale="90" zoomScaleNormal="90" workbookViewId="0">
      <pane xSplit="2" ySplit="3" topLeftCell="N4" activePane="bottomRight" state="frozen"/>
      <selection pane="topRight" activeCell="C1" sqref="C1"/>
      <selection pane="bottomLeft" activeCell="A4" sqref="A4"/>
      <selection pane="bottomRight" activeCell="S30" sqref="S30"/>
    </sheetView>
  </sheetViews>
  <sheetFormatPr baseColWidth="10" defaultColWidth="11.453125" defaultRowHeight="15" customHeight="1"/>
  <cols>
    <col min="1" max="1" width="12.1796875" bestFit="1" customWidth="1"/>
    <col min="2" max="2" width="27.6328125" bestFit="1" customWidth="1"/>
    <col min="3" max="3" width="33.54296875" customWidth="1"/>
    <col min="4" max="4" width="19.1796875" customWidth="1"/>
    <col min="5" max="5" width="19.453125" customWidth="1"/>
    <col min="6" max="6" width="23.1796875" customWidth="1"/>
    <col min="7" max="7" width="29.36328125" customWidth="1"/>
    <col min="8" max="8" width="32.1796875" customWidth="1"/>
    <col min="9" max="9" width="39.81640625" customWidth="1"/>
    <col min="10" max="10" width="38.1796875" customWidth="1"/>
    <col min="11" max="11" width="27" customWidth="1"/>
    <col min="12" max="12" width="19.453125" customWidth="1"/>
    <col min="13" max="13" width="19.6328125" customWidth="1"/>
    <col min="14" max="14" width="33" customWidth="1"/>
    <col min="15" max="15" width="18.453125" customWidth="1"/>
    <col min="16" max="16" width="16.36328125" customWidth="1"/>
    <col min="17" max="17" width="19.6328125" style="22" customWidth="1"/>
    <col min="18" max="18" width="25.6328125" customWidth="1"/>
    <col min="19" max="19" width="17.6328125" customWidth="1"/>
    <col min="20" max="20" width="26.453125" customWidth="1"/>
    <col min="21" max="21" width="23" customWidth="1"/>
    <col min="23" max="23" width="20.36328125" customWidth="1"/>
    <col min="24" max="24" width="22.1796875" customWidth="1"/>
  </cols>
  <sheetData>
    <row r="1" spans="1:25" ht="15" customHeight="1">
      <c r="A1" s="13"/>
      <c r="B1" s="14"/>
      <c r="C1" s="484" t="s">
        <v>38</v>
      </c>
      <c r="D1" s="485"/>
      <c r="E1" s="485"/>
      <c r="F1" s="91" t="s">
        <v>176</v>
      </c>
      <c r="G1" s="487" t="s">
        <v>175</v>
      </c>
      <c r="H1" s="488"/>
      <c r="I1" s="27" t="s">
        <v>39</v>
      </c>
      <c r="J1" s="484" t="s">
        <v>40</v>
      </c>
      <c r="K1" s="485"/>
      <c r="L1" s="485"/>
      <c r="M1" s="485"/>
      <c r="N1" s="485"/>
      <c r="O1" s="27" t="s">
        <v>41</v>
      </c>
      <c r="P1" s="95"/>
      <c r="Q1" s="54" t="s">
        <v>42</v>
      </c>
      <c r="R1" s="44"/>
      <c r="S1" s="53"/>
      <c r="T1" s="484" t="s">
        <v>43</v>
      </c>
      <c r="U1" s="486"/>
      <c r="X1" s="65"/>
    </row>
    <row r="2" spans="1:25" ht="15" customHeight="1">
      <c r="A2" s="16"/>
      <c r="B2" s="17"/>
      <c r="C2" s="23" t="s">
        <v>44</v>
      </c>
      <c r="D2" s="24" t="s">
        <v>45</v>
      </c>
      <c r="E2" s="24" t="s">
        <v>46</v>
      </c>
      <c r="F2" s="92" t="s">
        <v>47</v>
      </c>
      <c r="G2" s="24" t="s">
        <v>48</v>
      </c>
      <c r="H2" s="25" t="s">
        <v>49</v>
      </c>
      <c r="I2" s="23" t="s">
        <v>50</v>
      </c>
      <c r="J2" s="23" t="s">
        <v>51</v>
      </c>
      <c r="K2" s="24" t="s">
        <v>52</v>
      </c>
      <c r="L2" s="24" t="s">
        <v>53</v>
      </c>
      <c r="M2" s="24" t="s">
        <v>54</v>
      </c>
      <c r="N2" s="24" t="s">
        <v>163</v>
      </c>
      <c r="O2" s="106" t="s">
        <v>184</v>
      </c>
      <c r="P2" s="24" t="s">
        <v>55</v>
      </c>
      <c r="Q2" s="24" t="s">
        <v>56</v>
      </c>
      <c r="R2" s="24" t="s">
        <v>178</v>
      </c>
      <c r="S2" s="25" t="s">
        <v>57</v>
      </c>
      <c r="T2" s="106" t="s">
        <v>523</v>
      </c>
      <c r="U2" s="25" t="s">
        <v>58</v>
      </c>
      <c r="X2" s="66" t="s">
        <v>59</v>
      </c>
    </row>
    <row r="3" spans="1:25" ht="15" customHeight="1">
      <c r="A3" s="16" t="s">
        <v>60</v>
      </c>
      <c r="B3" s="21" t="s">
        <v>61</v>
      </c>
      <c r="C3" s="26" t="s">
        <v>62</v>
      </c>
      <c r="D3" s="8" t="s">
        <v>63</v>
      </c>
      <c r="E3" s="8" t="s">
        <v>64</v>
      </c>
      <c r="F3" s="43" t="s">
        <v>62</v>
      </c>
      <c r="G3" s="8" t="s">
        <v>65</v>
      </c>
      <c r="H3" s="2" t="s">
        <v>66</v>
      </c>
      <c r="I3" s="26" t="s">
        <v>64</v>
      </c>
      <c r="J3" s="26" t="s">
        <v>106</v>
      </c>
      <c r="K3" s="8" t="s">
        <v>65</v>
      </c>
      <c r="L3" s="8" t="s">
        <v>64</v>
      </c>
      <c r="M3" s="8" t="s">
        <v>64</v>
      </c>
      <c r="N3" s="8" t="s">
        <v>66</v>
      </c>
      <c r="O3" s="26" t="s">
        <v>65</v>
      </c>
      <c r="P3" s="8" t="s">
        <v>68</v>
      </c>
      <c r="Q3" s="8" t="s">
        <v>63</v>
      </c>
      <c r="R3" s="8" t="s">
        <v>68</v>
      </c>
      <c r="S3" s="2" t="s">
        <v>68</v>
      </c>
      <c r="T3" s="107" t="s">
        <v>65</v>
      </c>
      <c r="U3" s="2" t="s">
        <v>65</v>
      </c>
      <c r="W3" t="s">
        <v>69</v>
      </c>
      <c r="X3" s="66" t="s">
        <v>70</v>
      </c>
      <c r="Y3" t="s">
        <v>167</v>
      </c>
    </row>
    <row r="4" spans="1:25" ht="15" customHeight="1">
      <c r="A4" s="16" t="s">
        <v>0</v>
      </c>
      <c r="B4" s="17" t="s">
        <v>71</v>
      </c>
      <c r="C4" s="96" t="s">
        <v>72</v>
      </c>
      <c r="D4" s="96" t="s">
        <v>72</v>
      </c>
      <c r="E4" s="96" t="s">
        <v>73</v>
      </c>
      <c r="F4" s="97" t="s">
        <v>74</v>
      </c>
      <c r="G4" s="98" t="s">
        <v>73</v>
      </c>
      <c r="H4" s="99" t="s">
        <v>75</v>
      </c>
      <c r="I4" s="358" t="s">
        <v>422</v>
      </c>
      <c r="J4" s="100" t="s">
        <v>428</v>
      </c>
      <c r="K4" s="361" t="s">
        <v>450</v>
      </c>
      <c r="L4" s="361" t="s">
        <v>432</v>
      </c>
      <c r="M4" s="101"/>
      <c r="N4" s="101"/>
      <c r="O4" s="100"/>
      <c r="P4" s="101"/>
      <c r="Q4" s="101" t="s">
        <v>76</v>
      </c>
      <c r="R4" s="101"/>
      <c r="S4" s="117"/>
      <c r="T4" s="100" t="s">
        <v>77</v>
      </c>
      <c r="U4" s="102" t="s">
        <v>77</v>
      </c>
      <c r="V4" s="83"/>
      <c r="W4" s="84"/>
      <c r="X4" s="85" t="s">
        <v>78</v>
      </c>
      <c r="Y4" s="86" t="s">
        <v>62</v>
      </c>
    </row>
    <row r="5" spans="1:25" ht="15" customHeight="1">
      <c r="A5" s="355" t="s">
        <v>9</v>
      </c>
      <c r="B5" s="344" t="s">
        <v>386</v>
      </c>
      <c r="C5" s="122" t="s">
        <v>408</v>
      </c>
      <c r="D5" s="115"/>
      <c r="E5" s="115"/>
      <c r="F5" s="122" t="s">
        <v>413</v>
      </c>
      <c r="G5" s="122" t="s">
        <v>526</v>
      </c>
      <c r="H5" s="113" t="s">
        <v>286</v>
      </c>
      <c r="I5" s="359" t="s">
        <v>456</v>
      </c>
      <c r="J5" s="103" t="s">
        <v>449</v>
      </c>
      <c r="K5" s="385" t="s">
        <v>457</v>
      </c>
      <c r="L5" s="105"/>
      <c r="M5" s="362"/>
      <c r="N5" s="108"/>
      <c r="O5" s="365"/>
      <c r="P5" s="366"/>
      <c r="Q5" s="367"/>
      <c r="R5" s="366"/>
      <c r="S5" s="368"/>
      <c r="T5" s="114" t="s">
        <v>524</v>
      </c>
      <c r="U5" s="113"/>
      <c r="W5" s="11"/>
      <c r="X5" s="66" t="s">
        <v>78</v>
      </c>
      <c r="Y5" s="82">
        <v>1</v>
      </c>
    </row>
    <row r="6" spans="1:25" ht="15" customHeight="1">
      <c r="A6" s="354" t="s">
        <v>10</v>
      </c>
      <c r="B6" s="345" t="s">
        <v>387</v>
      </c>
      <c r="C6" s="122"/>
      <c r="D6" s="115"/>
      <c r="E6" s="115"/>
      <c r="F6" s="122" t="s">
        <v>414</v>
      </c>
      <c r="G6" s="122" t="s">
        <v>416</v>
      </c>
      <c r="H6" s="104" t="s">
        <v>280</v>
      </c>
      <c r="I6" s="360"/>
      <c r="J6" s="105" t="s">
        <v>211</v>
      </c>
      <c r="K6" s="385" t="s">
        <v>451</v>
      </c>
      <c r="L6" s="105" t="s">
        <v>433</v>
      </c>
      <c r="M6" s="362"/>
      <c r="N6" s="363" t="s">
        <v>440</v>
      </c>
      <c r="O6" s="369"/>
      <c r="P6" s="370"/>
      <c r="Q6" s="367"/>
      <c r="R6" s="366"/>
      <c r="S6" s="371"/>
      <c r="T6" s="100" t="s">
        <v>527</v>
      </c>
      <c r="U6" s="113"/>
      <c r="W6" s="11"/>
      <c r="X6" s="66" t="s">
        <v>78</v>
      </c>
      <c r="Y6" s="82">
        <v>2</v>
      </c>
    </row>
    <row r="7" spans="1:25" ht="15" customHeight="1">
      <c r="A7" s="354" t="s">
        <v>11</v>
      </c>
      <c r="B7" s="345" t="s">
        <v>388</v>
      </c>
      <c r="C7" s="90" t="s">
        <v>81</v>
      </c>
      <c r="D7" s="116"/>
      <c r="E7" s="116"/>
      <c r="F7" s="122" t="s">
        <v>414</v>
      </c>
      <c r="G7" s="90"/>
      <c r="H7" s="104" t="s">
        <v>239</v>
      </c>
      <c r="I7" s="360"/>
      <c r="J7" s="103" t="s">
        <v>212</v>
      </c>
      <c r="K7" s="385" t="s">
        <v>522</v>
      </c>
      <c r="L7" s="103"/>
      <c r="M7" s="362"/>
      <c r="N7" s="364"/>
      <c r="O7" s="369"/>
      <c r="P7" s="370"/>
      <c r="Q7" s="367"/>
      <c r="R7" s="366"/>
      <c r="S7" s="371"/>
      <c r="T7" s="100" t="s">
        <v>527</v>
      </c>
      <c r="U7" s="113" t="s">
        <v>442</v>
      </c>
      <c r="W7" s="11"/>
      <c r="X7" s="66" t="s">
        <v>78</v>
      </c>
      <c r="Y7" s="82">
        <v>3</v>
      </c>
    </row>
    <row r="8" spans="1:25" ht="15" customHeight="1">
      <c r="A8" s="354" t="s">
        <v>12</v>
      </c>
      <c r="B8" s="345" t="s">
        <v>389</v>
      </c>
      <c r="C8" s="122"/>
      <c r="D8" s="115"/>
      <c r="E8" s="115"/>
      <c r="F8" s="122" t="s">
        <v>414</v>
      </c>
      <c r="G8" s="114" t="s">
        <v>416</v>
      </c>
      <c r="H8" s="113" t="s">
        <v>280</v>
      </c>
      <c r="I8" s="360"/>
      <c r="J8" s="103" t="s">
        <v>211</v>
      </c>
      <c r="K8" s="385"/>
      <c r="L8" s="105"/>
      <c r="M8" s="362"/>
      <c r="N8" s="363" t="s">
        <v>440</v>
      </c>
      <c r="O8" s="369"/>
      <c r="P8" s="370"/>
      <c r="Q8" s="367"/>
      <c r="R8" s="366"/>
      <c r="S8" s="371"/>
      <c r="T8" s="100" t="s">
        <v>527</v>
      </c>
      <c r="U8" s="113" t="s">
        <v>435</v>
      </c>
      <c r="W8" s="11"/>
      <c r="X8" s="66" t="s">
        <v>78</v>
      </c>
      <c r="Y8" s="82">
        <v>4</v>
      </c>
    </row>
    <row r="9" spans="1:25" ht="15" customHeight="1">
      <c r="A9" s="354" t="s">
        <v>13</v>
      </c>
      <c r="B9" s="345" t="s">
        <v>390</v>
      </c>
      <c r="C9" s="393"/>
      <c r="D9" s="115"/>
      <c r="E9" s="115"/>
      <c r="F9" s="122" t="s">
        <v>414</v>
      </c>
      <c r="G9" s="114" t="s">
        <v>417</v>
      </c>
      <c r="H9" s="113" t="s">
        <v>420</v>
      </c>
      <c r="I9" s="360" t="s">
        <v>423</v>
      </c>
      <c r="J9" s="103" t="s">
        <v>521</v>
      </c>
      <c r="K9" s="385"/>
      <c r="L9" s="105"/>
      <c r="M9" s="362"/>
      <c r="N9" s="108"/>
      <c r="O9" s="369"/>
      <c r="P9" s="370"/>
      <c r="Q9" s="367"/>
      <c r="R9" s="366"/>
      <c r="S9" s="371"/>
      <c r="T9" s="100" t="s">
        <v>527</v>
      </c>
      <c r="U9" s="113" t="s">
        <v>443</v>
      </c>
      <c r="W9" s="11"/>
      <c r="X9" s="66" t="s">
        <v>78</v>
      </c>
      <c r="Y9" s="82">
        <v>5</v>
      </c>
    </row>
    <row r="10" spans="1:25" ht="15" customHeight="1">
      <c r="A10" s="354" t="s">
        <v>14</v>
      </c>
      <c r="B10" s="345" t="s">
        <v>391</v>
      </c>
      <c r="C10" s="122" t="s">
        <v>409</v>
      </c>
      <c r="D10" s="115"/>
      <c r="E10" s="115"/>
      <c r="F10" s="122" t="s">
        <v>414</v>
      </c>
      <c r="G10" s="122"/>
      <c r="H10" s="104" t="s">
        <v>239</v>
      </c>
      <c r="I10" s="360"/>
      <c r="J10" s="105" t="s">
        <v>429</v>
      </c>
      <c r="K10" s="385"/>
      <c r="L10" s="105" t="s">
        <v>434</v>
      </c>
      <c r="M10" s="362"/>
      <c r="N10" s="108"/>
      <c r="O10" s="369"/>
      <c r="P10" s="370"/>
      <c r="Q10" s="367"/>
      <c r="R10" s="366"/>
      <c r="S10" s="371"/>
      <c r="T10" s="100" t="s">
        <v>527</v>
      </c>
      <c r="U10" s="113"/>
      <c r="W10" s="11"/>
      <c r="X10" s="66" t="s">
        <v>78</v>
      </c>
      <c r="Y10" s="82">
        <v>6</v>
      </c>
    </row>
    <row r="11" spans="1:25" ht="15" customHeight="1">
      <c r="A11" s="354" t="s">
        <v>15</v>
      </c>
      <c r="B11" s="345" t="s">
        <v>392</v>
      </c>
      <c r="C11" s="122"/>
      <c r="D11" s="115"/>
      <c r="E11" s="115"/>
      <c r="F11" s="122" t="s">
        <v>414</v>
      </c>
      <c r="G11" s="122"/>
      <c r="H11" s="104" t="s">
        <v>239</v>
      </c>
      <c r="I11" s="360"/>
      <c r="J11" s="103" t="s">
        <v>211</v>
      </c>
      <c r="K11" s="385"/>
      <c r="L11" s="105"/>
      <c r="M11" s="362"/>
      <c r="N11" s="108"/>
      <c r="O11" s="369"/>
      <c r="P11" s="370"/>
      <c r="Q11" s="367"/>
      <c r="R11" s="366"/>
      <c r="S11" s="371"/>
      <c r="T11" s="100" t="s">
        <v>527</v>
      </c>
      <c r="U11" s="113" t="s">
        <v>442</v>
      </c>
      <c r="W11" s="11"/>
      <c r="X11" s="66" t="s">
        <v>78</v>
      </c>
      <c r="Y11" s="82">
        <v>7</v>
      </c>
    </row>
    <row r="12" spans="1:25" ht="15" customHeight="1">
      <c r="A12" s="354" t="s">
        <v>16</v>
      </c>
      <c r="B12" s="345" t="s">
        <v>393</v>
      </c>
      <c r="C12" s="122"/>
      <c r="D12" s="115"/>
      <c r="E12" s="115"/>
      <c r="F12" s="122" t="s">
        <v>487</v>
      </c>
      <c r="G12" s="122"/>
      <c r="H12" s="104" t="s">
        <v>302</v>
      </c>
      <c r="I12" s="360" t="s">
        <v>424</v>
      </c>
      <c r="J12" s="103" t="s">
        <v>429</v>
      </c>
      <c r="K12" s="385"/>
      <c r="L12" s="105"/>
      <c r="M12" s="362"/>
      <c r="N12" s="108"/>
      <c r="O12" s="369"/>
      <c r="P12" s="370"/>
      <c r="Q12" s="367"/>
      <c r="R12" s="366"/>
      <c r="S12" s="371"/>
      <c r="T12" s="100" t="s">
        <v>527</v>
      </c>
      <c r="U12" s="113"/>
      <c r="W12" s="5"/>
      <c r="X12" s="66" t="s">
        <v>78</v>
      </c>
      <c r="Y12" s="82">
        <v>8</v>
      </c>
    </row>
    <row r="13" spans="1:25" ht="15" customHeight="1">
      <c r="A13" s="354" t="s">
        <v>17</v>
      </c>
      <c r="B13" s="346" t="s">
        <v>394</v>
      </c>
      <c r="C13" s="122" t="s">
        <v>410</v>
      </c>
      <c r="D13" s="115"/>
      <c r="E13" s="115"/>
      <c r="F13" s="122" t="s">
        <v>487</v>
      </c>
      <c r="G13" s="122"/>
      <c r="H13" s="104" t="s">
        <v>237</v>
      </c>
      <c r="I13" s="360" t="s">
        <v>423</v>
      </c>
      <c r="J13" s="103" t="s">
        <v>429</v>
      </c>
      <c r="K13" s="385"/>
      <c r="L13" s="105"/>
      <c r="M13" s="362"/>
      <c r="N13" s="108"/>
      <c r="O13" s="369"/>
      <c r="P13" s="371"/>
      <c r="Q13" s="367"/>
      <c r="R13" s="366"/>
      <c r="S13" s="371"/>
      <c r="T13" s="90" t="s">
        <v>524</v>
      </c>
      <c r="U13" s="113" t="s">
        <v>442</v>
      </c>
      <c r="W13" s="11"/>
      <c r="X13" s="66" t="s">
        <v>78</v>
      </c>
      <c r="Y13" s="82">
        <v>9</v>
      </c>
    </row>
    <row r="14" spans="1:25" ht="15" customHeight="1">
      <c r="A14" s="354" t="s">
        <v>18</v>
      </c>
      <c r="B14" s="346" t="s">
        <v>395</v>
      </c>
      <c r="C14" s="114"/>
      <c r="D14" s="115"/>
      <c r="E14" s="115"/>
      <c r="F14" s="122" t="s">
        <v>487</v>
      </c>
      <c r="G14" s="122"/>
      <c r="H14" s="104"/>
      <c r="I14" s="360"/>
      <c r="J14" s="103" t="s">
        <v>429</v>
      </c>
      <c r="K14" s="385"/>
      <c r="L14" s="105"/>
      <c r="M14" s="362"/>
      <c r="N14" s="108"/>
      <c r="O14" s="369"/>
      <c r="P14" s="372"/>
      <c r="Q14" s="367"/>
      <c r="R14" s="366"/>
      <c r="S14" s="373"/>
      <c r="T14" s="100" t="s">
        <v>527</v>
      </c>
      <c r="U14" s="113" t="s">
        <v>435</v>
      </c>
      <c r="W14" s="11"/>
      <c r="X14" s="66" t="s">
        <v>78</v>
      </c>
      <c r="Y14" s="82">
        <v>10</v>
      </c>
    </row>
    <row r="15" spans="1:25" ht="15" customHeight="1">
      <c r="A15" s="354" t="s">
        <v>19</v>
      </c>
      <c r="B15" s="345" t="s">
        <v>396</v>
      </c>
      <c r="C15" s="90"/>
      <c r="D15" s="115"/>
      <c r="E15" s="115"/>
      <c r="F15" s="122" t="s">
        <v>487</v>
      </c>
      <c r="G15" s="122"/>
      <c r="H15" s="104" t="s">
        <v>237</v>
      </c>
      <c r="I15" s="360"/>
      <c r="J15" s="103" t="s">
        <v>430</v>
      </c>
      <c r="K15" s="385"/>
      <c r="L15" s="105"/>
      <c r="M15" s="362"/>
      <c r="N15" s="108"/>
      <c r="O15" s="369"/>
      <c r="P15" s="370"/>
      <c r="Q15" s="367"/>
      <c r="R15" s="366"/>
      <c r="S15" s="371"/>
      <c r="T15" s="100" t="s">
        <v>527</v>
      </c>
      <c r="U15" s="113" t="s">
        <v>442</v>
      </c>
      <c r="W15" s="11"/>
      <c r="X15" s="66" t="s">
        <v>78</v>
      </c>
      <c r="Y15" s="82">
        <v>11</v>
      </c>
    </row>
    <row r="16" spans="1:25" ht="15" customHeight="1">
      <c r="A16" s="354" t="s">
        <v>20</v>
      </c>
      <c r="B16" s="345" t="s">
        <v>397</v>
      </c>
      <c r="C16" s="122"/>
      <c r="D16" s="115"/>
      <c r="E16" s="115"/>
      <c r="F16" s="122" t="s">
        <v>414</v>
      </c>
      <c r="G16" s="122" t="s">
        <v>418</v>
      </c>
      <c r="H16" s="104" t="s">
        <v>248</v>
      </c>
      <c r="I16" s="360"/>
      <c r="J16" s="103" t="s">
        <v>211</v>
      </c>
      <c r="K16" s="385"/>
      <c r="L16" s="105"/>
      <c r="M16" s="362"/>
      <c r="N16" s="108"/>
      <c r="O16" s="369"/>
      <c r="P16" s="370"/>
      <c r="Q16" s="367"/>
      <c r="R16" s="366"/>
      <c r="S16" s="371"/>
      <c r="T16" s="100" t="s">
        <v>527</v>
      </c>
      <c r="U16" s="113"/>
      <c r="W16" s="11"/>
      <c r="X16" s="66" t="s">
        <v>78</v>
      </c>
      <c r="Y16" s="82">
        <v>12</v>
      </c>
    </row>
    <row r="17" spans="1:25" ht="15" customHeight="1">
      <c r="A17" s="354" t="s">
        <v>21</v>
      </c>
      <c r="B17" s="345" t="s">
        <v>398</v>
      </c>
      <c r="C17" s="122"/>
      <c r="D17" s="115"/>
      <c r="E17" s="115"/>
      <c r="F17" s="357" t="s">
        <v>414</v>
      </c>
      <c r="G17" s="90" t="s">
        <v>419</v>
      </c>
      <c r="H17" s="104"/>
      <c r="I17" s="360" t="s">
        <v>425</v>
      </c>
      <c r="J17" s="103" t="s">
        <v>429</v>
      </c>
      <c r="K17" s="385"/>
      <c r="L17" s="105"/>
      <c r="M17" s="362"/>
      <c r="N17" s="108"/>
      <c r="O17" s="369"/>
      <c r="P17" s="370"/>
      <c r="Q17" s="367"/>
      <c r="R17" s="366"/>
      <c r="S17" s="371"/>
      <c r="T17" s="114" t="s">
        <v>524</v>
      </c>
      <c r="U17" s="113"/>
      <c r="W17" s="11"/>
      <c r="X17" s="66" t="s">
        <v>78</v>
      </c>
      <c r="Y17" s="82">
        <v>13</v>
      </c>
    </row>
    <row r="18" spans="1:25" ht="15" customHeight="1">
      <c r="A18" s="354" t="s">
        <v>22</v>
      </c>
      <c r="B18" s="345" t="s">
        <v>399</v>
      </c>
      <c r="C18" s="122"/>
      <c r="D18" s="115"/>
      <c r="E18" s="115"/>
      <c r="F18" s="122" t="s">
        <v>414</v>
      </c>
      <c r="G18" s="90" t="s">
        <v>419</v>
      </c>
      <c r="H18" s="104"/>
      <c r="I18" s="360"/>
      <c r="J18" s="103"/>
      <c r="K18" s="386"/>
      <c r="L18" s="105"/>
      <c r="M18" s="362"/>
      <c r="N18" s="108"/>
      <c r="O18" s="369"/>
      <c r="P18" s="370"/>
      <c r="Q18" s="367"/>
      <c r="R18" s="366"/>
      <c r="S18" s="371"/>
      <c r="T18" s="90" t="s">
        <v>525</v>
      </c>
      <c r="U18" s="113" t="s">
        <v>442</v>
      </c>
      <c r="W18" s="11"/>
      <c r="X18" s="66" t="s">
        <v>78</v>
      </c>
      <c r="Y18" s="82">
        <v>14</v>
      </c>
    </row>
    <row r="19" spans="1:25" ht="15" customHeight="1">
      <c r="A19" s="354" t="s">
        <v>209</v>
      </c>
      <c r="B19" s="356" t="s">
        <v>400</v>
      </c>
      <c r="C19" t="s">
        <v>411</v>
      </c>
      <c r="D19" s="115"/>
      <c r="E19" s="115"/>
      <c r="F19" t="s">
        <v>488</v>
      </c>
      <c r="G19" s="46"/>
      <c r="H19" s="1" t="s">
        <v>421</v>
      </c>
      <c r="I19" s="43" t="s">
        <v>426</v>
      </c>
      <c r="J19" s="103" t="s">
        <v>428</v>
      </c>
      <c r="K19" s="387" t="s">
        <v>431</v>
      </c>
      <c r="L19" s="105"/>
      <c r="M19" s="362"/>
      <c r="N19" s="25"/>
      <c r="O19" s="369"/>
      <c r="P19" s="370"/>
      <c r="Q19" s="367"/>
      <c r="R19" s="366"/>
      <c r="S19" s="371"/>
      <c r="T19" s="114" t="s">
        <v>524</v>
      </c>
      <c r="U19" s="113" t="s">
        <v>444</v>
      </c>
      <c r="W19" s="11"/>
      <c r="X19" s="66" t="s">
        <v>78</v>
      </c>
      <c r="Y19" s="82">
        <v>15</v>
      </c>
    </row>
    <row r="20" spans="1:25" ht="15" customHeight="1">
      <c r="A20" s="354" t="s">
        <v>23</v>
      </c>
      <c r="B20" s="356" t="s">
        <v>401</v>
      </c>
      <c r="C20" t="s">
        <v>412</v>
      </c>
      <c r="D20" s="115"/>
      <c r="E20" s="115"/>
      <c r="F20" t="s">
        <v>415</v>
      </c>
      <c r="G20" s="122"/>
      <c r="H20" s="1" t="s">
        <v>489</v>
      </c>
      <c r="I20" s="43" t="s">
        <v>427</v>
      </c>
      <c r="J20" s="103" t="s">
        <v>428</v>
      </c>
      <c r="K20" s="387" t="s">
        <v>431</v>
      </c>
      <c r="M20" s="362"/>
      <c r="N20" s="25"/>
      <c r="O20" s="369"/>
      <c r="P20" s="370"/>
      <c r="Q20" s="367"/>
      <c r="R20" s="366"/>
      <c r="S20" s="371"/>
      <c r="T20" s="114" t="s">
        <v>524</v>
      </c>
      <c r="U20" s="113" t="s">
        <v>444</v>
      </c>
      <c r="W20" s="11"/>
      <c r="X20" s="66" t="s">
        <v>78</v>
      </c>
      <c r="Y20" s="82">
        <v>16</v>
      </c>
    </row>
    <row r="21" spans="1:25" ht="15" customHeight="1">
      <c r="A21" s="354" t="s">
        <v>24</v>
      </c>
      <c r="B21" s="356" t="s">
        <v>402</v>
      </c>
      <c r="C21" t="s">
        <v>412</v>
      </c>
      <c r="D21" s="115"/>
      <c r="E21" s="115"/>
      <c r="F21" t="s">
        <v>415</v>
      </c>
      <c r="G21" s="122"/>
      <c r="H21" s="1" t="s">
        <v>489</v>
      </c>
      <c r="I21" s="43" t="s">
        <v>427</v>
      </c>
      <c r="J21" s="103" t="s">
        <v>428</v>
      </c>
      <c r="K21" s="387" t="s">
        <v>431</v>
      </c>
      <c r="M21" s="362"/>
      <c r="N21" s="25"/>
      <c r="O21" s="369"/>
      <c r="P21" s="370"/>
      <c r="Q21" s="367"/>
      <c r="R21" s="366"/>
      <c r="S21" s="371"/>
      <c r="T21" s="114" t="s">
        <v>524</v>
      </c>
      <c r="U21" s="113" t="s">
        <v>444</v>
      </c>
      <c r="W21" s="11"/>
      <c r="X21" s="66" t="s">
        <v>78</v>
      </c>
      <c r="Y21" s="82">
        <v>17</v>
      </c>
    </row>
    <row r="22" spans="1:25" ht="15" customHeight="1">
      <c r="A22" s="79"/>
      <c r="T22" t="s">
        <v>198</v>
      </c>
    </row>
    <row r="23" spans="1:25" ht="15" customHeight="1">
      <c r="C23" t="s">
        <v>82</v>
      </c>
      <c r="N23" t="s">
        <v>164</v>
      </c>
      <c r="W23" s="12"/>
    </row>
    <row r="24" spans="1:25" ht="15" customHeight="1">
      <c r="C24" t="s">
        <v>83</v>
      </c>
      <c r="F24" t="s">
        <v>177</v>
      </c>
      <c r="G24" t="s">
        <v>177</v>
      </c>
      <c r="I24" t="s">
        <v>84</v>
      </c>
      <c r="L24" t="s">
        <v>179</v>
      </c>
      <c r="N24" t="s">
        <v>165</v>
      </c>
      <c r="P24" t="s">
        <v>85</v>
      </c>
      <c r="T24" t="s">
        <v>186</v>
      </c>
      <c r="W24" s="12"/>
    </row>
    <row r="25" spans="1:25" ht="15" customHeight="1">
      <c r="C25" t="s">
        <v>86</v>
      </c>
      <c r="D25" t="s">
        <v>87</v>
      </c>
      <c r="E25" t="s">
        <v>87</v>
      </c>
      <c r="N25" t="s">
        <v>166</v>
      </c>
      <c r="T25" t="s">
        <v>187</v>
      </c>
    </row>
    <row r="26" spans="1:25" ht="15" customHeight="1">
      <c r="B26" s="12" t="s">
        <v>88</v>
      </c>
      <c r="F26" s="36" t="s">
        <v>89</v>
      </c>
      <c r="K26" s="388" t="s">
        <v>199</v>
      </c>
    </row>
    <row r="27" spans="1:25" ht="15" customHeight="1">
      <c r="C27" t="s">
        <v>90</v>
      </c>
      <c r="D27" s="18" t="s">
        <v>91</v>
      </c>
      <c r="E27" s="18" t="s">
        <v>91</v>
      </c>
      <c r="G27" s="18" t="s">
        <v>91</v>
      </c>
      <c r="H27" s="18" t="s">
        <v>91</v>
      </c>
      <c r="I27" s="18" t="s">
        <v>174</v>
      </c>
      <c r="N27" s="12" t="s">
        <v>91</v>
      </c>
    </row>
    <row r="28" spans="1:25" ht="15" customHeight="1">
      <c r="C28" t="s">
        <v>92</v>
      </c>
    </row>
    <row r="29" spans="1:25" ht="15" customHeight="1">
      <c r="C29" t="s">
        <v>93</v>
      </c>
      <c r="Q29"/>
    </row>
    <row r="31" spans="1:25" ht="15" customHeight="1">
      <c r="B31" s="81"/>
    </row>
    <row r="44" spans="20:20" ht="15" customHeight="1">
      <c r="T44" t="s">
        <v>188</v>
      </c>
    </row>
    <row r="45" spans="20:20" ht="15" customHeight="1">
      <c r="T45" t="s">
        <v>189</v>
      </c>
    </row>
    <row r="46" spans="20:20" ht="15" customHeight="1">
      <c r="T46" t="s">
        <v>190</v>
      </c>
    </row>
    <row r="47" spans="20:20" ht="15" customHeight="1">
      <c r="T47" t="s">
        <v>191</v>
      </c>
    </row>
    <row r="48" spans="20:20" ht="15" customHeight="1">
      <c r="T48" t="s">
        <v>193</v>
      </c>
    </row>
    <row r="49" spans="20:20" ht="15" customHeight="1">
      <c r="T49" t="s">
        <v>194</v>
      </c>
    </row>
    <row r="50" spans="20:20" ht="15" customHeight="1">
      <c r="T50" t="s">
        <v>192</v>
      </c>
    </row>
    <row r="51" spans="20:20" ht="15" customHeight="1">
      <c r="T51" t="s">
        <v>195</v>
      </c>
    </row>
    <row r="52" spans="20:20" ht="15" customHeight="1">
      <c r="T52" t="s">
        <v>196</v>
      </c>
    </row>
  </sheetData>
  <sortState xmlns:xlrd2="http://schemas.microsoft.com/office/spreadsheetml/2017/richdata2" ref="A5:Z21">
    <sortCondition ref="B5:B21"/>
  </sortState>
  <mergeCells count="4">
    <mergeCell ref="C1:E1"/>
    <mergeCell ref="J1:N1"/>
    <mergeCell ref="T1:U1"/>
    <mergeCell ref="G1:H1"/>
  </mergeCells>
  <phoneticPr fontId="21" type="noConversion"/>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DF62C2-FA69-F245-8FA6-02C3C17F9FB0}">
          <x14:formula1>
            <xm:f>qualitativeGewichte!$A$2:$A$9</xm:f>
          </x14:formula1>
          <xm:sqref>C3:I3 K3:U3</xm:sqref>
        </x14:dataValidation>
        <x14:dataValidation type="list" allowBlank="1" showInputMessage="1" showErrorMessage="1" xr:uid="{EA29DDE2-048F-A74C-AAC4-FD0EF1747E86}">
          <x14:formula1>
            <xm:f>qualitativeGewichte!$C$2:$C$9</xm:f>
          </x14:formula1>
          <xm:sqref>J3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82610-0A34-9240-92D8-6C1AA797EDE0}">
  <sheetPr codeName="Tabelle10"/>
  <dimension ref="A1:M2"/>
  <sheetViews>
    <sheetView workbookViewId="0">
      <selection activeCell="B2" sqref="B2"/>
    </sheetView>
  </sheetViews>
  <sheetFormatPr baseColWidth="10" defaultRowHeight="12.5"/>
  <cols>
    <col min="1" max="1" width="14.453125" customWidth="1"/>
  </cols>
  <sheetData>
    <row r="1" spans="1:13" ht="13">
      <c r="A1" s="36" t="s">
        <v>182</v>
      </c>
      <c r="B1" t="s">
        <v>333</v>
      </c>
    </row>
    <row r="2" spans="1:13" ht="13">
      <c r="A2" s="36" t="s">
        <v>181</v>
      </c>
      <c r="B2" s="94">
        <v>45023</v>
      </c>
      <c r="C2" s="94">
        <v>45026</v>
      </c>
      <c r="D2" s="94"/>
      <c r="E2" s="94"/>
      <c r="F2" s="94"/>
      <c r="G2" s="94"/>
      <c r="H2" s="94"/>
      <c r="I2" s="94"/>
      <c r="J2" s="94"/>
      <c r="K2" s="94"/>
      <c r="L2" s="94"/>
      <c r="M2" s="94"/>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45DC-767B-D642-8CAF-8BEAD6EAC972}">
  <sheetPr codeName="Tabelle6"/>
  <dimension ref="A1:BE41"/>
  <sheetViews>
    <sheetView zoomScale="115" zoomScaleNormal="115" workbookViewId="0">
      <pane xSplit="2" ySplit="4" topLeftCell="J5" activePane="bottomRight" state="frozen"/>
      <selection pane="topRight" activeCell="C1" sqref="C1"/>
      <selection pane="bottomLeft" activeCell="A5" sqref="A5"/>
      <selection pane="bottomRight" activeCell="U9" sqref="U9:AA9"/>
    </sheetView>
  </sheetViews>
  <sheetFormatPr baseColWidth="10" defaultColWidth="11.453125" defaultRowHeight="12.5"/>
  <cols>
    <col min="2" max="2" width="19.36328125" customWidth="1"/>
    <col min="3" max="3" width="6.81640625" customWidth="1"/>
    <col min="4" max="18" width="6.1796875" customWidth="1"/>
    <col min="19" max="19" width="7.1796875" customWidth="1"/>
    <col min="20" max="45" width="6.1796875" customWidth="1"/>
    <col min="46" max="47" width="5.81640625" customWidth="1"/>
    <col min="48" max="48" width="11.6328125" customWidth="1"/>
    <col min="49" max="49" width="10" customWidth="1"/>
    <col min="50" max="50" width="31.36328125" customWidth="1"/>
    <col min="51" max="51" width="11.6328125" customWidth="1"/>
    <col min="52" max="52" width="15.453125" customWidth="1"/>
    <col min="53" max="53" width="11" customWidth="1"/>
    <col min="54" max="54" width="13.453125" customWidth="1"/>
    <col min="55" max="55" width="10" customWidth="1"/>
    <col min="56" max="57" width="6" customWidth="1"/>
  </cols>
  <sheetData>
    <row r="1" spans="1:57" ht="13">
      <c r="A1" s="3" t="s">
        <v>94</v>
      </c>
      <c r="B1" s="9"/>
      <c r="C1" s="4"/>
      <c r="D1" s="28" t="s">
        <v>95</v>
      </c>
      <c r="E1" s="28"/>
      <c r="F1" s="489">
        <v>45017</v>
      </c>
      <c r="G1" s="490"/>
      <c r="H1" t="s">
        <v>96</v>
      </c>
      <c r="L1" s="18" t="s">
        <v>97</v>
      </c>
      <c r="M1" s="18"/>
      <c r="N1" s="69">
        <v>7</v>
      </c>
      <c r="O1" s="70" t="s">
        <v>98</v>
      </c>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82" t="s">
        <v>210</v>
      </c>
      <c r="AU1" s="70"/>
      <c r="AV1" s="63" t="s">
        <v>168</v>
      </c>
      <c r="AW1" s="61">
        <v>30</v>
      </c>
      <c r="AX1" s="76" t="s">
        <v>99</v>
      </c>
      <c r="AY1" s="70"/>
      <c r="AZ1" s="70"/>
      <c r="BA1" s="70"/>
      <c r="BB1" s="75"/>
      <c r="BC1" s="70"/>
      <c r="BD1" s="70"/>
      <c r="BE1" s="70"/>
    </row>
    <row r="2" spans="1:57" ht="13.5" thickBot="1">
      <c r="A2" s="7" t="s">
        <v>100</v>
      </c>
      <c r="B2" s="10"/>
      <c r="C2" s="19"/>
      <c r="D2" s="4" t="s">
        <v>101</v>
      </c>
      <c r="E2" s="18"/>
      <c r="F2" s="489">
        <v>45047</v>
      </c>
      <c r="G2" s="490"/>
      <c r="H2" t="s">
        <v>102</v>
      </c>
      <c r="L2" s="18" t="s">
        <v>103</v>
      </c>
      <c r="M2" s="18"/>
      <c r="N2" s="70"/>
      <c r="O2" s="70"/>
      <c r="P2" s="70"/>
      <c r="Q2" s="70"/>
      <c r="R2" s="70"/>
      <c r="S2" s="70"/>
      <c r="T2" s="70"/>
      <c r="U2" s="70"/>
      <c r="V2" s="70"/>
      <c r="W2" s="70"/>
      <c r="X2" s="70"/>
      <c r="Y2" s="70"/>
      <c r="Z2" s="70"/>
      <c r="AA2" s="70"/>
      <c r="AB2" s="70"/>
      <c r="AC2" s="70"/>
      <c r="AD2" s="70"/>
      <c r="AE2" s="70"/>
      <c r="AF2" s="70"/>
      <c r="AG2" s="70"/>
      <c r="AH2" s="70"/>
      <c r="AI2" s="70"/>
      <c r="AJ2" s="70"/>
      <c r="AK2" s="70"/>
      <c r="AL2" s="70"/>
      <c r="AM2" s="70"/>
      <c r="AN2" s="70"/>
      <c r="AO2" s="70"/>
      <c r="AP2" s="70"/>
      <c r="AQ2" s="70"/>
      <c r="AR2" s="70"/>
      <c r="AS2" s="70"/>
      <c r="AT2" s="70"/>
      <c r="AU2" s="70"/>
      <c r="AV2" s="64" t="s">
        <v>169</v>
      </c>
      <c r="AW2" s="62">
        <v>12</v>
      </c>
      <c r="AX2" s="60" t="s">
        <v>454</v>
      </c>
      <c r="AY2" s="70"/>
      <c r="AZ2" s="70"/>
      <c r="BA2" s="70"/>
      <c r="BB2" s="55" t="s">
        <v>104</v>
      </c>
    </row>
    <row r="3" spans="1:57" ht="13">
      <c r="A3" s="7"/>
      <c r="B3" s="19"/>
      <c r="C3" s="19"/>
      <c r="D3" s="413" t="str">
        <f>LEFT(TEXT(WEEKDAY(D4),"TTTT"),2)</f>
        <v>Sa</v>
      </c>
      <c r="E3" s="414" t="str">
        <f t="shared" ref="E3:AS3" si="0">LEFT(TEXT(WEEKDAY(E4),"TTTT"),2)</f>
        <v>So</v>
      </c>
      <c r="F3" s="414" t="str">
        <f t="shared" si="0"/>
        <v>Mo</v>
      </c>
      <c r="G3" s="414" t="str">
        <f t="shared" si="0"/>
        <v>Di</v>
      </c>
      <c r="H3" s="414" t="str">
        <f t="shared" si="0"/>
        <v>Mi</v>
      </c>
      <c r="I3" s="414" t="str">
        <f t="shared" si="0"/>
        <v>Do</v>
      </c>
      <c r="J3" s="415" t="str">
        <f t="shared" si="0"/>
        <v>Fr</v>
      </c>
      <c r="K3" s="414" t="str">
        <f t="shared" si="0"/>
        <v>Sa</v>
      </c>
      <c r="L3" s="414" t="str">
        <f t="shared" si="0"/>
        <v>So</v>
      </c>
      <c r="M3" s="414" t="str">
        <f t="shared" si="0"/>
        <v>Mo</v>
      </c>
      <c r="N3" s="414" t="str">
        <f t="shared" si="0"/>
        <v>Di</v>
      </c>
      <c r="O3" s="414" t="str">
        <f t="shared" si="0"/>
        <v>Mi</v>
      </c>
      <c r="P3" s="414" t="str">
        <f t="shared" si="0"/>
        <v>Do</v>
      </c>
      <c r="Q3" s="414" t="s">
        <v>142</v>
      </c>
      <c r="R3" s="414" t="str">
        <f t="shared" si="0"/>
        <v>Sa</v>
      </c>
      <c r="S3" s="414" t="str">
        <f t="shared" si="0"/>
        <v>So</v>
      </c>
      <c r="T3" s="414" t="str">
        <f t="shared" si="0"/>
        <v>Mo</v>
      </c>
      <c r="U3" s="414" t="str">
        <f t="shared" si="0"/>
        <v>Di</v>
      </c>
      <c r="V3" s="414" t="str">
        <f t="shared" si="0"/>
        <v>Mi</v>
      </c>
      <c r="W3" s="414" t="str">
        <f t="shared" si="0"/>
        <v>Do</v>
      </c>
      <c r="X3" s="414" t="str">
        <f t="shared" si="0"/>
        <v>Fr</v>
      </c>
      <c r="Y3" s="414" t="str">
        <f t="shared" si="0"/>
        <v>Sa</v>
      </c>
      <c r="Z3" s="414" t="str">
        <f t="shared" si="0"/>
        <v>So</v>
      </c>
      <c r="AA3" s="414" t="str">
        <f t="shared" si="0"/>
        <v>Mo</v>
      </c>
      <c r="AB3" s="414" t="str">
        <f t="shared" si="0"/>
        <v>Di</v>
      </c>
      <c r="AC3" s="414" t="str">
        <f t="shared" si="0"/>
        <v>Mi</v>
      </c>
      <c r="AD3" s="414" t="str">
        <f t="shared" si="0"/>
        <v>Do</v>
      </c>
      <c r="AE3" s="414" t="str">
        <f t="shared" si="0"/>
        <v>Fr</v>
      </c>
      <c r="AF3" s="414" t="str">
        <f t="shared" si="0"/>
        <v>Sa</v>
      </c>
      <c r="AG3" s="414" t="str">
        <f t="shared" si="0"/>
        <v>So</v>
      </c>
      <c r="AH3" s="414" t="str">
        <f t="shared" si="0"/>
        <v>Mo</v>
      </c>
      <c r="AI3" s="414" t="str">
        <f t="shared" si="0"/>
        <v>Di</v>
      </c>
      <c r="AJ3" s="414" t="str">
        <f t="shared" si="0"/>
        <v>Mi</v>
      </c>
      <c r="AK3" s="414" t="str">
        <f t="shared" si="0"/>
        <v>Do</v>
      </c>
      <c r="AL3" s="414" t="str">
        <f t="shared" si="0"/>
        <v>Fr</v>
      </c>
      <c r="AM3" s="414" t="str">
        <f t="shared" si="0"/>
        <v>Sa</v>
      </c>
      <c r="AN3" s="415" t="str">
        <f t="shared" si="0"/>
        <v>So</v>
      </c>
      <c r="AO3" s="29" t="str">
        <f t="shared" si="0"/>
        <v>Mo</v>
      </c>
      <c r="AP3" s="29" t="str">
        <f t="shared" si="0"/>
        <v>Di</v>
      </c>
      <c r="AQ3" s="29" t="str">
        <f t="shared" si="0"/>
        <v>Mi</v>
      </c>
      <c r="AR3" s="29" t="str">
        <f t="shared" si="0"/>
        <v>Do</v>
      </c>
      <c r="AS3" s="30" t="str">
        <f t="shared" si="0"/>
        <v>Fr</v>
      </c>
      <c r="AT3" s="70"/>
      <c r="AU3" s="70"/>
      <c r="AV3" s="18"/>
      <c r="AW3" s="77" t="s">
        <v>105</v>
      </c>
      <c r="AX3" s="60" t="s">
        <v>106</v>
      </c>
      <c r="AY3" s="110" t="s">
        <v>197</v>
      </c>
      <c r="AZ3" s="33" t="s">
        <v>107</v>
      </c>
      <c r="BA3" s="70"/>
      <c r="BB3" s="56"/>
      <c r="BC3" s="56"/>
      <c r="BD3" s="56"/>
    </row>
    <row r="4" spans="1:57" ht="13">
      <c r="A4" s="7" t="s">
        <v>0</v>
      </c>
      <c r="B4" s="19" t="s">
        <v>5</v>
      </c>
      <c r="C4" s="19" t="s">
        <v>108</v>
      </c>
      <c r="D4" s="450">
        <f>$F$1-N1</f>
        <v>45010</v>
      </c>
      <c r="E4" s="31">
        <f>IF(D4+1&gt;=$F$2,"",D4+1)</f>
        <v>45011</v>
      </c>
      <c r="F4" s="31">
        <f t="shared" ref="F4:AN4" si="1">E4+1</f>
        <v>45012</v>
      </c>
      <c r="G4" s="31">
        <f t="shared" si="1"/>
        <v>45013</v>
      </c>
      <c r="H4" s="89">
        <f t="shared" si="1"/>
        <v>45014</v>
      </c>
      <c r="I4" s="89">
        <f t="shared" si="1"/>
        <v>45015</v>
      </c>
      <c r="J4" s="457">
        <f t="shared" si="1"/>
        <v>45016</v>
      </c>
      <c r="K4" s="89">
        <f t="shared" si="1"/>
        <v>45017</v>
      </c>
      <c r="L4" s="31">
        <f t="shared" si="1"/>
        <v>45018</v>
      </c>
      <c r="M4" s="31">
        <f t="shared" si="1"/>
        <v>45019</v>
      </c>
      <c r="N4" s="31">
        <f t="shared" si="1"/>
        <v>45020</v>
      </c>
      <c r="O4" s="31">
        <f t="shared" si="1"/>
        <v>45021</v>
      </c>
      <c r="P4" s="31">
        <f t="shared" si="1"/>
        <v>45022</v>
      </c>
      <c r="Q4" s="389">
        <f t="shared" si="1"/>
        <v>45023</v>
      </c>
      <c r="R4" s="390">
        <f t="shared" si="1"/>
        <v>45024</v>
      </c>
      <c r="S4" s="390">
        <f t="shared" si="1"/>
        <v>45025</v>
      </c>
      <c r="T4" s="389">
        <f t="shared" si="1"/>
        <v>45026</v>
      </c>
      <c r="U4" s="31">
        <f t="shared" si="1"/>
        <v>45027</v>
      </c>
      <c r="V4" s="31">
        <f t="shared" si="1"/>
        <v>45028</v>
      </c>
      <c r="W4" s="31">
        <f t="shared" si="1"/>
        <v>45029</v>
      </c>
      <c r="X4" s="31">
        <f t="shared" si="1"/>
        <v>45030</v>
      </c>
      <c r="Y4" s="31">
        <f t="shared" si="1"/>
        <v>45031</v>
      </c>
      <c r="Z4" s="31">
        <f t="shared" si="1"/>
        <v>45032</v>
      </c>
      <c r="AA4" s="31">
        <f t="shared" si="1"/>
        <v>45033</v>
      </c>
      <c r="AB4" s="31">
        <f t="shared" si="1"/>
        <v>45034</v>
      </c>
      <c r="AC4" s="31">
        <f t="shared" si="1"/>
        <v>45035</v>
      </c>
      <c r="AD4" s="31">
        <f t="shared" si="1"/>
        <v>45036</v>
      </c>
      <c r="AE4" s="31">
        <f t="shared" si="1"/>
        <v>45037</v>
      </c>
      <c r="AF4" s="31">
        <f t="shared" si="1"/>
        <v>45038</v>
      </c>
      <c r="AG4" s="31">
        <f t="shared" si="1"/>
        <v>45039</v>
      </c>
      <c r="AH4" s="31">
        <f t="shared" si="1"/>
        <v>45040</v>
      </c>
      <c r="AI4" s="31">
        <f t="shared" si="1"/>
        <v>45041</v>
      </c>
      <c r="AJ4" s="31">
        <f t="shared" si="1"/>
        <v>45042</v>
      </c>
      <c r="AK4" s="31">
        <f t="shared" si="1"/>
        <v>45043</v>
      </c>
      <c r="AL4" s="31">
        <f t="shared" si="1"/>
        <v>45044</v>
      </c>
      <c r="AM4" s="31">
        <f t="shared" si="1"/>
        <v>45045</v>
      </c>
      <c r="AN4" s="416">
        <f t="shared" si="1"/>
        <v>45046</v>
      </c>
      <c r="AO4" s="31">
        <f t="shared" ref="AO4" si="2">AN4+1</f>
        <v>45047</v>
      </c>
      <c r="AP4" s="31">
        <f t="shared" ref="AP4" si="3">AO4+1</f>
        <v>45048</v>
      </c>
      <c r="AQ4" s="31">
        <f t="shared" ref="AQ4" si="4">AP4+1</f>
        <v>45049</v>
      </c>
      <c r="AR4" s="31">
        <f t="shared" ref="AR4" si="5">AQ4+1</f>
        <v>45050</v>
      </c>
      <c r="AS4" s="32">
        <f t="shared" ref="AS4" si="6">AR4+1</f>
        <v>45051</v>
      </c>
      <c r="AT4" s="70"/>
      <c r="AU4" s="70"/>
      <c r="AV4" s="59" t="s">
        <v>109</v>
      </c>
      <c r="AW4" s="59" t="s">
        <v>110</v>
      </c>
      <c r="AX4" s="34" t="s">
        <v>111</v>
      </c>
      <c r="AY4" s="111" t="s">
        <v>112</v>
      </c>
      <c r="AZ4" s="34" t="s">
        <v>113</v>
      </c>
      <c r="BA4" s="74" t="s">
        <v>114</v>
      </c>
      <c r="BB4" s="58"/>
      <c r="BC4" s="58"/>
      <c r="BD4" s="58"/>
    </row>
    <row r="5" spans="1:57">
      <c r="A5" s="78" t="s">
        <v>9</v>
      </c>
      <c r="B5" s="351" t="s">
        <v>386</v>
      </c>
      <c r="C5" s="448" t="s">
        <v>200</v>
      </c>
      <c r="D5" s="394"/>
      <c r="E5" s="395" t="s">
        <v>475</v>
      </c>
      <c r="F5" s="395" t="s">
        <v>223</v>
      </c>
      <c r="G5" s="399" t="s">
        <v>223</v>
      </c>
      <c r="H5" s="401"/>
      <c r="I5" s="401" t="s">
        <v>476</v>
      </c>
      <c r="J5" s="458" t="s">
        <v>223</v>
      </c>
      <c r="K5" s="405" t="s">
        <v>185</v>
      </c>
      <c r="L5" s="405" t="s">
        <v>185</v>
      </c>
      <c r="M5" s="399"/>
      <c r="N5" s="399"/>
      <c r="O5" s="399"/>
      <c r="P5" s="395" t="s">
        <v>436</v>
      </c>
      <c r="Q5" s="401" t="s">
        <v>62</v>
      </c>
      <c r="R5" s="401" t="s">
        <v>62</v>
      </c>
      <c r="S5" s="401" t="s">
        <v>62</v>
      </c>
      <c r="T5" s="401" t="s">
        <v>62</v>
      </c>
      <c r="U5" s="399" t="s">
        <v>62</v>
      </c>
      <c r="V5" s="399" t="s">
        <v>62</v>
      </c>
      <c r="W5" s="399" t="s">
        <v>62</v>
      </c>
      <c r="X5" s="399" t="s">
        <v>62</v>
      </c>
      <c r="Y5" s="399" t="s">
        <v>62</v>
      </c>
      <c r="Z5" s="399" t="s">
        <v>115</v>
      </c>
      <c r="AA5" s="399"/>
      <c r="AB5" s="399"/>
      <c r="AC5" s="399"/>
      <c r="AD5" s="399"/>
      <c r="AE5" s="399"/>
      <c r="AF5" s="405" t="s">
        <v>185</v>
      </c>
      <c r="AG5" s="405" t="s">
        <v>185</v>
      </c>
      <c r="AH5" s="399"/>
      <c r="AI5" s="399"/>
      <c r="AJ5" s="399"/>
      <c r="AK5" s="399"/>
      <c r="AL5" s="399"/>
      <c r="AM5" s="405" t="s">
        <v>185</v>
      </c>
      <c r="AN5" s="417" t="s">
        <v>185</v>
      </c>
      <c r="AO5" s="399"/>
      <c r="AP5" s="399"/>
      <c r="AQ5" s="399"/>
      <c r="AR5" s="399"/>
      <c r="AS5" s="87"/>
      <c r="AT5" s="82">
        <v>1</v>
      </c>
      <c r="AU5" s="70"/>
      <c r="AV5" s="118">
        <v>-8</v>
      </c>
      <c r="AW5" s="57">
        <f>ROUND((AW$1-AW$2)*(_xlfn.XLOOKUP(A5,'ma-basisdaten'!$A$3:$A$22,'ma-basisdaten'!$C$3:$C$22)*8.4)/100,0)</f>
        <v>106</v>
      </c>
      <c r="AX5" s="93"/>
      <c r="AY5" s="375">
        <v>1</v>
      </c>
      <c r="AZ5" s="375">
        <v>1</v>
      </c>
      <c r="BA5" s="70"/>
      <c r="BB5" s="109"/>
      <c r="BC5" s="109"/>
      <c r="BD5" s="109"/>
    </row>
    <row r="6" spans="1:57">
      <c r="A6" s="79" t="s">
        <v>10</v>
      </c>
      <c r="B6" s="352" t="s">
        <v>387</v>
      </c>
      <c r="C6" s="46" t="s">
        <v>200</v>
      </c>
      <c r="D6" s="394"/>
      <c r="E6" s="395" t="s">
        <v>232</v>
      </c>
      <c r="F6" s="399" t="s">
        <v>239</v>
      </c>
      <c r="G6" s="399" t="s">
        <v>205</v>
      </c>
      <c r="H6" s="401" t="s">
        <v>468</v>
      </c>
      <c r="I6" s="401"/>
      <c r="J6" s="458" t="s">
        <v>205</v>
      </c>
      <c r="K6" s="399"/>
      <c r="L6" s="399"/>
      <c r="M6" s="399"/>
      <c r="N6" s="399"/>
      <c r="O6" s="399"/>
      <c r="P6" s="399"/>
      <c r="Q6" s="402" t="s">
        <v>185</v>
      </c>
      <c r="R6" s="402" t="s">
        <v>185</v>
      </c>
      <c r="S6" s="402" t="s">
        <v>185</v>
      </c>
      <c r="T6" s="402" t="s">
        <v>185</v>
      </c>
      <c r="U6" s="399"/>
      <c r="V6" s="399"/>
      <c r="W6" s="399"/>
      <c r="X6" s="395"/>
      <c r="Y6" s="405" t="s">
        <v>185</v>
      </c>
      <c r="Z6" s="405" t="s">
        <v>185</v>
      </c>
      <c r="AA6" s="399"/>
      <c r="AB6" s="399"/>
      <c r="AC6" s="399"/>
      <c r="AD6" s="399"/>
      <c r="AE6" s="399"/>
      <c r="AF6" s="399"/>
      <c r="AG6" s="399"/>
      <c r="AH6" s="399"/>
      <c r="AI6" s="399"/>
      <c r="AJ6" s="399"/>
      <c r="AK6" s="399"/>
      <c r="AL6" s="399"/>
      <c r="AM6" s="405" t="s">
        <v>185</v>
      </c>
      <c r="AN6" s="417" t="s">
        <v>185</v>
      </c>
      <c r="AO6" s="399"/>
      <c r="AP6" s="399"/>
      <c r="AQ6" s="399"/>
      <c r="AR6" s="399"/>
      <c r="AS6" s="87"/>
      <c r="AT6" s="82">
        <v>2</v>
      </c>
      <c r="AU6" s="70"/>
      <c r="AV6" s="119">
        <v>-27</v>
      </c>
      <c r="AW6" s="20">
        <f>ROUND((AW$1-AW$2)*(_xlfn.XLOOKUP(A6,'ma-basisdaten'!$A$3:$A$22,'ma-basisdaten'!$C$3:$C$22)*8.4)/100,0)</f>
        <v>136</v>
      </c>
      <c r="AX6" s="93" t="s">
        <v>452</v>
      </c>
      <c r="AY6" s="376">
        <v>2</v>
      </c>
      <c r="AZ6" s="376">
        <v>1</v>
      </c>
      <c r="BA6" s="70"/>
      <c r="BB6" s="109"/>
      <c r="BC6" s="109"/>
      <c r="BD6" s="109"/>
    </row>
    <row r="7" spans="1:57">
      <c r="A7" s="79" t="s">
        <v>11</v>
      </c>
      <c r="B7" s="352" t="s">
        <v>388</v>
      </c>
      <c r="C7" s="46" t="s">
        <v>203</v>
      </c>
      <c r="D7" s="451" t="s">
        <v>227</v>
      </c>
      <c r="E7" s="401" t="s">
        <v>205</v>
      </c>
      <c r="F7" s="395"/>
      <c r="G7" s="395"/>
      <c r="H7" s="401" t="s">
        <v>205</v>
      </c>
      <c r="I7" s="401" t="s">
        <v>232</v>
      </c>
      <c r="J7" s="458" t="s">
        <v>232</v>
      </c>
      <c r="K7" s="395"/>
      <c r="L7" s="399"/>
      <c r="M7" s="399" t="s">
        <v>205</v>
      </c>
      <c r="N7" s="400" t="s">
        <v>185</v>
      </c>
      <c r="O7" s="399"/>
      <c r="P7" s="399"/>
      <c r="Q7" s="403" t="s">
        <v>232</v>
      </c>
      <c r="R7" s="403" t="s">
        <v>232</v>
      </c>
      <c r="S7" s="403" t="s">
        <v>205</v>
      </c>
      <c r="T7" s="403" t="s">
        <v>205</v>
      </c>
      <c r="U7" s="400" t="s">
        <v>185</v>
      </c>
      <c r="V7" s="406"/>
      <c r="W7" s="406"/>
      <c r="X7" s="399"/>
      <c r="Y7" s="399"/>
      <c r="Z7" s="399"/>
      <c r="AA7" s="399"/>
      <c r="AB7" s="400" t="s">
        <v>185</v>
      </c>
      <c r="AC7" s="406"/>
      <c r="AD7" s="406"/>
      <c r="AE7" s="406"/>
      <c r="AF7" s="399"/>
      <c r="AG7" s="399"/>
      <c r="AH7" s="399"/>
      <c r="AI7" s="400" t="s">
        <v>185</v>
      </c>
      <c r="AJ7" s="395" t="s">
        <v>472</v>
      </c>
      <c r="AK7" s="406"/>
      <c r="AL7" s="406"/>
      <c r="AM7" s="399"/>
      <c r="AN7" s="418"/>
      <c r="AO7" s="399"/>
      <c r="AP7" s="422"/>
      <c r="AQ7" s="422"/>
      <c r="AR7" s="399"/>
      <c r="AS7" s="87"/>
      <c r="AT7" s="82">
        <v>3</v>
      </c>
      <c r="AU7" s="70"/>
      <c r="AV7" s="119">
        <v>-27</v>
      </c>
      <c r="AW7" s="20">
        <f>ROUND((AW$1-AW$2)*(_xlfn.XLOOKUP(A7,'ma-basisdaten'!$A$3:$A$22,'ma-basisdaten'!$C$3:$C$22)*8.4)/100,0)</f>
        <v>121</v>
      </c>
      <c r="AX7" s="93" t="s">
        <v>453</v>
      </c>
      <c r="AY7" s="376">
        <v>2</v>
      </c>
      <c r="AZ7" s="376">
        <v>2</v>
      </c>
      <c r="BA7" s="70"/>
      <c r="BB7" s="109"/>
      <c r="BC7" s="109"/>
      <c r="BD7" s="109"/>
    </row>
    <row r="8" spans="1:57">
      <c r="A8" s="79" t="s">
        <v>12</v>
      </c>
      <c r="B8" s="352" t="s">
        <v>389</v>
      </c>
      <c r="C8" s="46" t="s">
        <v>203</v>
      </c>
      <c r="D8" s="394"/>
      <c r="E8" s="395"/>
      <c r="F8" s="395" t="s">
        <v>205</v>
      </c>
      <c r="G8" s="395" t="s">
        <v>239</v>
      </c>
      <c r="H8" s="402" t="s">
        <v>239</v>
      </c>
      <c r="I8" s="402" t="s">
        <v>205</v>
      </c>
      <c r="J8" s="459"/>
      <c r="K8" s="395" t="s">
        <v>437</v>
      </c>
      <c r="L8" s="395" t="s">
        <v>62</v>
      </c>
      <c r="M8" s="395" t="s">
        <v>62</v>
      </c>
      <c r="N8" s="395" t="s">
        <v>62</v>
      </c>
      <c r="O8" s="395" t="s">
        <v>62</v>
      </c>
      <c r="P8" s="395" t="s">
        <v>62</v>
      </c>
      <c r="Q8" s="402" t="s">
        <v>62</v>
      </c>
      <c r="R8" s="402" t="s">
        <v>62</v>
      </c>
      <c r="S8" s="402" t="s">
        <v>62</v>
      </c>
      <c r="T8" s="401" t="s">
        <v>115</v>
      </c>
      <c r="U8" s="399"/>
      <c r="V8" s="399"/>
      <c r="W8" s="399"/>
      <c r="X8" s="399"/>
      <c r="Y8" s="399"/>
      <c r="Z8" s="399"/>
      <c r="AA8" s="399"/>
      <c r="AB8" s="399"/>
      <c r="AC8" s="399"/>
      <c r="AD8" s="399"/>
      <c r="AE8" s="399"/>
      <c r="AF8" s="399"/>
      <c r="AG8" s="399"/>
      <c r="AH8" s="399"/>
      <c r="AI8" s="399"/>
      <c r="AJ8" s="399"/>
      <c r="AK8" s="399"/>
      <c r="AL8" s="399"/>
      <c r="AM8" s="399"/>
      <c r="AN8" s="418"/>
      <c r="AO8" s="399"/>
      <c r="AP8" s="399"/>
      <c r="AQ8" s="399"/>
      <c r="AR8" s="399"/>
      <c r="AS8" s="87"/>
      <c r="AT8" s="82">
        <v>4</v>
      </c>
      <c r="AU8" s="70"/>
      <c r="AV8" s="119">
        <v>-29</v>
      </c>
      <c r="AW8" s="20">
        <f>ROUND((AW$1-AW$2)*(_xlfn.XLOOKUP(A8,'ma-basisdaten'!$A$3:$A$22,'ma-basisdaten'!$C$3:$C$22)*8.4)/100,0)</f>
        <v>136</v>
      </c>
      <c r="AX8" s="93" t="s">
        <v>510</v>
      </c>
      <c r="AY8" s="376">
        <v>2</v>
      </c>
      <c r="AZ8" s="376">
        <v>0</v>
      </c>
      <c r="BA8" s="70"/>
      <c r="BB8" s="109"/>
      <c r="BC8" s="109"/>
      <c r="BD8" s="109"/>
    </row>
    <row r="9" spans="1:57">
      <c r="A9" s="79" t="s">
        <v>13</v>
      </c>
      <c r="B9" s="352" t="s">
        <v>390</v>
      </c>
      <c r="C9" s="46" t="s">
        <v>203</v>
      </c>
      <c r="D9" s="394"/>
      <c r="E9" s="395"/>
      <c r="F9" s="395"/>
      <c r="G9" s="395"/>
      <c r="H9" s="402"/>
      <c r="I9" s="402"/>
      <c r="J9" s="459"/>
      <c r="K9" s="456"/>
      <c r="L9" s="399"/>
      <c r="M9" s="400" t="s">
        <v>185</v>
      </c>
      <c r="N9" s="419" t="s">
        <v>185</v>
      </c>
      <c r="O9" s="419" t="s">
        <v>185</v>
      </c>
      <c r="P9" s="419" t="s">
        <v>185</v>
      </c>
      <c r="Q9" s="403" t="s">
        <v>205</v>
      </c>
      <c r="R9" s="403" t="s">
        <v>205</v>
      </c>
      <c r="S9" s="404" t="s">
        <v>232</v>
      </c>
      <c r="T9" s="403" t="s">
        <v>232</v>
      </c>
      <c r="U9" s="419" t="s">
        <v>185</v>
      </c>
      <c r="V9" s="419" t="s">
        <v>185</v>
      </c>
      <c r="W9" s="419" t="s">
        <v>185</v>
      </c>
      <c r="X9" s="419" t="s">
        <v>185</v>
      </c>
      <c r="Y9" s="419" t="s">
        <v>185</v>
      </c>
      <c r="Z9" s="419" t="s">
        <v>185</v>
      </c>
      <c r="AA9" s="400" t="s">
        <v>185</v>
      </c>
      <c r="AB9" s="399"/>
      <c r="AC9" s="399"/>
      <c r="AD9" s="399"/>
      <c r="AE9" s="399"/>
      <c r="AF9" s="399"/>
      <c r="AG9" s="399"/>
      <c r="AH9" s="400" t="s">
        <v>185</v>
      </c>
      <c r="AI9" s="399"/>
      <c r="AJ9" s="399"/>
      <c r="AK9" s="399"/>
      <c r="AL9" s="399"/>
      <c r="AM9" s="399"/>
      <c r="AN9" s="418"/>
      <c r="AO9" s="399"/>
      <c r="AP9" s="399"/>
      <c r="AQ9" s="399"/>
      <c r="AR9" s="399"/>
      <c r="AS9" s="87"/>
      <c r="AT9" s="82">
        <v>5</v>
      </c>
      <c r="AU9" s="70"/>
      <c r="AV9" s="119">
        <v>-19</v>
      </c>
      <c r="AW9" s="20">
        <f>ROUND((AW$1-AW$2)*(_xlfn.XLOOKUP(A9,'ma-basisdaten'!$A$3:$A$22,'ma-basisdaten'!$C$3:$C$22)*8.4)/100,0)</f>
        <v>45</v>
      </c>
      <c r="AX9" s="93" t="s">
        <v>511</v>
      </c>
      <c r="AY9" s="376">
        <v>2</v>
      </c>
      <c r="AZ9" s="376">
        <v>0</v>
      </c>
      <c r="BA9" s="70"/>
      <c r="BB9" s="109"/>
      <c r="BC9" s="109"/>
      <c r="BD9" s="109"/>
    </row>
    <row r="10" spans="1:57">
      <c r="A10" s="79" t="s">
        <v>14</v>
      </c>
      <c r="B10" s="352" t="s">
        <v>391</v>
      </c>
      <c r="C10" s="46" t="s">
        <v>208</v>
      </c>
      <c r="D10" s="394" t="s">
        <v>232</v>
      </c>
      <c r="E10" s="395" t="s">
        <v>475</v>
      </c>
      <c r="F10" s="395"/>
      <c r="G10" s="395"/>
      <c r="H10" s="402" t="s">
        <v>237</v>
      </c>
      <c r="I10" s="402" t="s">
        <v>237</v>
      </c>
      <c r="J10" s="459"/>
      <c r="K10" s="395"/>
      <c r="L10" s="399"/>
      <c r="M10" s="400" t="s">
        <v>185</v>
      </c>
      <c r="N10" s="399"/>
      <c r="O10" s="399"/>
      <c r="P10" s="399"/>
      <c r="Q10" s="402" t="s">
        <v>185</v>
      </c>
      <c r="R10" s="402" t="s">
        <v>185</v>
      </c>
      <c r="S10" s="402" t="s">
        <v>185</v>
      </c>
      <c r="T10" s="402" t="s">
        <v>185</v>
      </c>
      <c r="U10" s="399"/>
      <c r="V10" s="399"/>
      <c r="W10" s="399"/>
      <c r="X10" s="399"/>
      <c r="Y10" s="399"/>
      <c r="Z10" s="399"/>
      <c r="AA10" s="400" t="s">
        <v>185</v>
      </c>
      <c r="AB10" s="399"/>
      <c r="AC10" s="399"/>
      <c r="AD10" s="399"/>
      <c r="AE10" s="399"/>
      <c r="AF10" s="399"/>
      <c r="AG10" s="399"/>
      <c r="AH10" s="400" t="s">
        <v>185</v>
      </c>
      <c r="AI10" s="399"/>
      <c r="AJ10" s="399"/>
      <c r="AK10" s="399"/>
      <c r="AL10" s="399"/>
      <c r="AM10" s="399"/>
      <c r="AN10" s="418"/>
      <c r="AO10" s="399"/>
      <c r="AP10" s="399"/>
      <c r="AQ10" s="399"/>
      <c r="AR10" s="422"/>
      <c r="AS10" s="87"/>
      <c r="AT10" s="82">
        <v>6</v>
      </c>
      <c r="AU10" s="70"/>
      <c r="AV10" s="119">
        <v>-29</v>
      </c>
      <c r="AW10" s="20">
        <f>ROUND((AW$1-AW$2)*(_xlfn.XLOOKUP(A10,'ma-basisdaten'!$A$3:$A$22,'ma-basisdaten'!$C$3:$C$22)*8.4)/100,0)</f>
        <v>106</v>
      </c>
      <c r="AX10" s="93" t="s">
        <v>509</v>
      </c>
      <c r="AY10" s="376">
        <v>1</v>
      </c>
      <c r="AZ10" s="376">
        <v>1</v>
      </c>
      <c r="BA10" s="70"/>
      <c r="BB10" s="109"/>
      <c r="BC10" s="109"/>
      <c r="BD10" s="109"/>
    </row>
    <row r="11" spans="1:57">
      <c r="A11" s="79" t="s">
        <v>15</v>
      </c>
      <c r="B11" s="352" t="s">
        <v>392</v>
      </c>
      <c r="C11" s="46" t="s">
        <v>208</v>
      </c>
      <c r="D11" s="394" t="s">
        <v>205</v>
      </c>
      <c r="E11" s="395" t="s">
        <v>227</v>
      </c>
      <c r="F11" s="395" t="s">
        <v>227</v>
      </c>
      <c r="G11" s="395" t="s">
        <v>237</v>
      </c>
      <c r="H11" s="402"/>
      <c r="I11" s="402"/>
      <c r="J11" s="459" t="s">
        <v>205</v>
      </c>
      <c r="K11" s="402"/>
      <c r="L11" s="402"/>
      <c r="M11" s="399"/>
      <c r="N11" s="399"/>
      <c r="O11" s="399"/>
      <c r="P11" s="395" t="s">
        <v>438</v>
      </c>
      <c r="Q11" s="401" t="s">
        <v>62</v>
      </c>
      <c r="R11" s="401" t="s">
        <v>62</v>
      </c>
      <c r="S11" s="401" t="s">
        <v>62</v>
      </c>
      <c r="T11" s="401" t="s">
        <v>62</v>
      </c>
      <c r="U11" s="399" t="s">
        <v>62</v>
      </c>
      <c r="V11" s="399" t="s">
        <v>62</v>
      </c>
      <c r="W11" s="399" t="s">
        <v>62</v>
      </c>
      <c r="X11" s="399" t="s">
        <v>62</v>
      </c>
      <c r="Y11" s="399" t="s">
        <v>62</v>
      </c>
      <c r="Z11" s="399" t="s">
        <v>115</v>
      </c>
      <c r="AA11" s="399"/>
      <c r="AB11" s="399"/>
      <c r="AC11" s="399"/>
      <c r="AD11" s="399"/>
      <c r="AE11" s="399"/>
      <c r="AF11" s="399"/>
      <c r="AG11" s="399"/>
      <c r="AH11" s="399"/>
      <c r="AI11" s="399"/>
      <c r="AJ11" s="399"/>
      <c r="AK11" s="399"/>
      <c r="AL11" s="399"/>
      <c r="AM11" s="399"/>
      <c r="AN11" s="418"/>
      <c r="AO11" s="399"/>
      <c r="AP11" s="399"/>
      <c r="AQ11" s="399"/>
      <c r="AR11" s="399"/>
      <c r="AS11" s="87"/>
      <c r="AT11" s="82">
        <v>7</v>
      </c>
      <c r="AU11" s="70"/>
      <c r="AV11" s="119">
        <v>-27</v>
      </c>
      <c r="AW11" s="20">
        <f>ROUND((AW$1-AW$2)*(_xlfn.XLOOKUP(A11,'ma-basisdaten'!$A$3:$A$22,'ma-basisdaten'!$C$3:$C$22)*8.4)/100,0)</f>
        <v>121</v>
      </c>
      <c r="AX11" s="93" t="s">
        <v>512</v>
      </c>
      <c r="AY11" s="376">
        <v>2</v>
      </c>
      <c r="AZ11" s="376">
        <v>2</v>
      </c>
      <c r="BA11" s="70"/>
      <c r="BB11" s="109"/>
      <c r="BC11" s="109"/>
      <c r="BD11" s="109"/>
    </row>
    <row r="12" spans="1:57">
      <c r="A12" s="79" t="s">
        <v>16</v>
      </c>
      <c r="B12" s="352" t="s">
        <v>393</v>
      </c>
      <c r="C12" s="46" t="s">
        <v>217</v>
      </c>
      <c r="D12" s="420"/>
      <c r="E12" s="402"/>
      <c r="F12" s="395" t="s">
        <v>237</v>
      </c>
      <c r="G12" s="395"/>
      <c r="H12" s="402"/>
      <c r="I12" s="402"/>
      <c r="J12" s="459" t="s">
        <v>486</v>
      </c>
      <c r="K12" s="399"/>
      <c r="L12" s="399"/>
      <c r="M12" s="399"/>
      <c r="N12" s="399"/>
      <c r="O12" s="399"/>
      <c r="P12" s="419"/>
      <c r="Q12" s="404" t="s">
        <v>205</v>
      </c>
      <c r="R12" s="404" t="s">
        <v>227</v>
      </c>
      <c r="S12" s="404" t="s">
        <v>205</v>
      </c>
      <c r="T12" s="404" t="s">
        <v>227</v>
      </c>
      <c r="U12" s="419"/>
      <c r="V12" s="419"/>
      <c r="W12" s="419"/>
      <c r="X12" s="419"/>
      <c r="Y12" s="419"/>
      <c r="Z12" s="419"/>
      <c r="AA12" s="399"/>
      <c r="AB12" s="399"/>
      <c r="AC12" s="399"/>
      <c r="AD12" s="399"/>
      <c r="AE12" s="399"/>
      <c r="AF12" s="399"/>
      <c r="AG12" s="399"/>
      <c r="AH12" s="399"/>
      <c r="AI12" s="399"/>
      <c r="AJ12" s="399"/>
      <c r="AK12" s="399"/>
      <c r="AL12" s="399"/>
      <c r="AM12" s="399"/>
      <c r="AN12" s="421"/>
      <c r="AO12" s="406"/>
      <c r="AP12" s="399"/>
      <c r="AQ12" s="399"/>
      <c r="AR12" s="399"/>
      <c r="AS12" s="87"/>
      <c r="AT12" s="82">
        <v>8</v>
      </c>
      <c r="AU12" s="70"/>
      <c r="AV12" s="119">
        <v>-20</v>
      </c>
      <c r="AW12" s="20">
        <f>ROUND((AW$1-AW$2)*(_xlfn.XLOOKUP(A12,'ma-basisdaten'!$A$3:$A$22,'ma-basisdaten'!$C$3:$C$22)*8.4)/100,0)</f>
        <v>76</v>
      </c>
      <c r="AX12" s="93" t="s">
        <v>455</v>
      </c>
      <c r="AY12" s="376">
        <v>2</v>
      </c>
      <c r="AZ12" s="376">
        <v>0</v>
      </c>
      <c r="BA12" s="70"/>
      <c r="BB12" s="109"/>
      <c r="BC12" s="109"/>
      <c r="BD12" s="109"/>
    </row>
    <row r="13" spans="1:57">
      <c r="A13" s="79" t="s">
        <v>17</v>
      </c>
      <c r="B13" s="353" t="s">
        <v>394</v>
      </c>
      <c r="C13" s="441" t="s">
        <v>217</v>
      </c>
      <c r="D13" s="394"/>
      <c r="E13" s="395"/>
      <c r="F13" s="395"/>
      <c r="G13" s="395" t="s">
        <v>227</v>
      </c>
      <c r="H13" s="402"/>
      <c r="I13" s="402"/>
      <c r="J13" s="459"/>
      <c r="K13" s="395"/>
      <c r="L13" s="395"/>
      <c r="M13" s="395"/>
      <c r="N13" s="395" t="s">
        <v>227</v>
      </c>
      <c r="O13" s="395"/>
      <c r="P13" s="395"/>
      <c r="Q13" s="402" t="s">
        <v>441</v>
      </c>
      <c r="R13" s="401" t="s">
        <v>62</v>
      </c>
      <c r="S13" s="401" t="s">
        <v>62</v>
      </c>
      <c r="T13" s="401" t="s">
        <v>62</v>
      </c>
      <c r="U13" s="399" t="s">
        <v>62</v>
      </c>
      <c r="V13" s="399" t="s">
        <v>62</v>
      </c>
      <c r="W13" s="399" t="s">
        <v>62</v>
      </c>
      <c r="X13" s="399" t="s">
        <v>62</v>
      </c>
      <c r="Y13" s="399" t="s">
        <v>62</v>
      </c>
      <c r="Z13" s="399" t="s">
        <v>115</v>
      </c>
      <c r="AA13" s="395"/>
      <c r="AB13" s="395" t="s">
        <v>227</v>
      </c>
      <c r="AC13" s="395"/>
      <c r="AD13" s="395"/>
      <c r="AE13" s="399"/>
      <c r="AF13" s="399"/>
      <c r="AG13" s="399"/>
      <c r="AH13" s="399"/>
      <c r="AI13" s="395" t="s">
        <v>227</v>
      </c>
      <c r="AJ13" s="395" t="s">
        <v>464</v>
      </c>
      <c r="AK13" s="399"/>
      <c r="AL13" s="399"/>
      <c r="AM13" s="399"/>
      <c r="AN13" s="396"/>
      <c r="AO13" s="395"/>
      <c r="AP13" s="395"/>
      <c r="AQ13" s="395"/>
      <c r="AR13" s="395"/>
      <c r="AS13" s="445"/>
      <c r="AT13" s="82">
        <v>9</v>
      </c>
      <c r="AU13" s="70"/>
      <c r="AV13" s="119">
        <v>-10</v>
      </c>
      <c r="AW13" s="20">
        <f>ROUND((AW$1-AW$2)*(_xlfn.XLOOKUP(A13,'ma-basisdaten'!$A$3:$A$22,'ma-basisdaten'!$C$3:$C$22)*8.4)/100,0)</f>
        <v>45</v>
      </c>
      <c r="AX13" s="93" t="s">
        <v>516</v>
      </c>
      <c r="AY13" s="376">
        <v>1</v>
      </c>
      <c r="AZ13" s="376">
        <v>0</v>
      </c>
      <c r="BA13" s="70"/>
      <c r="BB13" s="109"/>
      <c r="BC13" s="109"/>
      <c r="BD13" s="109"/>
    </row>
    <row r="14" spans="1:57">
      <c r="A14" s="79" t="s">
        <v>18</v>
      </c>
      <c r="B14" s="374" t="s">
        <v>395</v>
      </c>
      <c r="C14" s="449" t="s">
        <v>217</v>
      </c>
      <c r="D14" s="452"/>
      <c r="E14" s="453"/>
      <c r="F14" s="453"/>
      <c r="G14" s="453"/>
      <c r="H14" s="453"/>
      <c r="I14" s="453"/>
      <c r="J14" s="460"/>
      <c r="K14" s="405" t="s">
        <v>185</v>
      </c>
      <c r="L14" s="405" t="s">
        <v>185</v>
      </c>
      <c r="M14" s="405" t="s">
        <v>185</v>
      </c>
      <c r="N14" s="405" t="s">
        <v>185</v>
      </c>
      <c r="O14" s="405" t="s">
        <v>185</v>
      </c>
      <c r="P14" s="405" t="s">
        <v>185</v>
      </c>
      <c r="Q14" s="402" t="s">
        <v>185</v>
      </c>
      <c r="R14" s="402" t="s">
        <v>185</v>
      </c>
      <c r="S14" s="402" t="s">
        <v>185</v>
      </c>
      <c r="T14" s="402" t="s">
        <v>185</v>
      </c>
      <c r="U14" s="405" t="s">
        <v>185</v>
      </c>
      <c r="V14" s="405" t="s">
        <v>185</v>
      </c>
      <c r="W14" s="405" t="s">
        <v>185</v>
      </c>
      <c r="X14" s="405" t="s">
        <v>185</v>
      </c>
      <c r="Y14" s="405" t="s">
        <v>185</v>
      </c>
      <c r="Z14" s="405" t="s">
        <v>185</v>
      </c>
      <c r="AA14" s="405" t="s">
        <v>185</v>
      </c>
      <c r="AB14" s="405" t="s">
        <v>185</v>
      </c>
      <c r="AC14" s="405" t="s">
        <v>185</v>
      </c>
      <c r="AD14" s="405" t="s">
        <v>185</v>
      </c>
      <c r="AE14" s="405" t="s">
        <v>185</v>
      </c>
      <c r="AF14" s="405" t="s">
        <v>185</v>
      </c>
      <c r="AG14" s="405" t="s">
        <v>185</v>
      </c>
      <c r="AH14" s="405" t="s">
        <v>185</v>
      </c>
      <c r="AI14" s="405" t="s">
        <v>185</v>
      </c>
      <c r="AJ14" s="405" t="s">
        <v>185</v>
      </c>
      <c r="AK14" s="405" t="s">
        <v>185</v>
      </c>
      <c r="AL14" s="405" t="s">
        <v>185</v>
      </c>
      <c r="AM14" s="405" t="s">
        <v>185</v>
      </c>
      <c r="AN14" s="417" t="s">
        <v>185</v>
      </c>
      <c r="AO14" s="395"/>
      <c r="AP14" s="395"/>
      <c r="AQ14" s="395"/>
      <c r="AR14" s="395"/>
      <c r="AS14" s="445"/>
      <c r="AT14" s="82">
        <v>10</v>
      </c>
      <c r="AU14" s="70"/>
      <c r="AV14" s="119">
        <v>-35</v>
      </c>
      <c r="AW14" s="20">
        <f>ROUND((AW$1-AW$2)*(_xlfn.XLOOKUP(A14,'ma-basisdaten'!$A$3:$A$22,'ma-basisdaten'!$C$3:$C$22)*8.4)/100,0)</f>
        <v>0</v>
      </c>
      <c r="AX14" s="93"/>
      <c r="AY14" s="376">
        <v>0</v>
      </c>
      <c r="AZ14" s="376">
        <v>0</v>
      </c>
      <c r="BA14" s="70"/>
      <c r="BB14" s="109"/>
      <c r="BC14" s="109"/>
      <c r="BD14" s="109"/>
    </row>
    <row r="15" spans="1:57">
      <c r="A15" s="79" t="s">
        <v>19</v>
      </c>
      <c r="B15" s="352" t="s">
        <v>396</v>
      </c>
      <c r="C15" s="46" t="s">
        <v>217</v>
      </c>
      <c r="D15" s="394"/>
      <c r="E15" s="395"/>
      <c r="F15" s="395"/>
      <c r="G15" s="395" t="s">
        <v>205</v>
      </c>
      <c r="H15" s="402" t="s">
        <v>227</v>
      </c>
      <c r="I15" s="402" t="s">
        <v>227</v>
      </c>
      <c r="J15" s="459" t="s">
        <v>205</v>
      </c>
      <c r="K15" s="399" t="s">
        <v>227</v>
      </c>
      <c r="L15" s="395" t="s">
        <v>227</v>
      </c>
      <c r="M15" s="399"/>
      <c r="N15" s="399"/>
      <c r="O15" s="399"/>
      <c r="P15" s="399"/>
      <c r="Q15" s="404" t="s">
        <v>227</v>
      </c>
      <c r="R15" s="404" t="s">
        <v>205</v>
      </c>
      <c r="S15" s="404" t="s">
        <v>227</v>
      </c>
      <c r="T15" s="404" t="s">
        <v>205</v>
      </c>
      <c r="U15" s="399"/>
      <c r="V15" s="399"/>
      <c r="W15" s="399"/>
      <c r="X15" s="399"/>
      <c r="Y15" s="399"/>
      <c r="Z15" s="399"/>
      <c r="AA15" s="399"/>
      <c r="AB15" s="399"/>
      <c r="AC15" s="399"/>
      <c r="AD15" s="399"/>
      <c r="AE15" s="399"/>
      <c r="AF15" s="400" t="s">
        <v>185</v>
      </c>
      <c r="AG15" s="400" t="s">
        <v>185</v>
      </c>
      <c r="AH15" s="399"/>
      <c r="AI15" s="399"/>
      <c r="AJ15" s="399"/>
      <c r="AK15" s="399"/>
      <c r="AL15" s="399"/>
      <c r="AM15" s="399"/>
      <c r="AN15" s="418"/>
      <c r="AO15" s="399"/>
      <c r="AP15" s="399"/>
      <c r="AQ15" s="399"/>
      <c r="AR15" s="399"/>
      <c r="AS15" s="87"/>
      <c r="AT15" s="82">
        <v>11</v>
      </c>
      <c r="AU15" s="70"/>
      <c r="AV15" s="119">
        <v>-45</v>
      </c>
      <c r="AW15" s="20">
        <f>ROUND((AW$1-AW$2)*(_xlfn.XLOOKUP(A15,'ma-basisdaten'!$A$3:$A$22,'ma-basisdaten'!$C$3:$C$22)*8.4)/100,0)</f>
        <v>136</v>
      </c>
      <c r="AX15" s="93" t="s">
        <v>513</v>
      </c>
      <c r="AY15" s="376">
        <v>2</v>
      </c>
      <c r="AZ15" s="376">
        <v>0</v>
      </c>
      <c r="BA15" s="70"/>
      <c r="BB15" s="109"/>
      <c r="BC15" s="109"/>
      <c r="BD15" s="109"/>
    </row>
    <row r="16" spans="1:57">
      <c r="A16" s="79" t="s">
        <v>20</v>
      </c>
      <c r="B16" s="352" t="s">
        <v>397</v>
      </c>
      <c r="C16" s="46" t="s">
        <v>217</v>
      </c>
      <c r="D16" s="394"/>
      <c r="E16" s="395"/>
      <c r="F16" s="395" t="s">
        <v>246</v>
      </c>
      <c r="G16" s="395" t="s">
        <v>252</v>
      </c>
      <c r="H16" s="402" t="s">
        <v>252</v>
      </c>
      <c r="I16" s="402" t="s">
        <v>246</v>
      </c>
      <c r="J16" s="459" t="s">
        <v>246</v>
      </c>
      <c r="K16" s="399"/>
      <c r="L16" s="399"/>
      <c r="M16" s="399"/>
      <c r="N16" s="399"/>
      <c r="O16" s="406"/>
      <c r="P16" s="406"/>
      <c r="Q16" s="401"/>
      <c r="R16" s="402"/>
      <c r="S16" s="407"/>
      <c r="T16" s="407"/>
      <c r="U16" s="399"/>
      <c r="V16" s="399"/>
      <c r="W16" s="399"/>
      <c r="X16" s="399"/>
      <c r="Y16" s="399"/>
      <c r="Z16" s="399"/>
      <c r="AA16" s="399"/>
      <c r="AB16" s="399"/>
      <c r="AC16" s="399"/>
      <c r="AD16" s="399"/>
      <c r="AE16" s="399"/>
      <c r="AF16" s="399"/>
      <c r="AG16" s="399"/>
      <c r="AH16" s="399"/>
      <c r="AI16" s="422"/>
      <c r="AJ16" s="399" t="s">
        <v>246</v>
      </c>
      <c r="AK16" s="399"/>
      <c r="AL16" s="399"/>
      <c r="AM16" s="399"/>
      <c r="AN16" s="418"/>
      <c r="AO16" s="399"/>
      <c r="AP16" s="399"/>
      <c r="AQ16" s="399"/>
      <c r="AR16" s="399"/>
      <c r="AS16" s="87"/>
      <c r="AT16" s="82">
        <v>12</v>
      </c>
      <c r="AU16" s="70"/>
      <c r="AV16" s="119">
        <v>-43</v>
      </c>
      <c r="AW16" s="20">
        <f>ROUND((AW$1-AW$2)*(_xlfn.XLOOKUP(A16,'ma-basisdaten'!$A$3:$A$22,'ma-basisdaten'!$C$3:$C$22)*8.4)/100,0)</f>
        <v>136</v>
      </c>
      <c r="AX16" s="93" t="s">
        <v>513</v>
      </c>
      <c r="AY16" s="376">
        <v>1</v>
      </c>
      <c r="AZ16" s="376">
        <v>0</v>
      </c>
      <c r="BA16" s="70"/>
      <c r="BB16" s="109"/>
      <c r="BC16" s="109"/>
      <c r="BD16" s="109"/>
    </row>
    <row r="17" spans="1:57">
      <c r="A17" s="79" t="s">
        <v>21</v>
      </c>
      <c r="B17" s="352" t="s">
        <v>398</v>
      </c>
      <c r="C17" s="46" t="s">
        <v>217</v>
      </c>
      <c r="D17" s="394"/>
      <c r="E17" s="395"/>
      <c r="F17" s="454" t="s">
        <v>252</v>
      </c>
      <c r="G17" s="395" t="s">
        <v>244</v>
      </c>
      <c r="H17" s="402" t="s">
        <v>244</v>
      </c>
      <c r="I17" s="402"/>
      <c r="J17" s="459"/>
      <c r="K17" s="399" t="s">
        <v>241</v>
      </c>
      <c r="L17" s="399" t="s">
        <v>241</v>
      </c>
      <c r="M17" s="399"/>
      <c r="N17" s="399"/>
      <c r="O17" s="399"/>
      <c r="P17" s="399"/>
      <c r="Q17" s="401"/>
      <c r="R17" s="401"/>
      <c r="S17" s="401"/>
      <c r="T17" s="401"/>
      <c r="U17" s="399"/>
      <c r="V17" s="399"/>
      <c r="W17" s="399"/>
      <c r="X17" s="399"/>
      <c r="Y17" s="399"/>
      <c r="Z17" s="399"/>
      <c r="AA17" s="423"/>
      <c r="AB17" s="399"/>
      <c r="AC17" s="399"/>
      <c r="AD17" s="399"/>
      <c r="AE17" s="399"/>
      <c r="AF17" s="399"/>
      <c r="AG17" s="399"/>
      <c r="AH17" s="399"/>
      <c r="AI17" s="422"/>
      <c r="AJ17" s="395" t="s">
        <v>465</v>
      </c>
      <c r="AK17" s="399"/>
      <c r="AL17" s="399"/>
      <c r="AM17" s="399"/>
      <c r="AN17" s="418"/>
      <c r="AO17" s="399"/>
      <c r="AP17" s="399"/>
      <c r="AQ17" s="399"/>
      <c r="AR17" s="399"/>
      <c r="AS17" s="87"/>
      <c r="AT17" s="82">
        <v>13</v>
      </c>
      <c r="AU17" s="70"/>
      <c r="AV17" s="119">
        <v>-25</v>
      </c>
      <c r="AW17" s="20">
        <f>ROUND((AW$1-AW$2)*(_xlfn.XLOOKUP(A17,'ma-basisdaten'!$A$3:$A$22,'ma-basisdaten'!$C$3:$C$22)*8.4)/100,0)</f>
        <v>76</v>
      </c>
      <c r="AX17" s="93" t="s">
        <v>517</v>
      </c>
      <c r="AY17" s="376">
        <v>0</v>
      </c>
      <c r="AZ17" s="376">
        <v>0</v>
      </c>
      <c r="BA17" s="70"/>
      <c r="BB17" s="109"/>
      <c r="BC17" s="109"/>
      <c r="BD17" s="109"/>
    </row>
    <row r="18" spans="1:57">
      <c r="A18" s="79" t="s">
        <v>22</v>
      </c>
      <c r="B18" s="352" t="s">
        <v>399</v>
      </c>
      <c r="C18" s="46" t="s">
        <v>217</v>
      </c>
      <c r="D18" s="394" t="s">
        <v>241</v>
      </c>
      <c r="E18" s="395" t="s">
        <v>241</v>
      </c>
      <c r="F18" s="454"/>
      <c r="G18" s="395"/>
      <c r="H18" s="402"/>
      <c r="I18" s="402" t="s">
        <v>250</v>
      </c>
      <c r="J18" s="396" t="s">
        <v>252</v>
      </c>
      <c r="K18" s="395" t="s">
        <v>439</v>
      </c>
      <c r="L18" s="395" t="s">
        <v>62</v>
      </c>
      <c r="M18" s="395" t="s">
        <v>62</v>
      </c>
      <c r="N18" s="395" t="s">
        <v>62</v>
      </c>
      <c r="O18" s="395" t="s">
        <v>62</v>
      </c>
      <c r="P18" s="395" t="s">
        <v>62</v>
      </c>
      <c r="Q18" s="402" t="s">
        <v>62</v>
      </c>
      <c r="R18" s="402" t="s">
        <v>62</v>
      </c>
      <c r="S18" s="402" t="s">
        <v>62</v>
      </c>
      <c r="T18" s="401" t="s">
        <v>115</v>
      </c>
      <c r="U18" s="399"/>
      <c r="V18" s="399"/>
      <c r="W18" s="399"/>
      <c r="X18" s="399"/>
      <c r="Y18" s="395"/>
      <c r="Z18" s="395"/>
      <c r="AA18" s="399"/>
      <c r="AB18" s="399"/>
      <c r="AC18" s="399"/>
      <c r="AD18" s="399"/>
      <c r="AE18" s="399"/>
      <c r="AF18" s="395"/>
      <c r="AG18" s="395"/>
      <c r="AH18" s="399"/>
      <c r="AI18" s="399"/>
      <c r="AJ18" s="399"/>
      <c r="AK18" s="399"/>
      <c r="AL18" s="395"/>
      <c r="AM18" s="395"/>
      <c r="AN18" s="396"/>
      <c r="AO18" s="399"/>
      <c r="AP18" s="399"/>
      <c r="AQ18" s="399"/>
      <c r="AR18" s="399"/>
      <c r="AS18" s="87"/>
      <c r="AT18" s="82">
        <v>14</v>
      </c>
      <c r="AU18" s="70"/>
      <c r="AV18" s="119">
        <v>-19</v>
      </c>
      <c r="AW18" s="20">
        <f>ROUND((AW$1-AW$2)*(_xlfn.XLOOKUP(A18,'ma-basisdaten'!$A$3:$A$22,'ma-basisdaten'!$C$3:$C$22)*8.4)/100,0)</f>
        <v>91</v>
      </c>
      <c r="AX18" s="93" t="s">
        <v>514</v>
      </c>
      <c r="AY18" s="376">
        <v>3</v>
      </c>
      <c r="AZ18" s="376">
        <v>3</v>
      </c>
      <c r="BA18" s="70"/>
      <c r="BB18" s="109"/>
      <c r="BC18" s="109"/>
      <c r="BD18" s="109"/>
    </row>
    <row r="19" spans="1:57">
      <c r="A19" s="79" t="s">
        <v>209</v>
      </c>
      <c r="B19" s="346" t="s">
        <v>400</v>
      </c>
      <c r="C19" s="46" t="s">
        <v>219</v>
      </c>
      <c r="D19" s="394" t="s">
        <v>255</v>
      </c>
      <c r="E19" s="395" t="s">
        <v>255</v>
      </c>
      <c r="F19" s="454"/>
      <c r="G19" s="395"/>
      <c r="H19" s="402" t="s">
        <v>259</v>
      </c>
      <c r="I19" s="402" t="s">
        <v>503</v>
      </c>
      <c r="J19" s="459" t="s">
        <v>259</v>
      </c>
      <c r="K19" s="395" t="s">
        <v>185</v>
      </c>
      <c r="L19" s="395" t="s">
        <v>185</v>
      </c>
      <c r="M19" s="399" t="s">
        <v>259</v>
      </c>
      <c r="N19" s="399"/>
      <c r="O19" s="399" t="s">
        <v>259</v>
      </c>
      <c r="P19" s="399" t="s">
        <v>259</v>
      </c>
      <c r="Q19" s="402" t="s">
        <v>445</v>
      </c>
      <c r="R19" s="402" t="s">
        <v>62</v>
      </c>
      <c r="S19" s="402" t="s">
        <v>62</v>
      </c>
      <c r="T19" s="402" t="s">
        <v>62</v>
      </c>
      <c r="U19" s="395" t="s">
        <v>62</v>
      </c>
      <c r="V19" s="395" t="s">
        <v>62</v>
      </c>
      <c r="W19" s="395" t="s">
        <v>62</v>
      </c>
      <c r="X19" s="395" t="s">
        <v>62</v>
      </c>
      <c r="Y19" s="395" t="s">
        <v>62</v>
      </c>
      <c r="Z19" s="395" t="s">
        <v>62</v>
      </c>
      <c r="AA19" s="395" t="s">
        <v>62</v>
      </c>
      <c r="AB19" s="395" t="s">
        <v>62</v>
      </c>
      <c r="AC19" s="395" t="s">
        <v>62</v>
      </c>
      <c r="AD19" s="395" t="s">
        <v>62</v>
      </c>
      <c r="AE19" s="395" t="s">
        <v>62</v>
      </c>
      <c r="AF19" s="395" t="s">
        <v>62</v>
      </c>
      <c r="AG19" s="399" t="s">
        <v>115</v>
      </c>
      <c r="AH19" s="399"/>
      <c r="AI19" s="399"/>
      <c r="AJ19" s="399" t="s">
        <v>259</v>
      </c>
      <c r="AK19" s="399"/>
      <c r="AL19" s="399"/>
      <c r="AM19" s="399"/>
      <c r="AN19" s="396"/>
      <c r="AO19" s="399"/>
      <c r="AP19" s="399"/>
      <c r="AQ19" s="399"/>
      <c r="AR19" s="399"/>
      <c r="AS19" s="87"/>
      <c r="AT19" s="82">
        <v>15</v>
      </c>
      <c r="AU19" s="70"/>
      <c r="AV19" s="119">
        <v>-24</v>
      </c>
      <c r="AW19" s="20">
        <f>ROUND((AW$1-AW$2)*(_xlfn.XLOOKUP(A19,'ma-basisdaten'!$A$3:$A$22,'ma-basisdaten'!$C$3:$C$22)*8)/100,0)</f>
        <v>144</v>
      </c>
      <c r="AX19" s="93" t="s">
        <v>515</v>
      </c>
      <c r="AY19" s="376">
        <v>1</v>
      </c>
      <c r="AZ19" s="376">
        <v>1</v>
      </c>
      <c r="BA19" s="70"/>
      <c r="BB19" s="109"/>
      <c r="BC19" s="109"/>
      <c r="BD19" s="109"/>
    </row>
    <row r="20" spans="1:57">
      <c r="A20" s="79" t="s">
        <v>23</v>
      </c>
      <c r="B20" s="346" t="s">
        <v>401</v>
      </c>
      <c r="C20" s="46" t="s">
        <v>219</v>
      </c>
      <c r="D20" s="394"/>
      <c r="E20" s="395"/>
      <c r="F20" s="454" t="s">
        <v>257</v>
      </c>
      <c r="G20" s="395" t="s">
        <v>255</v>
      </c>
      <c r="H20" s="402" t="s">
        <v>502</v>
      </c>
      <c r="I20" s="402" t="s">
        <v>259</v>
      </c>
      <c r="J20" s="459" t="s">
        <v>259</v>
      </c>
      <c r="K20" s="399"/>
      <c r="L20" s="395" t="s">
        <v>185</v>
      </c>
      <c r="M20" s="399"/>
      <c r="N20" s="399"/>
      <c r="O20" s="395"/>
      <c r="P20" s="399" t="s">
        <v>259</v>
      </c>
      <c r="Q20" s="402" t="s">
        <v>446</v>
      </c>
      <c r="R20" s="402" t="s">
        <v>62</v>
      </c>
      <c r="S20" s="402" t="s">
        <v>62</v>
      </c>
      <c r="T20" s="402" t="s">
        <v>62</v>
      </c>
      <c r="U20" s="395" t="s">
        <v>62</v>
      </c>
      <c r="V20" s="395" t="s">
        <v>62</v>
      </c>
      <c r="W20" s="395" t="s">
        <v>62</v>
      </c>
      <c r="X20" s="395" t="s">
        <v>62</v>
      </c>
      <c r="Y20" s="395" t="s">
        <v>62</v>
      </c>
      <c r="Z20" s="399" t="s">
        <v>115</v>
      </c>
      <c r="AA20" s="423"/>
      <c r="AB20" s="399"/>
      <c r="AC20" s="399"/>
      <c r="AD20" s="399"/>
      <c r="AE20" s="399"/>
      <c r="AF20" s="399"/>
      <c r="AG20" s="400" t="s">
        <v>185</v>
      </c>
      <c r="AH20" s="395" t="s">
        <v>502</v>
      </c>
      <c r="AI20" s="399"/>
      <c r="AJ20" s="395" t="s">
        <v>502</v>
      </c>
      <c r="AK20" s="399" t="s">
        <v>259</v>
      </c>
      <c r="AL20" s="399" t="s">
        <v>259</v>
      </c>
      <c r="AM20" s="399"/>
      <c r="AN20" s="424" t="s">
        <v>185</v>
      </c>
      <c r="AO20" s="399"/>
      <c r="AP20" s="399"/>
      <c r="AQ20" s="399"/>
      <c r="AR20" s="399"/>
      <c r="AS20" s="87"/>
      <c r="AT20" s="82">
        <v>16</v>
      </c>
      <c r="AU20" s="70"/>
      <c r="AV20" s="119">
        <v>-20</v>
      </c>
      <c r="AW20" s="20">
        <f>ROUND((AW$1-AW$2)*(_xlfn.XLOOKUP(A20,'ma-basisdaten'!$A$3:$A$22,'ma-basisdaten'!$C$3:$C$22)*8)/100,0)</f>
        <v>144</v>
      </c>
      <c r="AX20" s="93" t="s">
        <v>515</v>
      </c>
      <c r="AY20" s="376">
        <v>0</v>
      </c>
      <c r="AZ20" s="376">
        <v>0</v>
      </c>
      <c r="BA20" s="70"/>
      <c r="BB20" s="109"/>
      <c r="BC20" s="109"/>
      <c r="BD20" s="109"/>
    </row>
    <row r="21" spans="1:57" ht="13" thickBot="1">
      <c r="A21" s="79" t="s">
        <v>24</v>
      </c>
      <c r="B21" s="346" t="s">
        <v>402</v>
      </c>
      <c r="C21" s="46" t="s">
        <v>219</v>
      </c>
      <c r="D21" s="397"/>
      <c r="E21" s="398"/>
      <c r="F21" s="455" t="s">
        <v>255</v>
      </c>
      <c r="G21" s="398" t="s">
        <v>257</v>
      </c>
      <c r="H21" s="426" t="s">
        <v>257</v>
      </c>
      <c r="I21" s="426" t="s">
        <v>259</v>
      </c>
      <c r="J21" s="461" t="s">
        <v>259</v>
      </c>
      <c r="K21" s="425"/>
      <c r="L21" s="398" t="s">
        <v>185</v>
      </c>
      <c r="M21" s="425"/>
      <c r="N21" s="425"/>
      <c r="O21" s="425"/>
      <c r="P21" s="425" t="s">
        <v>259</v>
      </c>
      <c r="Q21" s="426" t="s">
        <v>446</v>
      </c>
      <c r="R21" s="426" t="s">
        <v>62</v>
      </c>
      <c r="S21" s="426" t="s">
        <v>62</v>
      </c>
      <c r="T21" s="426" t="s">
        <v>62</v>
      </c>
      <c r="U21" s="398" t="s">
        <v>62</v>
      </c>
      <c r="V21" s="398" t="s">
        <v>62</v>
      </c>
      <c r="W21" s="398" t="s">
        <v>62</v>
      </c>
      <c r="X21" s="398" t="s">
        <v>62</v>
      </c>
      <c r="Y21" s="398" t="s">
        <v>62</v>
      </c>
      <c r="Z21" s="425" t="s">
        <v>115</v>
      </c>
      <c r="AA21" s="427"/>
      <c r="AB21" s="425"/>
      <c r="AC21" s="425"/>
      <c r="AD21" s="425"/>
      <c r="AE21" s="425"/>
      <c r="AF21" s="425"/>
      <c r="AG21" s="391" t="s">
        <v>185</v>
      </c>
      <c r="AH21" s="398" t="s">
        <v>502</v>
      </c>
      <c r="AI21" s="425"/>
      <c r="AJ21" s="398" t="s">
        <v>502</v>
      </c>
      <c r="AK21" s="425" t="s">
        <v>259</v>
      </c>
      <c r="AL21" s="425" t="s">
        <v>259</v>
      </c>
      <c r="AM21" s="425"/>
      <c r="AN21" s="392" t="s">
        <v>185</v>
      </c>
      <c r="AO21" s="446"/>
      <c r="AP21" s="446"/>
      <c r="AQ21" s="446"/>
      <c r="AR21" s="446"/>
      <c r="AS21" s="447"/>
      <c r="AT21" s="82">
        <v>17</v>
      </c>
      <c r="AU21" s="70"/>
      <c r="AV21" s="119">
        <v>-21</v>
      </c>
      <c r="AW21" s="20">
        <f>ROUND((AW$1-AW$2)*(_xlfn.XLOOKUP(A21,'ma-basisdaten'!$A$3:$A$22,'ma-basisdaten'!$C$3:$C$22)*8)/100,0)</f>
        <v>144</v>
      </c>
      <c r="AX21" s="93" t="s">
        <v>515</v>
      </c>
      <c r="AY21" s="376">
        <v>0</v>
      </c>
      <c r="AZ21" s="376">
        <v>0</v>
      </c>
      <c r="BA21" s="70"/>
      <c r="BB21" s="109"/>
      <c r="BC21" s="109"/>
      <c r="BD21" s="109"/>
    </row>
    <row r="22" spans="1:57" ht="13">
      <c r="A22" s="70"/>
      <c r="B22" s="70"/>
      <c r="C22" s="70"/>
      <c r="D22" s="70"/>
      <c r="E22" s="70"/>
      <c r="F22" s="70"/>
      <c r="G22" s="71" t="s">
        <v>121</v>
      </c>
      <c r="L22" s="70"/>
      <c r="M22" s="70"/>
      <c r="N22" s="70"/>
      <c r="O22" s="70"/>
      <c r="P22" s="70"/>
      <c r="Q22" s="70"/>
      <c r="R22" s="70"/>
      <c r="S22" s="70"/>
      <c r="T22" s="70"/>
      <c r="U22" s="70"/>
      <c r="V22" s="70"/>
      <c r="W22" s="70"/>
      <c r="X22" s="70"/>
      <c r="Y22" s="70"/>
      <c r="Z22" s="70"/>
      <c r="AA22" s="70"/>
      <c r="AB22" s="70"/>
      <c r="AC22" s="70"/>
      <c r="AD22" s="70"/>
      <c r="AE22" s="70"/>
      <c r="AF22" s="70"/>
      <c r="AG22" s="70"/>
      <c r="AH22" s="70"/>
      <c r="AI22" s="70"/>
      <c r="AJ22" s="70"/>
      <c r="AK22" s="70"/>
      <c r="AL22" s="70"/>
      <c r="AM22" s="70"/>
      <c r="AN22" s="70"/>
      <c r="AO22" s="70"/>
      <c r="AP22" s="70"/>
      <c r="AQ22" s="70"/>
      <c r="AR22" s="70"/>
      <c r="AS22" s="70"/>
      <c r="AT22" s="82"/>
      <c r="AU22" s="70"/>
      <c r="AV22" s="70"/>
      <c r="AW22" s="70"/>
      <c r="AX22" s="70"/>
      <c r="AY22" s="70"/>
      <c r="AZ22" s="70"/>
      <c r="BA22" s="70"/>
      <c r="BB22" s="75"/>
      <c r="BC22" s="70"/>
      <c r="BD22" s="70"/>
      <c r="BE22" s="70"/>
    </row>
    <row r="23" spans="1:57" ht="13">
      <c r="A23" s="70"/>
      <c r="B23" s="70"/>
      <c r="C23" s="70"/>
      <c r="D23" s="71"/>
      <c r="E23" s="70"/>
      <c r="F23" s="70"/>
      <c r="G23" s="70" t="s">
        <v>122</v>
      </c>
      <c r="L23" s="70"/>
      <c r="M23" s="70"/>
      <c r="N23" s="70"/>
      <c r="O23" s="70"/>
      <c r="P23" s="70"/>
      <c r="Q23" s="70"/>
      <c r="R23" s="70"/>
      <c r="S23" s="70"/>
      <c r="T23" s="70"/>
      <c r="U23" s="70"/>
      <c r="V23" s="70"/>
      <c r="W23" s="70"/>
      <c r="X23" s="70"/>
      <c r="Y23" s="70"/>
      <c r="Z23" s="70"/>
      <c r="AA23" s="88"/>
      <c r="AB23" s="70"/>
      <c r="AC23" s="70"/>
      <c r="AD23" s="70"/>
      <c r="AE23" s="70"/>
      <c r="AF23" s="70"/>
      <c r="AG23" s="70"/>
      <c r="AH23" s="70"/>
      <c r="AI23" s="70"/>
      <c r="AJ23" s="70"/>
      <c r="AK23" s="70"/>
      <c r="AL23" s="70"/>
      <c r="AM23" s="70"/>
      <c r="AN23" s="70"/>
      <c r="AO23" s="70"/>
      <c r="AP23" s="70"/>
      <c r="AQ23" s="70"/>
      <c r="AR23" s="70"/>
      <c r="AS23" s="70"/>
      <c r="AT23" s="82"/>
      <c r="AU23" s="70"/>
      <c r="AV23" s="70"/>
      <c r="AW23" s="70"/>
      <c r="AX23" s="70"/>
      <c r="AY23" s="70"/>
      <c r="AZ23" s="70"/>
      <c r="BA23" s="70"/>
      <c r="BB23" s="75"/>
      <c r="BC23" s="70"/>
      <c r="BD23" s="70"/>
      <c r="BE23" s="70"/>
    </row>
    <row r="24" spans="1:57">
      <c r="A24" s="70"/>
      <c r="B24" s="72" t="s">
        <v>123</v>
      </c>
      <c r="C24" s="72"/>
      <c r="D24" s="70"/>
      <c r="E24" s="70"/>
      <c r="F24" s="73"/>
      <c r="G24" s="70" t="s">
        <v>124</v>
      </c>
      <c r="L24" s="70"/>
      <c r="M24" s="70"/>
      <c r="N24" s="70"/>
      <c r="O24" s="70" t="s">
        <v>125</v>
      </c>
      <c r="P24" s="70"/>
      <c r="Q24" s="70"/>
      <c r="R24" s="70"/>
      <c r="S24" s="70"/>
      <c r="T24" s="70"/>
      <c r="U24" s="70"/>
      <c r="V24" s="70"/>
      <c r="W24" s="70"/>
      <c r="X24" s="70"/>
      <c r="Y24" s="70"/>
      <c r="Z24" s="70"/>
      <c r="AA24" s="88"/>
      <c r="AB24" s="70"/>
      <c r="AC24" s="70"/>
      <c r="AD24" s="70"/>
      <c r="AE24" s="70"/>
      <c r="AF24" s="70"/>
      <c r="AG24" s="70"/>
      <c r="AH24" s="70"/>
      <c r="AI24" s="70"/>
      <c r="AJ24" s="70"/>
      <c r="AK24" s="70"/>
      <c r="AL24" s="70"/>
      <c r="AM24" s="70"/>
      <c r="AN24" s="70"/>
      <c r="AO24" s="70"/>
      <c r="AP24" s="70"/>
      <c r="AQ24" s="70"/>
      <c r="AR24" s="70"/>
      <c r="AS24" s="70"/>
      <c r="AT24" s="82"/>
      <c r="AU24" s="70"/>
      <c r="AV24" s="70"/>
      <c r="AW24" s="70"/>
      <c r="AX24" s="70"/>
      <c r="AY24" s="70"/>
      <c r="AZ24" s="70"/>
      <c r="BA24" s="70"/>
      <c r="BB24" s="75"/>
      <c r="BC24" s="70"/>
      <c r="BD24" s="70"/>
      <c r="BE24" s="70"/>
    </row>
    <row r="25" spans="1:57">
      <c r="A25" s="70"/>
      <c r="B25" s="73" t="s">
        <v>126</v>
      </c>
      <c r="C25" s="70"/>
      <c r="D25" s="70"/>
      <c r="E25" s="70"/>
      <c r="F25" s="70"/>
      <c r="G25" s="70" t="s">
        <v>127</v>
      </c>
      <c r="L25" s="70"/>
      <c r="M25" s="70"/>
      <c r="N25" s="70"/>
      <c r="O25" s="70"/>
      <c r="P25" s="70"/>
      <c r="Q25" s="70"/>
      <c r="R25" s="70"/>
      <c r="S25" s="70"/>
      <c r="T25" s="70"/>
      <c r="U25" s="70"/>
      <c r="V25" s="70"/>
      <c r="W25" s="70"/>
      <c r="X25" s="70"/>
      <c r="Y25" s="70"/>
      <c r="Z25" s="70"/>
      <c r="AA25" s="70"/>
      <c r="AB25" s="70"/>
      <c r="AC25" s="70"/>
      <c r="AD25" s="70"/>
      <c r="AE25" s="70"/>
      <c r="AF25" s="70"/>
      <c r="AG25" s="70"/>
      <c r="AH25" s="70"/>
      <c r="AI25" s="70"/>
      <c r="AJ25" s="70"/>
      <c r="AK25" s="70"/>
      <c r="AL25" s="70"/>
      <c r="AM25" s="70"/>
      <c r="AN25" s="70"/>
      <c r="AO25" s="70"/>
      <c r="AP25" s="70"/>
      <c r="AQ25" s="70"/>
      <c r="AR25" s="70"/>
      <c r="AS25" s="70"/>
      <c r="AT25" s="82"/>
      <c r="AU25" s="70"/>
      <c r="AV25" s="70"/>
      <c r="AW25" s="70"/>
      <c r="AX25" s="70"/>
      <c r="AY25" s="70"/>
      <c r="AZ25" s="70"/>
      <c r="BA25" s="70"/>
      <c r="BB25" s="70"/>
      <c r="BC25" s="70"/>
      <c r="BD25" s="70"/>
      <c r="BE25" s="70"/>
    </row>
    <row r="26" spans="1:57">
      <c r="A26" s="70"/>
      <c r="B26" s="70"/>
      <c r="C26" s="70"/>
      <c r="D26" s="70"/>
      <c r="E26" s="70"/>
      <c r="F26" s="70"/>
      <c r="G26" s="70" t="s">
        <v>115</v>
      </c>
      <c r="L26" s="70"/>
      <c r="M26" s="70"/>
      <c r="N26" s="70"/>
      <c r="O26" s="70"/>
      <c r="P26" s="70"/>
      <c r="Q26" s="70"/>
      <c r="R26" s="70"/>
      <c r="S26" s="70"/>
      <c r="T26" s="70"/>
      <c r="U26" s="70"/>
      <c r="V26" s="70"/>
      <c r="W26" s="70"/>
      <c r="X26" s="70"/>
      <c r="Y26" s="70"/>
      <c r="Z26" s="70"/>
      <c r="AA26" s="70"/>
      <c r="AB26" s="70"/>
      <c r="AC26" s="70"/>
      <c r="AD26" s="70"/>
      <c r="AE26" s="70"/>
      <c r="AF26" s="70"/>
      <c r="AG26" s="70"/>
      <c r="AH26" s="70"/>
      <c r="AI26" s="70"/>
      <c r="AJ26" s="70"/>
      <c r="AK26" s="70"/>
      <c r="AL26" s="70"/>
      <c r="AM26" s="70"/>
      <c r="AN26" s="70"/>
      <c r="AO26" s="70"/>
      <c r="AP26" s="70"/>
      <c r="AQ26" s="70"/>
      <c r="AR26" s="70"/>
      <c r="AS26" s="70"/>
      <c r="AT26" s="82"/>
      <c r="AU26" s="70"/>
      <c r="AV26" s="70"/>
      <c r="AW26" s="70"/>
      <c r="AX26" s="70"/>
      <c r="AY26" s="70"/>
      <c r="AZ26" s="70"/>
      <c r="BA26" s="70"/>
      <c r="BB26" s="70"/>
      <c r="BC26" s="70"/>
      <c r="BD26" s="70"/>
      <c r="BE26" s="70"/>
    </row>
    <row r="27" spans="1:57">
      <c r="A27" s="70"/>
      <c r="B27" s="70"/>
      <c r="C27" s="70"/>
      <c r="D27" s="70"/>
      <c r="E27" s="70"/>
      <c r="F27" s="70"/>
      <c r="G27" s="70" t="s">
        <v>128</v>
      </c>
      <c r="H27" t="s">
        <v>129</v>
      </c>
      <c r="L27" s="70"/>
      <c r="M27" s="70"/>
      <c r="N27" s="70"/>
      <c r="O27" s="70"/>
      <c r="P27" s="70"/>
      <c r="Q27" s="70"/>
      <c r="R27" s="70"/>
      <c r="S27" s="70"/>
      <c r="T27" s="70"/>
      <c r="U27" s="70"/>
      <c r="V27" s="70"/>
      <c r="W27" s="70"/>
      <c r="X27" s="70"/>
      <c r="Y27" s="70"/>
      <c r="Z27" s="70"/>
      <c r="AA27" s="70"/>
      <c r="AB27" s="70"/>
      <c r="AC27" s="70"/>
      <c r="AD27" s="70"/>
      <c r="AE27" s="70"/>
      <c r="AF27" s="70"/>
      <c r="AG27" s="70"/>
      <c r="AH27" s="70"/>
      <c r="AI27" s="70"/>
      <c r="AJ27" s="70"/>
      <c r="AK27" s="70"/>
      <c r="AL27" s="70"/>
      <c r="AM27" s="70"/>
      <c r="AN27" s="70"/>
      <c r="AO27" s="70"/>
      <c r="AP27" s="70"/>
      <c r="AQ27" s="70"/>
      <c r="AR27" s="70"/>
      <c r="AS27" s="70"/>
      <c r="AT27" s="82"/>
      <c r="AU27" s="70"/>
      <c r="AV27" s="70"/>
      <c r="AW27" s="70"/>
      <c r="AX27" s="70"/>
      <c r="AY27" s="70"/>
      <c r="AZ27" s="70"/>
      <c r="BA27" s="70"/>
      <c r="BB27" s="70"/>
      <c r="BC27" s="70"/>
      <c r="BD27" s="70"/>
      <c r="BE27" s="70"/>
    </row>
    <row r="28" spans="1:57">
      <c r="A28" s="70"/>
      <c r="B28" s="70"/>
      <c r="C28" s="70"/>
      <c r="D28" s="70"/>
      <c r="E28" s="70"/>
      <c r="F28" s="70"/>
      <c r="G28" s="70" t="s">
        <v>130</v>
      </c>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82"/>
      <c r="AU28" s="70"/>
      <c r="AV28" s="70"/>
      <c r="AW28" s="70"/>
      <c r="AX28" s="70"/>
      <c r="AY28" s="70"/>
      <c r="AZ28" s="70"/>
    </row>
    <row r="29" spans="1:57">
      <c r="A29" s="70"/>
      <c r="B29" s="70"/>
      <c r="C29" s="70"/>
      <c r="D29" s="70"/>
      <c r="E29" s="70"/>
      <c r="F29" s="70"/>
      <c r="G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70"/>
      <c r="AM29" s="70"/>
      <c r="AN29" s="70"/>
      <c r="AO29" s="70"/>
      <c r="AP29" s="70"/>
      <c r="AQ29" s="70"/>
      <c r="AR29" s="70"/>
      <c r="AS29" s="70"/>
      <c r="AT29" s="82"/>
      <c r="AU29" s="70"/>
      <c r="AV29" s="70"/>
      <c r="AW29" s="70"/>
      <c r="AX29" s="70"/>
      <c r="AY29" s="70"/>
      <c r="AZ29" s="70"/>
    </row>
    <row r="30" spans="1:57" ht="13">
      <c r="A30" s="70"/>
      <c r="B30" s="70"/>
      <c r="C30" s="70"/>
      <c r="D30" s="70"/>
      <c r="E30" s="70"/>
      <c r="F30" s="70"/>
      <c r="G30" s="71" t="s">
        <v>131</v>
      </c>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82"/>
      <c r="AU30" s="70"/>
      <c r="AV30" s="70"/>
      <c r="AW30" s="70"/>
      <c r="AX30" s="70"/>
      <c r="AY30" s="70"/>
      <c r="AZ30" s="70"/>
    </row>
    <row r="31" spans="1:57">
      <c r="A31" s="70"/>
      <c r="B31" s="70"/>
      <c r="C31" s="70"/>
      <c r="D31" s="70"/>
      <c r="E31" s="70"/>
      <c r="F31" s="70"/>
      <c r="G31" s="70">
        <v>2</v>
      </c>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82"/>
      <c r="AU31" s="70"/>
      <c r="AV31" s="70"/>
      <c r="AW31" s="70"/>
      <c r="AX31" s="70"/>
      <c r="AY31" s="70"/>
      <c r="AZ31" s="70"/>
    </row>
    <row r="32" spans="1:57">
      <c r="A32" s="70"/>
      <c r="B32" s="70"/>
      <c r="C32" s="70"/>
      <c r="D32" s="70"/>
      <c r="E32" s="70"/>
      <c r="F32" s="70"/>
      <c r="G32" s="70" t="s">
        <v>180</v>
      </c>
      <c r="L32" s="70"/>
      <c r="M32" s="70"/>
      <c r="N32" s="70"/>
      <c r="O32" s="70"/>
      <c r="P32" s="70"/>
      <c r="Q32" s="70"/>
      <c r="R32" s="70"/>
      <c r="S32" s="70"/>
      <c r="T32" s="70"/>
      <c r="U32" s="70"/>
      <c r="V32" s="70"/>
      <c r="W32" s="70"/>
      <c r="X32" s="70"/>
      <c r="Y32" s="70"/>
      <c r="Z32" s="70"/>
      <c r="AA32" s="70"/>
      <c r="AB32" s="70"/>
      <c r="AC32" s="70"/>
      <c r="AD32" s="70"/>
      <c r="AE32" s="70"/>
      <c r="AF32" s="70"/>
      <c r="AG32" s="70"/>
      <c r="AH32" s="70"/>
      <c r="AI32" s="70"/>
      <c r="AJ32" s="70"/>
      <c r="AK32" s="70"/>
      <c r="AL32" s="70"/>
      <c r="AM32" s="70"/>
      <c r="AN32" s="70"/>
      <c r="AO32" s="70"/>
      <c r="AP32" s="70"/>
      <c r="AQ32" s="70"/>
      <c r="AR32" s="70"/>
      <c r="AS32" s="70"/>
      <c r="AT32" s="82"/>
      <c r="AU32" s="70"/>
      <c r="AV32" s="70"/>
      <c r="AW32" s="70"/>
      <c r="AX32" s="70"/>
      <c r="AY32" s="70"/>
      <c r="AZ32" s="70"/>
    </row>
    <row r="33" spans="1:52">
      <c r="A33" s="70"/>
      <c r="B33" s="70"/>
      <c r="C33" s="70"/>
      <c r="D33" s="70"/>
      <c r="E33" s="70"/>
      <c r="F33" s="70"/>
      <c r="G33" s="70"/>
      <c r="L33" s="70"/>
      <c r="M33" s="70"/>
      <c r="N33" s="70"/>
      <c r="O33" s="70"/>
      <c r="P33" s="70"/>
      <c r="Q33" s="70"/>
      <c r="R33" s="70"/>
      <c r="S33" s="70"/>
      <c r="T33" s="70"/>
      <c r="U33" s="70"/>
      <c r="V33" s="70"/>
      <c r="W33" s="70"/>
      <c r="X33" s="70"/>
      <c r="Y33" s="70"/>
      <c r="Z33" s="70"/>
      <c r="AA33" s="70"/>
      <c r="AB33" s="70"/>
      <c r="AC33" s="70"/>
      <c r="AD33" s="70"/>
      <c r="AE33" s="70"/>
      <c r="AF33" s="70"/>
      <c r="AG33" s="70"/>
      <c r="AH33" s="70"/>
      <c r="AI33" s="70"/>
      <c r="AJ33" s="70"/>
      <c r="AK33" s="70"/>
      <c r="AL33" s="70"/>
      <c r="AM33" s="70"/>
      <c r="AN33" s="70"/>
      <c r="AO33" s="70"/>
      <c r="AP33" s="70"/>
      <c r="AQ33" s="70"/>
      <c r="AR33" s="70"/>
      <c r="AS33" s="70"/>
      <c r="AT33" s="82"/>
      <c r="AU33" s="70"/>
      <c r="AV33" s="70"/>
      <c r="AW33" s="70"/>
      <c r="AX33" s="70"/>
      <c r="AY33" s="70"/>
      <c r="AZ33" s="70"/>
    </row>
    <row r="34" spans="1:52" ht="13">
      <c r="A34" s="70"/>
      <c r="B34" s="70"/>
      <c r="C34" s="70"/>
      <c r="D34" s="70"/>
      <c r="E34" s="70"/>
      <c r="F34" s="70"/>
      <c r="G34" s="71" t="s">
        <v>132</v>
      </c>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82"/>
      <c r="AU34" s="70"/>
      <c r="AV34" s="70"/>
      <c r="AW34" s="70"/>
      <c r="AX34" s="70"/>
      <c r="AY34" s="70"/>
      <c r="AZ34" s="70"/>
    </row>
    <row r="35" spans="1:52">
      <c r="A35" s="70"/>
      <c r="B35" s="70"/>
      <c r="C35" s="70"/>
      <c r="D35" s="70"/>
      <c r="E35" s="70"/>
      <c r="F35" s="70"/>
      <c r="G35" s="70" t="s">
        <v>116</v>
      </c>
      <c r="I35" t="s">
        <v>133</v>
      </c>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70"/>
      <c r="AL35" s="70"/>
      <c r="AM35" s="70"/>
      <c r="AN35" s="70"/>
      <c r="AO35" s="70"/>
      <c r="AP35" s="70"/>
      <c r="AQ35" s="70"/>
      <c r="AR35" s="70"/>
      <c r="AS35" s="70"/>
      <c r="AT35" s="82"/>
      <c r="AU35" s="70"/>
      <c r="AV35" s="70"/>
      <c r="AW35" s="70"/>
      <c r="AX35" s="70"/>
      <c r="AY35" s="70"/>
      <c r="AZ35" s="70"/>
    </row>
    <row r="36" spans="1:52">
      <c r="A36" s="70"/>
      <c r="B36" s="70"/>
      <c r="C36" s="70"/>
      <c r="D36" s="70"/>
      <c r="E36" s="70"/>
      <c r="F36" s="70"/>
      <c r="G36" s="70" t="s">
        <v>117</v>
      </c>
      <c r="I36" t="s">
        <v>134</v>
      </c>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70"/>
      <c r="AL36" s="70"/>
      <c r="AM36" s="70"/>
      <c r="AN36" s="70"/>
      <c r="AO36" s="70"/>
      <c r="AP36" s="70"/>
      <c r="AQ36" s="70"/>
      <c r="AR36" s="70"/>
      <c r="AS36" s="70"/>
      <c r="AT36" s="82"/>
      <c r="AU36" s="70"/>
      <c r="AV36" s="70"/>
      <c r="AW36" s="70"/>
      <c r="AX36" s="70"/>
      <c r="AY36" s="70"/>
      <c r="AZ36" s="70"/>
    </row>
    <row r="37" spans="1:52">
      <c r="A37" s="70"/>
      <c r="B37" s="70"/>
      <c r="C37" s="70"/>
      <c r="D37" s="70"/>
      <c r="E37" s="70"/>
      <c r="F37" s="70"/>
      <c r="G37" s="70" t="s">
        <v>120</v>
      </c>
      <c r="I37" t="s">
        <v>135</v>
      </c>
      <c r="L37" s="70"/>
      <c r="M37" s="70"/>
      <c r="N37" s="70"/>
      <c r="O37" s="70"/>
      <c r="P37" s="70"/>
      <c r="Q37" s="70"/>
      <c r="R37" s="70"/>
      <c r="S37" s="70"/>
      <c r="T37" s="70"/>
      <c r="U37" s="70"/>
      <c r="V37" s="70"/>
      <c r="W37" s="70"/>
      <c r="X37" s="70"/>
      <c r="Y37" s="70"/>
      <c r="Z37" s="70"/>
      <c r="AA37" s="70"/>
      <c r="AB37" s="70"/>
      <c r="AC37" s="70"/>
      <c r="AD37" s="70"/>
      <c r="AE37" s="70"/>
      <c r="AF37" s="70"/>
      <c r="AG37" s="70"/>
      <c r="AH37" s="70"/>
      <c r="AI37" s="70"/>
      <c r="AJ37" s="70"/>
      <c r="AK37" s="70"/>
      <c r="AL37" s="70"/>
      <c r="AM37" s="70"/>
      <c r="AN37" s="70"/>
      <c r="AO37" s="70"/>
      <c r="AP37" s="70"/>
      <c r="AQ37" s="70"/>
      <c r="AR37" s="70"/>
      <c r="AS37" s="70"/>
      <c r="AT37" s="82"/>
      <c r="AU37" s="70"/>
      <c r="AV37" s="70"/>
      <c r="AW37" s="70"/>
      <c r="AX37" s="70"/>
      <c r="AY37" s="70"/>
      <c r="AZ37" s="70"/>
    </row>
    <row r="38" spans="1:52">
      <c r="A38" s="70"/>
      <c r="B38" s="70"/>
      <c r="C38" s="70"/>
      <c r="D38" s="70"/>
      <c r="E38" s="70"/>
      <c r="F38" s="70"/>
      <c r="G38" s="70"/>
      <c r="L38" s="70"/>
      <c r="M38" s="70"/>
      <c r="N38" s="70"/>
      <c r="O38" s="70"/>
      <c r="P38" s="70"/>
      <c r="Q38" s="70"/>
      <c r="R38" s="70"/>
      <c r="S38" s="70"/>
      <c r="T38" s="70"/>
      <c r="U38" s="70"/>
      <c r="V38" s="70"/>
      <c r="W38" s="70"/>
      <c r="X38" s="70"/>
      <c r="Y38" s="70"/>
      <c r="Z38" s="70"/>
      <c r="AA38" s="70"/>
      <c r="AB38" s="70"/>
      <c r="AC38" s="70"/>
      <c r="AD38" s="70"/>
      <c r="AE38" s="70"/>
      <c r="AF38" s="70"/>
      <c r="AG38" s="70"/>
      <c r="AH38" s="70"/>
      <c r="AI38" s="70"/>
      <c r="AJ38" s="70"/>
      <c r="AK38" s="70"/>
      <c r="AL38" s="70"/>
      <c r="AM38" s="70"/>
      <c r="AN38" s="70"/>
      <c r="AO38" s="70"/>
      <c r="AP38" s="70"/>
      <c r="AQ38" s="70"/>
      <c r="AR38" s="70"/>
      <c r="AS38" s="70"/>
      <c r="AT38" s="82"/>
      <c r="AU38" s="70"/>
      <c r="AV38" s="70"/>
      <c r="AW38" s="70"/>
      <c r="AX38" s="70"/>
      <c r="AY38" s="70"/>
      <c r="AZ38" s="70"/>
    </row>
    <row r="39" spans="1:52" ht="13">
      <c r="A39" s="70"/>
      <c r="B39" s="70"/>
      <c r="C39" s="70"/>
      <c r="D39" s="70"/>
      <c r="E39" s="70"/>
      <c r="F39" s="70"/>
      <c r="G39" s="71" t="s">
        <v>136</v>
      </c>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70"/>
      <c r="AL39" s="70"/>
      <c r="AM39" s="70"/>
      <c r="AN39" s="70"/>
      <c r="AO39" s="70"/>
      <c r="AP39" s="70"/>
      <c r="AQ39" s="70"/>
      <c r="AR39" s="70"/>
      <c r="AS39" s="70"/>
      <c r="AT39" s="82"/>
      <c r="AU39" s="70"/>
      <c r="AV39" s="70"/>
      <c r="AW39" s="70"/>
      <c r="AX39" s="70"/>
      <c r="AY39" s="70"/>
      <c r="AZ39" s="70"/>
    </row>
    <row r="40" spans="1:52">
      <c r="A40" s="70"/>
      <c r="B40" s="70"/>
      <c r="C40" s="70"/>
      <c r="D40" s="70"/>
      <c r="E40" s="70"/>
      <c r="F40" s="70"/>
      <c r="G40" s="70" t="s">
        <v>119</v>
      </c>
      <c r="I40" t="s">
        <v>137</v>
      </c>
      <c r="L40" s="70"/>
      <c r="M40" s="70"/>
      <c r="N40" s="70"/>
      <c r="O40" s="70"/>
      <c r="P40" s="70"/>
      <c r="Q40" s="70"/>
      <c r="R40" s="70"/>
      <c r="S40" s="70"/>
      <c r="T40" s="70"/>
      <c r="U40" s="70"/>
      <c r="V40" s="70"/>
      <c r="W40" s="70"/>
      <c r="X40" s="70"/>
      <c r="Y40" s="70"/>
      <c r="Z40" s="70"/>
      <c r="AA40" s="70"/>
      <c r="AB40" s="70"/>
      <c r="AC40" s="70"/>
      <c r="AD40" s="70"/>
      <c r="AE40" s="70"/>
      <c r="AF40" s="70"/>
      <c r="AG40" s="70"/>
      <c r="AH40" s="70"/>
      <c r="AI40" s="70"/>
      <c r="AJ40" s="70"/>
      <c r="AK40" s="70"/>
      <c r="AL40" s="70"/>
      <c r="AM40" s="70"/>
      <c r="AN40" s="70"/>
      <c r="AO40" s="70"/>
      <c r="AP40" s="70"/>
      <c r="AQ40" s="70"/>
      <c r="AR40" s="70"/>
      <c r="AS40" s="70"/>
      <c r="AT40" s="82"/>
      <c r="AU40" s="70"/>
      <c r="AV40" s="70"/>
      <c r="AW40" s="70"/>
      <c r="AX40" s="70"/>
      <c r="AY40" s="70"/>
      <c r="AZ40" s="70"/>
    </row>
    <row r="41" spans="1:52">
      <c r="A41" s="70"/>
      <c r="B41" s="70"/>
      <c r="C41" s="70"/>
      <c r="D41" s="70"/>
      <c r="E41" s="70"/>
      <c r="F41" s="70"/>
      <c r="G41" s="70" t="s">
        <v>118</v>
      </c>
      <c r="I41" t="s">
        <v>138</v>
      </c>
      <c r="L41" s="70"/>
      <c r="M41" s="70"/>
      <c r="N41" s="70"/>
      <c r="O41" s="70"/>
      <c r="P41" s="70"/>
      <c r="Q41" s="70"/>
      <c r="R41" s="70"/>
      <c r="S41" s="70"/>
      <c r="T41" s="70"/>
      <c r="U41" s="70"/>
      <c r="V41" s="70"/>
      <c r="W41" s="70"/>
      <c r="X41" s="70"/>
      <c r="Y41" s="70"/>
      <c r="Z41" s="70"/>
      <c r="AA41" s="70"/>
      <c r="AB41" s="70"/>
      <c r="AC41" s="70"/>
      <c r="AD41" s="70"/>
      <c r="AE41" s="70"/>
      <c r="AF41" s="70"/>
      <c r="AG41" s="70"/>
      <c r="AH41" s="70"/>
      <c r="AI41" s="70"/>
      <c r="AJ41" s="70"/>
      <c r="AK41" s="70"/>
      <c r="AL41" s="70"/>
      <c r="AM41" s="70"/>
      <c r="AN41" s="70"/>
      <c r="AO41" s="70"/>
      <c r="AP41" s="70"/>
      <c r="AQ41" s="70"/>
      <c r="AR41" s="70"/>
      <c r="AS41" s="70"/>
      <c r="AT41" s="82"/>
      <c r="AU41" s="70"/>
      <c r="AV41" s="70"/>
      <c r="AW41" s="70"/>
      <c r="AX41" s="70"/>
      <c r="AY41" s="70"/>
      <c r="AZ41" s="70"/>
    </row>
  </sheetData>
  <sortState xmlns:xlrd2="http://schemas.microsoft.com/office/spreadsheetml/2017/richdata2" ref="A5:BE21">
    <sortCondition ref="AT5:AT21"/>
  </sortState>
  <mergeCells count="2">
    <mergeCell ref="F1:G1"/>
    <mergeCell ref="F2:G2"/>
  </mergeCells>
  <phoneticPr fontId="21" type="noConversion"/>
  <conditionalFormatting sqref="D3:AS4 AR7:AS7 AF18:AS18 AF16:AH17 AK16:AS17">
    <cfRule type="expression" dxfId="385" priority="613" stopIfTrue="1">
      <formula>D$3="So"</formula>
    </cfRule>
    <cfRule type="expression" dxfId="384" priority="614" stopIfTrue="1">
      <formula>D$3="Sa"</formula>
    </cfRule>
  </conditionalFormatting>
  <conditionalFormatting sqref="AF6:AL6 X7:AA7 AF7:AH7 AM7:AO7 Z8:AS8 R9:S9 AS10 AL10:AQ10 N8:O8 R16 AP12:AS12 X10:Z10 U8:W8 AK19:AM19 AR19:AS19 M6:P6 M16:N16 M11:O12 U16:AD16 Z11:AS11 M17:P17 M15:P15 R15:AD15 R17:W17 R12:T12 U6:V6 X17:AD18 AE13 AO6 AH15:AS15 T18:W18 N19 AI20:AI21 AM20:AM21 AO20:AS21 M20:O21 Z20:AF21 AE15:AE18 AB9:AG9 AI9:AS9 AE10:AG10 AO13:AS14 AA12:AM12">
    <cfRule type="expression" dxfId="383" priority="603" stopIfTrue="1">
      <formula>M$3="So"</formula>
    </cfRule>
    <cfRule type="expression" dxfId="382" priority="604" stopIfTrue="1">
      <formula>M$3="Sa"</formula>
    </cfRule>
  </conditionalFormatting>
  <conditionalFormatting sqref="AP6:AS6">
    <cfRule type="expression" dxfId="381" priority="601" stopIfTrue="1">
      <formula>AP$3="So"</formula>
    </cfRule>
    <cfRule type="expression" dxfId="380" priority="602" stopIfTrue="1">
      <formula>AP$3="Sa"</formula>
    </cfRule>
  </conditionalFormatting>
  <conditionalFormatting sqref="AC6:AE6">
    <cfRule type="expression" dxfId="379" priority="595" stopIfTrue="1">
      <formula>AC$3="So"</formula>
    </cfRule>
    <cfRule type="expression" dxfId="378" priority="596" stopIfTrue="1">
      <formula>AC$3="Sa"</formula>
    </cfRule>
  </conditionalFormatting>
  <conditionalFormatting sqref="AO10:AQ10">
    <cfRule type="expression" dxfId="377" priority="577" stopIfTrue="1">
      <formula>AH$3="So"</formula>
    </cfRule>
    <cfRule type="expression" dxfId="376" priority="578" stopIfTrue="1">
      <formula>AH$3="Sa"</formula>
    </cfRule>
  </conditionalFormatting>
  <conditionalFormatting sqref="W6">
    <cfRule type="expression" dxfId="375" priority="575" stopIfTrue="1">
      <formula>W$3="So"</formula>
    </cfRule>
    <cfRule type="expression" dxfId="374" priority="576" stopIfTrue="1">
      <formula>W$3="Sa"</formula>
    </cfRule>
  </conditionalFormatting>
  <conditionalFormatting sqref="M13">
    <cfRule type="expression" dxfId="373" priority="569" stopIfTrue="1">
      <formula>M$3="So"</formula>
    </cfRule>
    <cfRule type="expression" dxfId="372" priority="570" stopIfTrue="1">
      <formula>M$3="Sa"</formula>
    </cfRule>
  </conditionalFormatting>
  <conditionalFormatting sqref="N13:P13 AN13 AA13:AD13">
    <cfRule type="expression" dxfId="371" priority="567" stopIfTrue="1">
      <formula>N$3="So"</formula>
    </cfRule>
    <cfRule type="expression" dxfId="370" priority="568" stopIfTrue="1">
      <formula>N$3="Sa"</formula>
    </cfRule>
  </conditionalFormatting>
  <conditionalFormatting sqref="X8:Y8">
    <cfRule type="expression" dxfId="369" priority="563" stopIfTrue="1">
      <formula>X$3="So"</formula>
    </cfRule>
    <cfRule type="expression" dxfId="368" priority="564" stopIfTrue="1">
      <formula>X$3="Sa"</formula>
    </cfRule>
  </conditionalFormatting>
  <conditionalFormatting sqref="M5">
    <cfRule type="expression" dxfId="367" priority="555" stopIfTrue="1">
      <formula>M$3="So"</formula>
    </cfRule>
    <cfRule type="expression" dxfId="366" priority="556" stopIfTrue="1">
      <formula>M$3="Sa"</formula>
    </cfRule>
  </conditionalFormatting>
  <conditionalFormatting sqref="N5">
    <cfRule type="expression" dxfId="365" priority="553" stopIfTrue="1">
      <formula>N$3="So"</formula>
    </cfRule>
    <cfRule type="expression" dxfId="364" priority="554" stopIfTrue="1">
      <formula>N$3="Sa"</formula>
    </cfRule>
  </conditionalFormatting>
  <conditionalFormatting sqref="O5">
    <cfRule type="expression" dxfId="363" priority="551" stopIfTrue="1">
      <formula>O$3="So"</formula>
    </cfRule>
    <cfRule type="expression" dxfId="362" priority="552" stopIfTrue="1">
      <formula>O$3="Sa"</formula>
    </cfRule>
  </conditionalFormatting>
  <conditionalFormatting sqref="M8">
    <cfRule type="expression" dxfId="361" priority="543" stopIfTrue="1">
      <formula>M$3="So"</formula>
    </cfRule>
    <cfRule type="expression" dxfId="360" priority="544" stopIfTrue="1">
      <formula>M$3="Sa"</formula>
    </cfRule>
  </conditionalFormatting>
  <conditionalFormatting sqref="P16">
    <cfRule type="expression" dxfId="359" priority="541" stopIfTrue="1">
      <formula>P$3="So"</formula>
    </cfRule>
    <cfRule type="expression" dxfId="358" priority="542" stopIfTrue="1">
      <formula>P$3="Sa"</formula>
    </cfRule>
  </conditionalFormatting>
  <conditionalFormatting sqref="R8">
    <cfRule type="expression" dxfId="357" priority="535" stopIfTrue="1">
      <formula>R$3="So"</formula>
    </cfRule>
    <cfRule type="expression" dxfId="356" priority="536" stopIfTrue="1">
      <formula>R$3="Sa"</formula>
    </cfRule>
  </conditionalFormatting>
  <conditionalFormatting sqref="O16">
    <cfRule type="expression" dxfId="355" priority="533" stopIfTrue="1">
      <formula>O$3="So"</formula>
    </cfRule>
    <cfRule type="expression" dxfId="354" priority="534" stopIfTrue="1">
      <formula>O$3="Sa"</formula>
    </cfRule>
  </conditionalFormatting>
  <conditionalFormatting sqref="P8">
    <cfRule type="expression" dxfId="353" priority="531" stopIfTrue="1">
      <formula>P$3="So"</formula>
    </cfRule>
    <cfRule type="expression" dxfId="352" priority="532" stopIfTrue="1">
      <formula>P$3="Sa"</formula>
    </cfRule>
  </conditionalFormatting>
  <conditionalFormatting sqref="S16">
    <cfRule type="expression" dxfId="351" priority="529" stopIfTrue="1">
      <formula>S$3="So"</formula>
    </cfRule>
    <cfRule type="expression" dxfId="350" priority="530" stopIfTrue="1">
      <formula>S$3="Sa"</formula>
    </cfRule>
  </conditionalFormatting>
  <conditionalFormatting sqref="T16">
    <cfRule type="expression" dxfId="349" priority="527" stopIfTrue="1">
      <formula>T$3="So"</formula>
    </cfRule>
    <cfRule type="expression" dxfId="348" priority="528" stopIfTrue="1">
      <formula>T$3="Sa"</formula>
    </cfRule>
  </conditionalFormatting>
  <conditionalFormatting sqref="W7">
    <cfRule type="expression" dxfId="347" priority="525" stopIfTrue="1">
      <formula>W$3="So"</formula>
    </cfRule>
    <cfRule type="expression" dxfId="346" priority="526" stopIfTrue="1">
      <formula>W$3="Sa"</formula>
    </cfRule>
  </conditionalFormatting>
  <conditionalFormatting sqref="V7">
    <cfRule type="expression" dxfId="345" priority="523" stopIfTrue="1">
      <formula>V$3="So"</formula>
    </cfRule>
    <cfRule type="expression" dxfId="344" priority="524" stopIfTrue="1">
      <formula>V$3="Sa"</formula>
    </cfRule>
  </conditionalFormatting>
  <conditionalFormatting sqref="AC7">
    <cfRule type="expression" dxfId="343" priority="521" stopIfTrue="1">
      <formula>AC$3="So"</formula>
    </cfRule>
    <cfRule type="expression" dxfId="342" priority="522" stopIfTrue="1">
      <formula>AC$3="Sa"</formula>
    </cfRule>
  </conditionalFormatting>
  <conditionalFormatting sqref="AO12">
    <cfRule type="expression" dxfId="341" priority="519" stopIfTrue="1">
      <formula>AO$3="So"</formula>
    </cfRule>
    <cfRule type="expression" dxfId="340" priority="520" stopIfTrue="1">
      <formula>AO$3="Sa"</formula>
    </cfRule>
  </conditionalFormatting>
  <conditionalFormatting sqref="AN12">
    <cfRule type="expression" dxfId="339" priority="517" stopIfTrue="1">
      <formula>AN$3="So"</formula>
    </cfRule>
    <cfRule type="expression" dxfId="338" priority="518" stopIfTrue="1">
      <formula>AN$3="Sa"</formula>
    </cfRule>
  </conditionalFormatting>
  <conditionalFormatting sqref="AA5">
    <cfRule type="expression" dxfId="337" priority="497" stopIfTrue="1">
      <formula>AA$3="So"</formula>
    </cfRule>
    <cfRule type="expression" dxfId="336" priority="498" stopIfTrue="1">
      <formula>AA$3="Sa"</formula>
    </cfRule>
  </conditionalFormatting>
  <conditionalFormatting sqref="AB5">
    <cfRule type="expression" dxfId="335" priority="495" stopIfTrue="1">
      <formula>AB$3="So"</formula>
    </cfRule>
    <cfRule type="expression" dxfId="334" priority="496" stopIfTrue="1">
      <formula>AB$3="Sa"</formula>
    </cfRule>
  </conditionalFormatting>
  <conditionalFormatting sqref="AC5">
    <cfRule type="expression" dxfId="333" priority="493" stopIfTrue="1">
      <formula>AC$3="So"</formula>
    </cfRule>
    <cfRule type="expression" dxfId="332" priority="494" stopIfTrue="1">
      <formula>AC$3="Sa"</formula>
    </cfRule>
  </conditionalFormatting>
  <conditionalFormatting sqref="AE5">
    <cfRule type="expression" dxfId="331" priority="491" stopIfTrue="1">
      <formula>AE$3="So"</formula>
    </cfRule>
    <cfRule type="expression" dxfId="330" priority="492" stopIfTrue="1">
      <formula>AE$3="Sa"</formula>
    </cfRule>
  </conditionalFormatting>
  <conditionalFormatting sqref="AD5">
    <cfRule type="expression" dxfId="329" priority="489" stopIfTrue="1">
      <formula>AD$3="So"</formula>
    </cfRule>
    <cfRule type="expression" dxfId="328" priority="490" stopIfTrue="1">
      <formula>AD$3="Sa"</formula>
    </cfRule>
  </conditionalFormatting>
  <conditionalFormatting sqref="AH5">
    <cfRule type="expression" dxfId="327" priority="487" stopIfTrue="1">
      <formula>AH$3="So"</formula>
    </cfRule>
    <cfRule type="expression" dxfId="326" priority="488" stopIfTrue="1">
      <formula>AH$3="Sa"</formula>
    </cfRule>
  </conditionalFormatting>
  <conditionalFormatting sqref="AI5">
    <cfRule type="expression" dxfId="325" priority="485" stopIfTrue="1">
      <formula>AI$3="So"</formula>
    </cfRule>
    <cfRule type="expression" dxfId="324" priority="486" stopIfTrue="1">
      <formula>AI$3="Sa"</formula>
    </cfRule>
  </conditionalFormatting>
  <conditionalFormatting sqref="AJ5">
    <cfRule type="expression" dxfId="323" priority="483" stopIfTrue="1">
      <formula>AJ$3="So"</formula>
    </cfRule>
    <cfRule type="expression" dxfId="322" priority="484" stopIfTrue="1">
      <formula>AJ$3="Sa"</formula>
    </cfRule>
  </conditionalFormatting>
  <conditionalFormatting sqref="AL5">
    <cfRule type="expression" dxfId="321" priority="481" stopIfTrue="1">
      <formula>AL$3="So"</formula>
    </cfRule>
    <cfRule type="expression" dxfId="320" priority="482" stopIfTrue="1">
      <formula>AL$3="Sa"</formula>
    </cfRule>
  </conditionalFormatting>
  <conditionalFormatting sqref="AK5">
    <cfRule type="expression" dxfId="319" priority="479" stopIfTrue="1">
      <formula>AK$3="So"</formula>
    </cfRule>
    <cfRule type="expression" dxfId="318" priority="480" stopIfTrue="1">
      <formula>AK$3="Sa"</formula>
    </cfRule>
  </conditionalFormatting>
  <conditionalFormatting sqref="AO5">
    <cfRule type="expression" dxfId="317" priority="477" stopIfTrue="1">
      <formula>AO$3="So"</formula>
    </cfRule>
    <cfRule type="expression" dxfId="316" priority="478" stopIfTrue="1">
      <formula>AO$3="Sa"</formula>
    </cfRule>
  </conditionalFormatting>
  <conditionalFormatting sqref="AP5">
    <cfRule type="expression" dxfId="315" priority="475" stopIfTrue="1">
      <formula>AP$3="So"</formula>
    </cfRule>
    <cfRule type="expression" dxfId="314" priority="476" stopIfTrue="1">
      <formula>AP$3="Sa"</formula>
    </cfRule>
  </conditionalFormatting>
  <conditionalFormatting sqref="AQ5">
    <cfRule type="expression" dxfId="313" priority="473" stopIfTrue="1">
      <formula>AQ$3="So"</formula>
    </cfRule>
    <cfRule type="expression" dxfId="312" priority="474" stopIfTrue="1">
      <formula>AQ$3="Sa"</formula>
    </cfRule>
  </conditionalFormatting>
  <conditionalFormatting sqref="AS5">
    <cfRule type="expression" dxfId="311" priority="471" stopIfTrue="1">
      <formula>AS$3="So"</formula>
    </cfRule>
    <cfRule type="expression" dxfId="310" priority="472" stopIfTrue="1">
      <formula>AS$3="Sa"</formula>
    </cfRule>
  </conditionalFormatting>
  <conditionalFormatting sqref="AR5">
    <cfRule type="expression" dxfId="309" priority="469" stopIfTrue="1">
      <formula>AR$3="So"</formula>
    </cfRule>
    <cfRule type="expression" dxfId="308" priority="470" stopIfTrue="1">
      <formula>AR$3="Sa"</formula>
    </cfRule>
  </conditionalFormatting>
  <conditionalFormatting sqref="AH19:AI19">
    <cfRule type="expression" dxfId="307" priority="463" stopIfTrue="1">
      <formula>AH$3="So"</formula>
    </cfRule>
    <cfRule type="expression" dxfId="306" priority="464" stopIfTrue="1">
      <formula>AH$3="Sa"</formula>
    </cfRule>
  </conditionalFormatting>
  <conditionalFormatting sqref="AO19:AQ19">
    <cfRule type="expression" dxfId="305" priority="461" stopIfTrue="1">
      <formula>AO$3="So"</formula>
    </cfRule>
    <cfRule type="expression" dxfId="304" priority="462" stopIfTrue="1">
      <formula>AO$3="Sa"</formula>
    </cfRule>
  </conditionalFormatting>
  <conditionalFormatting sqref="AN19">
    <cfRule type="expression" dxfId="303" priority="459" stopIfTrue="1">
      <formula>AN$3="So"</formula>
    </cfRule>
    <cfRule type="expression" dxfId="302" priority="460" stopIfTrue="1">
      <formula>AN$3="Sa"</formula>
    </cfRule>
  </conditionalFormatting>
  <conditionalFormatting sqref="R7">
    <cfRule type="expression" dxfId="301" priority="433" stopIfTrue="1">
      <formula>R$3="So"</formula>
    </cfRule>
    <cfRule type="expression" dxfId="300" priority="434" stopIfTrue="1">
      <formula>R$3="Sa"</formula>
    </cfRule>
  </conditionalFormatting>
  <conditionalFormatting sqref="S7">
    <cfRule type="expression" dxfId="299" priority="431" stopIfTrue="1">
      <formula>S$3="So"</formula>
    </cfRule>
    <cfRule type="expression" dxfId="298" priority="432" stopIfTrue="1">
      <formula>S$3="Sa"</formula>
    </cfRule>
  </conditionalFormatting>
  <conditionalFormatting sqref="M7 O7:P7">
    <cfRule type="expression" dxfId="297" priority="429" stopIfTrue="1">
      <formula>M$3="So"</formula>
    </cfRule>
    <cfRule type="expression" dxfId="296" priority="430" stopIfTrue="1">
      <formula>M$3="Sa"</formula>
    </cfRule>
  </conditionalFormatting>
  <conditionalFormatting sqref="Q7:Q9 N10:P10 Q12 Q15:Q17">
    <cfRule type="expression" dxfId="295" priority="419" stopIfTrue="1">
      <formula>N$3="So"</formula>
    </cfRule>
    <cfRule type="expression" dxfId="294" priority="420" stopIfTrue="1">
      <formula>N$3="Sa"</formula>
    </cfRule>
  </conditionalFormatting>
  <conditionalFormatting sqref="M11">
    <cfRule type="expression" dxfId="293" priority="417" stopIfTrue="1">
      <formula>U$3="So"</formula>
    </cfRule>
    <cfRule type="expression" dxfId="292" priority="418" stopIfTrue="1">
      <formula>U$3="Sa"</formula>
    </cfRule>
  </conditionalFormatting>
  <conditionalFormatting sqref="N11">
    <cfRule type="expression" dxfId="291" priority="415" stopIfTrue="1">
      <formula>V$3="So"</formula>
    </cfRule>
    <cfRule type="expression" dxfId="290" priority="416" stopIfTrue="1">
      <formula>V$3="Sa"</formula>
    </cfRule>
  </conditionalFormatting>
  <conditionalFormatting sqref="O20">
    <cfRule type="expression" dxfId="289" priority="399" stopIfTrue="1">
      <formula>W$3="So"</formula>
    </cfRule>
    <cfRule type="expression" dxfId="288" priority="400" stopIfTrue="1">
      <formula>W$3="Sa"</formula>
    </cfRule>
  </conditionalFormatting>
  <conditionalFormatting sqref="AB6">
    <cfRule type="expression" dxfId="287" priority="395" stopIfTrue="1">
      <formula>AB$3="So"</formula>
    </cfRule>
    <cfRule type="expression" dxfId="286" priority="396" stopIfTrue="1">
      <formula>AB$3="Sa"</formula>
    </cfRule>
  </conditionalFormatting>
  <conditionalFormatting sqref="AD7">
    <cfRule type="expression" dxfId="285" priority="393" stopIfTrue="1">
      <formula>AD$3="So"</formula>
    </cfRule>
    <cfRule type="expression" dxfId="284" priority="394" stopIfTrue="1">
      <formula>AD$3="Sa"</formula>
    </cfRule>
  </conditionalFormatting>
  <conditionalFormatting sqref="AE7">
    <cfRule type="expression" dxfId="283" priority="391" stopIfTrue="1">
      <formula>AE$3="So"</formula>
    </cfRule>
    <cfRule type="expression" dxfId="282" priority="392" stopIfTrue="1">
      <formula>AE$3="Sa"</formula>
    </cfRule>
  </conditionalFormatting>
  <conditionalFormatting sqref="AK7">
    <cfRule type="expression" dxfId="281" priority="387" stopIfTrue="1">
      <formula>AK$3="So"</formula>
    </cfRule>
    <cfRule type="expression" dxfId="280" priority="388" stopIfTrue="1">
      <formula>AK$3="Sa"</formula>
    </cfRule>
  </conditionalFormatting>
  <conditionalFormatting sqref="AL7">
    <cfRule type="expression" dxfId="279" priority="385" stopIfTrue="1">
      <formula>AL$3="So"</formula>
    </cfRule>
    <cfRule type="expression" dxfId="278" priority="386" stopIfTrue="1">
      <formula>AL$3="Sa"</formula>
    </cfRule>
  </conditionalFormatting>
  <conditionalFormatting sqref="AG13">
    <cfRule type="expression" dxfId="277" priority="383" stopIfTrue="1">
      <formula>AG$3="So"</formula>
    </cfRule>
    <cfRule type="expression" dxfId="276" priority="384" stopIfTrue="1">
      <formula>AG$3="Sa"</formula>
    </cfRule>
  </conditionalFormatting>
  <conditionalFormatting sqref="AH13">
    <cfRule type="expression" dxfId="275" priority="379" stopIfTrue="1">
      <formula>AH$3="So"</formula>
    </cfRule>
    <cfRule type="expression" dxfId="274" priority="380" stopIfTrue="1">
      <formula>AH$3="Sa"</formula>
    </cfRule>
  </conditionalFormatting>
  <conditionalFormatting sqref="AK13:AM13">
    <cfRule type="expression" dxfId="273" priority="377" stopIfTrue="1">
      <formula>AK$3="So"</formula>
    </cfRule>
    <cfRule type="expression" dxfId="272" priority="378" stopIfTrue="1">
      <formula>AK$3="Sa"</formula>
    </cfRule>
  </conditionalFormatting>
  <conditionalFormatting sqref="AG19">
    <cfRule type="expression" dxfId="271" priority="375" stopIfTrue="1">
      <formula>AG$3="So"</formula>
    </cfRule>
    <cfRule type="expression" dxfId="270" priority="376" stopIfTrue="1">
      <formula>AG$3="Sa"</formula>
    </cfRule>
  </conditionalFormatting>
  <conditionalFormatting sqref="Y18:Z18">
    <cfRule type="expression" dxfId="269" priority="357" stopIfTrue="1">
      <formula>AG$3="So"</formula>
    </cfRule>
    <cfRule type="expression" dxfId="268" priority="358" stopIfTrue="1">
      <formula>AG$3="Sa"</formula>
    </cfRule>
  </conditionalFormatting>
  <conditionalFormatting sqref="AF18:AG18">
    <cfRule type="expression" dxfId="267" priority="355" stopIfTrue="1">
      <formula>AN$3="So"</formula>
    </cfRule>
    <cfRule type="expression" dxfId="266" priority="356" stopIfTrue="1">
      <formula>AN$3="Sa"</formula>
    </cfRule>
  </conditionalFormatting>
  <conditionalFormatting sqref="AL18:AN18">
    <cfRule type="expression" dxfId="265" priority="353" stopIfTrue="1">
      <formula>AT$3="So"</formula>
    </cfRule>
    <cfRule type="expression" dxfId="264" priority="354" stopIfTrue="1">
      <formula>AT$3="Sa"</formula>
    </cfRule>
  </conditionalFormatting>
  <conditionalFormatting sqref="AA6">
    <cfRule type="expression" dxfId="263" priority="339" stopIfTrue="1">
      <formula>AA$3="So"</formula>
    </cfRule>
    <cfRule type="expression" dxfId="262" priority="340" stopIfTrue="1">
      <formula>AA$3="Sa"</formula>
    </cfRule>
  </conditionalFormatting>
  <conditionalFormatting sqref="X6">
    <cfRule type="expression" dxfId="261" priority="327" stopIfTrue="1">
      <formula>X$3="So"</formula>
    </cfRule>
    <cfRule type="expression" dxfId="260" priority="328" stopIfTrue="1">
      <formula>X$3="Sa"</formula>
    </cfRule>
  </conditionalFormatting>
  <conditionalFormatting sqref="AF13">
    <cfRule type="expression" dxfId="259" priority="317" stopIfTrue="1">
      <formula>AF$3="So"</formula>
    </cfRule>
    <cfRule type="expression" dxfId="258" priority="318" stopIfTrue="1">
      <formula>AF$3="Sa"</formula>
    </cfRule>
  </conditionalFormatting>
  <conditionalFormatting sqref="R15:T15">
    <cfRule type="expression" dxfId="257" priority="311" stopIfTrue="1">
      <formula>Z$3="So"</formula>
    </cfRule>
    <cfRule type="expression" dxfId="256" priority="312" stopIfTrue="1">
      <formula>Z$3="Sa"</formula>
    </cfRule>
  </conditionalFormatting>
  <conditionalFormatting sqref="T7">
    <cfRule type="expression" dxfId="255" priority="303" stopIfTrue="1">
      <formula>T$3="So"</formula>
    </cfRule>
    <cfRule type="expression" dxfId="254" priority="304" stopIfTrue="1">
      <formula>T$3="Sa"</formula>
    </cfRule>
  </conditionalFormatting>
  <conditionalFormatting sqref="T7">
    <cfRule type="expression" dxfId="253" priority="301" stopIfTrue="1">
      <formula>AB$3="So"</formula>
    </cfRule>
    <cfRule type="expression" dxfId="252" priority="302" stopIfTrue="1">
      <formula>AB$3="Sa"</formula>
    </cfRule>
  </conditionalFormatting>
  <conditionalFormatting sqref="Y5:Z5">
    <cfRule type="expression" dxfId="251" priority="295" stopIfTrue="1">
      <formula>Y$3="So"</formula>
    </cfRule>
    <cfRule type="expression" dxfId="250" priority="296" stopIfTrue="1">
      <formula>Y$3="Sa"</formula>
    </cfRule>
  </conditionalFormatting>
  <conditionalFormatting sqref="Y5:Z5">
    <cfRule type="expression" dxfId="249" priority="293" stopIfTrue="1">
      <formula>AG$3="So"</formula>
    </cfRule>
    <cfRule type="expression" dxfId="248" priority="294" stopIfTrue="1">
      <formula>AG$3="Sa"</formula>
    </cfRule>
  </conditionalFormatting>
  <conditionalFormatting sqref="C5:C21">
    <cfRule type="expression" dxfId="247" priority="291" stopIfTrue="1">
      <formula>C$3="So"</formula>
    </cfRule>
    <cfRule type="expression" dxfId="246" priority="292">
      <formula>C$3="Sa"</formula>
    </cfRule>
  </conditionalFormatting>
  <conditionalFormatting sqref="R5">
    <cfRule type="expression" dxfId="245" priority="287" stopIfTrue="1">
      <formula>R$3="So"</formula>
    </cfRule>
    <cfRule type="expression" dxfId="244" priority="288" stopIfTrue="1">
      <formula>R$3="Sa"</formula>
    </cfRule>
  </conditionalFormatting>
  <conditionalFormatting sqref="S5:X5">
    <cfRule type="expression" dxfId="243" priority="283" stopIfTrue="1">
      <formula>S$3="So"</formula>
    </cfRule>
    <cfRule type="expression" dxfId="242" priority="284" stopIfTrue="1">
      <formula>S$3="Sa"</formula>
    </cfRule>
  </conditionalFormatting>
  <conditionalFormatting sqref="Y6">
    <cfRule type="expression" dxfId="241" priority="281" stopIfTrue="1">
      <formula>R$3="So"</formula>
    </cfRule>
    <cfRule type="expression" dxfId="240" priority="282" stopIfTrue="1">
      <formula>R$3="Sa"</formula>
    </cfRule>
  </conditionalFormatting>
  <conditionalFormatting sqref="Z6">
    <cfRule type="expression" dxfId="239" priority="279" stopIfTrue="1">
      <formula>S$3="So"</formula>
    </cfRule>
    <cfRule type="expression" dxfId="238" priority="280" stopIfTrue="1">
      <formula>S$3="Sa"</formula>
    </cfRule>
  </conditionalFormatting>
  <conditionalFormatting sqref="AM6:AN6">
    <cfRule type="expression" dxfId="237" priority="277" stopIfTrue="1">
      <formula>AF$3="So"</formula>
    </cfRule>
    <cfRule type="expression" dxfId="236" priority="278" stopIfTrue="1">
      <formula>AF$3="Sa"</formula>
    </cfRule>
  </conditionalFormatting>
  <conditionalFormatting sqref="N7">
    <cfRule type="expression" dxfId="235" priority="275" stopIfTrue="1">
      <formula>G$3="So"</formula>
    </cfRule>
    <cfRule type="expression" dxfId="234" priority="276" stopIfTrue="1">
      <formula>G$3="Sa"</formula>
    </cfRule>
  </conditionalFormatting>
  <conditionalFormatting sqref="U7">
    <cfRule type="expression" dxfId="233" priority="271" stopIfTrue="1">
      <formula>N$3="So"</formula>
    </cfRule>
    <cfRule type="expression" dxfId="232" priority="272" stopIfTrue="1">
      <formula>N$3="Sa"</formula>
    </cfRule>
  </conditionalFormatting>
  <conditionalFormatting sqref="AB7">
    <cfRule type="expression" dxfId="231" priority="269" stopIfTrue="1">
      <formula>U$3="So"</formula>
    </cfRule>
    <cfRule type="expression" dxfId="230" priority="270" stopIfTrue="1">
      <formula>U$3="Sa"</formula>
    </cfRule>
  </conditionalFormatting>
  <conditionalFormatting sqref="AI7">
    <cfRule type="expression" dxfId="229" priority="265" stopIfTrue="1">
      <formula>AI$3="So"</formula>
    </cfRule>
    <cfRule type="expression" dxfId="228" priority="266" stopIfTrue="1">
      <formula>AI$3="Sa"</formula>
    </cfRule>
  </conditionalFormatting>
  <conditionalFormatting sqref="M10">
    <cfRule type="expression" dxfId="227" priority="261" stopIfTrue="1">
      <formula>F$3="So"</formula>
    </cfRule>
    <cfRule type="expression" dxfId="226" priority="262" stopIfTrue="1">
      <formula>F$3="Sa"</formula>
    </cfRule>
  </conditionalFormatting>
  <conditionalFormatting sqref="U10:W10">
    <cfRule type="expression" dxfId="225" priority="259" stopIfTrue="1">
      <formula>U$3="So"</formula>
    </cfRule>
    <cfRule type="expression" dxfId="224" priority="260" stopIfTrue="1">
      <formula>U$3="Sa"</formula>
    </cfRule>
  </conditionalFormatting>
  <conditionalFormatting sqref="T10">
    <cfRule type="expression" dxfId="223" priority="257" stopIfTrue="1">
      <formula>M$3="So"</formula>
    </cfRule>
    <cfRule type="expression" dxfId="222" priority="258" stopIfTrue="1">
      <formula>M$3="Sa"</formula>
    </cfRule>
  </conditionalFormatting>
  <conditionalFormatting sqref="AB10:AD10">
    <cfRule type="expression" dxfId="221" priority="255" stopIfTrue="1">
      <formula>AB$3="So"</formula>
    </cfRule>
    <cfRule type="expression" dxfId="220" priority="256" stopIfTrue="1">
      <formula>AB$3="Sa"</formula>
    </cfRule>
  </conditionalFormatting>
  <conditionalFormatting sqref="AA10">
    <cfRule type="expression" dxfId="219" priority="253" stopIfTrue="1">
      <formula>T$3="So"</formula>
    </cfRule>
    <cfRule type="expression" dxfId="218" priority="254" stopIfTrue="1">
      <formula>T$3="Sa"</formula>
    </cfRule>
  </conditionalFormatting>
  <conditionalFormatting sqref="AI10:AK10">
    <cfRule type="expression" dxfId="217" priority="251" stopIfTrue="1">
      <formula>AI$3="So"</formula>
    </cfRule>
    <cfRule type="expression" dxfId="216" priority="252" stopIfTrue="1">
      <formula>AI$3="Sa"</formula>
    </cfRule>
  </conditionalFormatting>
  <conditionalFormatting sqref="AH10">
    <cfRule type="expression" dxfId="215" priority="249" stopIfTrue="1">
      <formula>AA$3="So"</formula>
    </cfRule>
    <cfRule type="expression" dxfId="214" priority="250" stopIfTrue="1">
      <formula>AA$3="Sa"</formula>
    </cfRule>
  </conditionalFormatting>
  <conditionalFormatting sqref="AJ7">
    <cfRule type="expression" dxfId="213" priority="617" stopIfTrue="1">
      <formula>AQ$3="So"</formula>
    </cfRule>
    <cfRule type="expression" dxfId="212" priority="618" stopIfTrue="1">
      <formula>AQ$3="Sa"</formula>
    </cfRule>
  </conditionalFormatting>
  <conditionalFormatting sqref="P5">
    <cfRule type="expression" dxfId="211" priority="245" stopIfTrue="1">
      <formula>P$3="So"</formula>
    </cfRule>
    <cfRule type="expression" dxfId="210" priority="246" stopIfTrue="1">
      <formula>P$3="Sa"</formula>
    </cfRule>
  </conditionalFormatting>
  <conditionalFormatting sqref="Q5">
    <cfRule type="expression" dxfId="209" priority="243" stopIfTrue="1">
      <formula>Q$3="So"</formula>
    </cfRule>
    <cfRule type="expression" dxfId="208" priority="244" stopIfTrue="1">
      <formula>Q$3="Sa"</formula>
    </cfRule>
  </conditionalFormatting>
  <conditionalFormatting sqref="R11:Y11">
    <cfRule type="expression" dxfId="207" priority="241" stopIfTrue="1">
      <formula>R$3="So"</formula>
    </cfRule>
    <cfRule type="expression" dxfId="206" priority="242" stopIfTrue="1">
      <formula>R$3="Sa"</formula>
    </cfRule>
  </conditionalFormatting>
  <conditionalFormatting sqref="Z13">
    <cfRule type="expression" dxfId="205" priority="239" stopIfTrue="1">
      <formula>Z$3="So"</formula>
    </cfRule>
    <cfRule type="expression" dxfId="204" priority="240" stopIfTrue="1">
      <formula>Z$3="Sa"</formula>
    </cfRule>
  </conditionalFormatting>
  <conditionalFormatting sqref="Q13">
    <cfRule type="expression" dxfId="203" priority="237" stopIfTrue="1">
      <formula>Q$3="So"</formula>
    </cfRule>
    <cfRule type="expression" dxfId="202" priority="238" stopIfTrue="1">
      <formula>Q$3="Sa"</formula>
    </cfRule>
  </conditionalFormatting>
  <conditionalFormatting sqref="R13:Y13">
    <cfRule type="expression" dxfId="201" priority="235" stopIfTrue="1">
      <formula>R$3="So"</formula>
    </cfRule>
    <cfRule type="expression" dxfId="200" priority="236" stopIfTrue="1">
      <formula>R$3="Sa"</formula>
    </cfRule>
  </conditionalFormatting>
  <conditionalFormatting sqref="P11">
    <cfRule type="expression" dxfId="199" priority="233" stopIfTrue="1">
      <formula>P$3="So"</formula>
    </cfRule>
    <cfRule type="expression" dxfId="198" priority="234" stopIfTrue="1">
      <formula>P$3="Sa"</formula>
    </cfRule>
  </conditionalFormatting>
  <conditionalFormatting sqref="Q11">
    <cfRule type="expression" dxfId="197" priority="231" stopIfTrue="1">
      <formula>Q$3="So"</formula>
    </cfRule>
    <cfRule type="expression" dxfId="196" priority="232" stopIfTrue="1">
      <formula>Q$3="Sa"</formula>
    </cfRule>
  </conditionalFormatting>
  <conditionalFormatting sqref="AI13">
    <cfRule type="expression" dxfId="195" priority="229" stopIfTrue="1">
      <formula>AI$3="So"</formula>
    </cfRule>
    <cfRule type="expression" dxfId="194" priority="230" stopIfTrue="1">
      <formula>AI$3="Sa"</formula>
    </cfRule>
  </conditionalFormatting>
  <conditionalFormatting sqref="AJ13">
    <cfRule type="expression" dxfId="193" priority="227" stopIfTrue="1">
      <formula>AJ$3="So"</formula>
    </cfRule>
    <cfRule type="expression" dxfId="192" priority="228" stopIfTrue="1">
      <formula>AJ$3="Sa"</formula>
    </cfRule>
  </conditionalFormatting>
  <conditionalFormatting sqref="AF15">
    <cfRule type="expression" dxfId="191" priority="225" stopIfTrue="1">
      <formula>Y$3="So"</formula>
    </cfRule>
    <cfRule type="expression" dxfId="190" priority="226" stopIfTrue="1">
      <formula>Y$3="Sa"</formula>
    </cfRule>
  </conditionalFormatting>
  <conditionalFormatting sqref="AG15">
    <cfRule type="expression" dxfId="189" priority="223" stopIfTrue="1">
      <formula>Z$3="So"</formula>
    </cfRule>
    <cfRule type="expression" dxfId="188" priority="224" stopIfTrue="1">
      <formula>Z$3="Sa"</formula>
    </cfRule>
  </conditionalFormatting>
  <conditionalFormatting sqref="M18:S18">
    <cfRule type="expression" dxfId="187" priority="217" stopIfTrue="1">
      <formula>M$3="So"</formula>
    </cfRule>
    <cfRule type="expression" dxfId="186" priority="218" stopIfTrue="1">
      <formula>M$3="Sa"</formula>
    </cfRule>
  </conditionalFormatting>
  <conditionalFormatting sqref="M19">
    <cfRule type="expression" dxfId="185" priority="207" stopIfTrue="1">
      <formula>M$3="So"</formula>
    </cfRule>
    <cfRule type="expression" dxfId="184" priority="208" stopIfTrue="1">
      <formula>M$3="Sa"</formula>
    </cfRule>
  </conditionalFormatting>
  <conditionalFormatting sqref="O19">
    <cfRule type="expression" dxfId="183" priority="205" stopIfTrue="1">
      <formula>O$3="So"</formula>
    </cfRule>
    <cfRule type="expression" dxfId="182" priority="206" stopIfTrue="1">
      <formula>O$3="Sa"</formula>
    </cfRule>
  </conditionalFormatting>
  <conditionalFormatting sqref="P19">
    <cfRule type="expression" dxfId="181" priority="203" stopIfTrue="1">
      <formula>P$3="So"</formula>
    </cfRule>
    <cfRule type="expression" dxfId="180" priority="204" stopIfTrue="1">
      <formula>P$3="Sa"</formula>
    </cfRule>
  </conditionalFormatting>
  <conditionalFormatting sqref="Q19">
    <cfRule type="expression" dxfId="179" priority="199" stopIfTrue="1">
      <formula>Q$3="So"</formula>
    </cfRule>
    <cfRule type="expression" dxfId="178" priority="200" stopIfTrue="1">
      <formula>Q$3="Sa"</formula>
    </cfRule>
  </conditionalFormatting>
  <conditionalFormatting sqref="R19:X19">
    <cfRule type="expression" dxfId="177" priority="197" stopIfTrue="1">
      <formula>R$3="So"</formula>
    </cfRule>
    <cfRule type="expression" dxfId="176" priority="198" stopIfTrue="1">
      <formula>R$3="Sa"</formula>
    </cfRule>
  </conditionalFormatting>
  <conditionalFormatting sqref="Y19:AF19">
    <cfRule type="expression" dxfId="175" priority="195" stopIfTrue="1">
      <formula>Y$3="So"</formula>
    </cfRule>
    <cfRule type="expression" dxfId="174" priority="196" stopIfTrue="1">
      <formula>Y$3="Sa"</formula>
    </cfRule>
  </conditionalFormatting>
  <conditionalFormatting sqref="AJ19">
    <cfRule type="expression" dxfId="173" priority="193" stopIfTrue="1">
      <formula>AJ$3="So"</formula>
    </cfRule>
    <cfRule type="expression" dxfId="172" priority="194" stopIfTrue="1">
      <formula>AJ$3="Sa"</formula>
    </cfRule>
  </conditionalFormatting>
  <conditionalFormatting sqref="AK20:AL20">
    <cfRule type="expression" dxfId="171" priority="191" stopIfTrue="1">
      <formula>AK$3="So"</formula>
    </cfRule>
    <cfRule type="expression" dxfId="170" priority="192" stopIfTrue="1">
      <formula>AK$3="Sa"</formula>
    </cfRule>
  </conditionalFormatting>
  <conditionalFormatting sqref="AK21:AL21">
    <cfRule type="expression" dxfId="169" priority="189" stopIfTrue="1">
      <formula>AK$3="So"</formula>
    </cfRule>
    <cfRule type="expression" dxfId="168" priority="190" stopIfTrue="1">
      <formula>AK$3="Sa"</formula>
    </cfRule>
  </conditionalFormatting>
  <conditionalFormatting sqref="AH20">
    <cfRule type="expression" dxfId="167" priority="183" stopIfTrue="1">
      <formula>AH$3="So"</formula>
    </cfRule>
    <cfRule type="expression" dxfId="166" priority="184" stopIfTrue="1">
      <formula>AH$3="Sa"</formula>
    </cfRule>
  </conditionalFormatting>
  <conditionalFormatting sqref="AH21">
    <cfRule type="expression" dxfId="165" priority="181" stopIfTrue="1">
      <formula>AH$3="So"</formula>
    </cfRule>
    <cfRule type="expression" dxfId="164" priority="182" stopIfTrue="1">
      <formula>AH$3="Sa"</formula>
    </cfRule>
  </conditionalFormatting>
  <conditionalFormatting sqref="AG20">
    <cfRule type="expression" dxfId="163" priority="179" stopIfTrue="1">
      <formula>Z$3="So"</formula>
    </cfRule>
    <cfRule type="expression" dxfId="162" priority="180" stopIfTrue="1">
      <formula>Z$3="Sa"</formula>
    </cfRule>
  </conditionalFormatting>
  <conditionalFormatting sqref="AG21">
    <cfRule type="expression" dxfId="161" priority="177" stopIfTrue="1">
      <formula>Z$3="So"</formula>
    </cfRule>
    <cfRule type="expression" dxfId="160" priority="178" stopIfTrue="1">
      <formula>Z$3="Sa"</formula>
    </cfRule>
  </conditionalFormatting>
  <conditionalFormatting sqref="AN20">
    <cfRule type="expression" dxfId="159" priority="175" stopIfTrue="1">
      <formula>AG$3="So"</formula>
    </cfRule>
    <cfRule type="expression" dxfId="158" priority="176" stopIfTrue="1">
      <formula>AG$3="Sa"</formula>
    </cfRule>
  </conditionalFormatting>
  <conditionalFormatting sqref="AN21">
    <cfRule type="expression" dxfId="157" priority="173" stopIfTrue="1">
      <formula>AG$3="So"</formula>
    </cfRule>
    <cfRule type="expression" dxfId="156" priority="174" stopIfTrue="1">
      <formula>AG$3="Sa"</formula>
    </cfRule>
  </conditionalFormatting>
  <conditionalFormatting sqref="P20">
    <cfRule type="expression" dxfId="155" priority="171" stopIfTrue="1">
      <formula>P$3="So"</formula>
    </cfRule>
    <cfRule type="expression" dxfId="154" priority="172" stopIfTrue="1">
      <formula>P$3="Sa"</formula>
    </cfRule>
  </conditionalFormatting>
  <conditionalFormatting sqref="P21">
    <cfRule type="expression" dxfId="153" priority="169" stopIfTrue="1">
      <formula>P$3="So"</formula>
    </cfRule>
    <cfRule type="expression" dxfId="152" priority="170" stopIfTrue="1">
      <formula>P$3="Sa"</formula>
    </cfRule>
  </conditionalFormatting>
  <conditionalFormatting sqref="Q20">
    <cfRule type="expression" dxfId="151" priority="167" stopIfTrue="1">
      <formula>Q$3="So"</formula>
    </cfRule>
    <cfRule type="expression" dxfId="150" priority="168" stopIfTrue="1">
      <formula>Q$3="Sa"</formula>
    </cfRule>
  </conditionalFormatting>
  <conditionalFormatting sqref="R20:Y20">
    <cfRule type="expression" dxfId="149" priority="163" stopIfTrue="1">
      <formula>R$3="So"</formula>
    </cfRule>
    <cfRule type="expression" dxfId="148" priority="164" stopIfTrue="1">
      <formula>R$3="Sa"</formula>
    </cfRule>
  </conditionalFormatting>
  <conditionalFormatting sqref="R21">
    <cfRule type="expression" dxfId="147" priority="161" stopIfTrue="1">
      <formula>R$3="So"</formula>
    </cfRule>
    <cfRule type="expression" dxfId="146" priority="162" stopIfTrue="1">
      <formula>R$3="Sa"</formula>
    </cfRule>
  </conditionalFormatting>
  <conditionalFormatting sqref="S21:Y21">
    <cfRule type="expression" dxfId="145" priority="159" stopIfTrue="1">
      <formula>S$3="So"</formula>
    </cfRule>
    <cfRule type="expression" dxfId="144" priority="160" stopIfTrue="1">
      <formula>S$3="Sa"</formula>
    </cfRule>
  </conditionalFormatting>
  <conditionalFormatting sqref="Q21">
    <cfRule type="expression" dxfId="143" priority="157" stopIfTrue="1">
      <formula>Q$3="So"</formula>
    </cfRule>
    <cfRule type="expression" dxfId="142" priority="158" stopIfTrue="1">
      <formula>Q$3="Sa"</formula>
    </cfRule>
  </conditionalFormatting>
  <conditionalFormatting sqref="D13 K17 H5:J5 D7:E7 D11:G11 D14:J17 F13:G13 F6:L6 K9:L9 K11:L11 K15 F12:L12 D18:I18 D19:J19 H7:J7 K16:L16 D8:J10 D20:K21">
    <cfRule type="expression" dxfId="141" priority="155" stopIfTrue="1">
      <formula>D$3="So"</formula>
    </cfRule>
    <cfRule type="expression" dxfId="140" priority="156" stopIfTrue="1">
      <formula>D$3="Sa"</formula>
    </cfRule>
  </conditionalFormatting>
  <conditionalFormatting sqref="K13">
    <cfRule type="expression" dxfId="139" priority="153" stopIfTrue="1">
      <formula>K$3="So"</formula>
    </cfRule>
    <cfRule type="expression" dxfId="138" priority="154" stopIfTrue="1">
      <formula>K$3="Sa"</formula>
    </cfRule>
  </conditionalFormatting>
  <conditionalFormatting sqref="L13">
    <cfRule type="expression" dxfId="137" priority="151" stopIfTrue="1">
      <formula>L$3="So"</formula>
    </cfRule>
    <cfRule type="expression" dxfId="136" priority="152" stopIfTrue="1">
      <formula>L$3="Sa"</formula>
    </cfRule>
  </conditionalFormatting>
  <conditionalFormatting sqref="E13">
    <cfRule type="expression" dxfId="135" priority="149" stopIfTrue="1">
      <formula>E$3="So"</formula>
    </cfRule>
    <cfRule type="expression" dxfId="134" priority="150" stopIfTrue="1">
      <formula>E$3="Sa"</formula>
    </cfRule>
  </conditionalFormatting>
  <conditionalFormatting sqref="L8">
    <cfRule type="expression" dxfId="133" priority="145" stopIfTrue="1">
      <formula>L$3="So"</formula>
    </cfRule>
    <cfRule type="expression" dxfId="132" priority="146" stopIfTrue="1">
      <formula>L$3="Sa"</formula>
    </cfRule>
  </conditionalFormatting>
  <conditionalFormatting sqref="L15">
    <cfRule type="expression" dxfId="131" priority="143" stopIfTrue="1">
      <formula>L$3="So"</formula>
    </cfRule>
    <cfRule type="expression" dxfId="130" priority="144" stopIfTrue="1">
      <formula>L$3="Sa"</formula>
    </cfRule>
  </conditionalFormatting>
  <conditionalFormatting sqref="D5">
    <cfRule type="expression" dxfId="129" priority="141" stopIfTrue="1">
      <formula>D$3="So"</formula>
    </cfRule>
    <cfRule type="expression" dxfId="128" priority="142" stopIfTrue="1">
      <formula>D$3="Sa"</formula>
    </cfRule>
  </conditionalFormatting>
  <conditionalFormatting sqref="E5">
    <cfRule type="expression" dxfId="127" priority="139" stopIfTrue="1">
      <formula>E$3="So"</formula>
    </cfRule>
    <cfRule type="expression" dxfId="126" priority="140" stopIfTrue="1">
      <formula>E$3="Sa"</formula>
    </cfRule>
  </conditionalFormatting>
  <conditionalFormatting sqref="F5">
    <cfRule type="expression" dxfId="125" priority="137" stopIfTrue="1">
      <formula>F$3="So"</formula>
    </cfRule>
    <cfRule type="expression" dxfId="124" priority="138" stopIfTrue="1">
      <formula>F$3="Sa"</formula>
    </cfRule>
  </conditionalFormatting>
  <conditionalFormatting sqref="G5">
    <cfRule type="expression" dxfId="123" priority="135" stopIfTrue="1">
      <formula>G$3="So"</formula>
    </cfRule>
    <cfRule type="expression" dxfId="122" priority="136" stopIfTrue="1">
      <formula>G$3="Sa"</formula>
    </cfRule>
  </conditionalFormatting>
  <conditionalFormatting sqref="D6">
    <cfRule type="expression" dxfId="121" priority="133" stopIfTrue="1">
      <formula>D$3="So"</formula>
    </cfRule>
    <cfRule type="expression" dxfId="120" priority="134" stopIfTrue="1">
      <formula>D$3="Sa"</formula>
    </cfRule>
  </conditionalFormatting>
  <conditionalFormatting sqref="E6">
    <cfRule type="expression" dxfId="119" priority="131" stopIfTrue="1">
      <formula>E$3="So"</formula>
    </cfRule>
    <cfRule type="expression" dxfId="118" priority="132" stopIfTrue="1">
      <formula>E$3="Sa"</formula>
    </cfRule>
  </conditionalFormatting>
  <conditionalFormatting sqref="F7:G7">
    <cfRule type="expression" dxfId="117" priority="129" stopIfTrue="1">
      <formula>F$3="So"</formula>
    </cfRule>
    <cfRule type="expression" dxfId="116" priority="130" stopIfTrue="1">
      <formula>F$3="Sa"</formula>
    </cfRule>
  </conditionalFormatting>
  <conditionalFormatting sqref="H11:J11">
    <cfRule type="expression" dxfId="115" priority="127" stopIfTrue="1">
      <formula>H$3="So"</formula>
    </cfRule>
    <cfRule type="expression" dxfId="114" priority="128" stopIfTrue="1">
      <formula>H$3="Sa"</formula>
    </cfRule>
  </conditionalFormatting>
  <conditionalFormatting sqref="D12:E12">
    <cfRule type="expression" dxfId="113" priority="125" stopIfTrue="1">
      <formula>D$3="So"</formula>
    </cfRule>
    <cfRule type="expression" dxfId="112" priority="126" stopIfTrue="1">
      <formula>D$3="Sa"</formula>
    </cfRule>
  </conditionalFormatting>
  <conditionalFormatting sqref="H13:J13">
    <cfRule type="expression" dxfId="111" priority="123" stopIfTrue="1">
      <formula>H$3="So"</formula>
    </cfRule>
    <cfRule type="expression" dxfId="110" priority="124" stopIfTrue="1">
      <formula>H$3="Sa"</formula>
    </cfRule>
  </conditionalFormatting>
  <conditionalFormatting sqref="K7">
    <cfRule type="expression" dxfId="109" priority="121" stopIfTrue="1">
      <formula>K$3="So"</formula>
    </cfRule>
    <cfRule type="expression" dxfId="108" priority="122" stopIfTrue="1">
      <formula>K$3="Sa"</formula>
    </cfRule>
  </conditionalFormatting>
  <conditionalFormatting sqref="L7">
    <cfRule type="expression" dxfId="107" priority="119" stopIfTrue="1">
      <formula>L$3="So"</formula>
    </cfRule>
    <cfRule type="expression" dxfId="106" priority="120" stopIfTrue="1">
      <formula>L$3="Sa"</formula>
    </cfRule>
  </conditionalFormatting>
  <conditionalFormatting sqref="L9">
    <cfRule type="expression" dxfId="105" priority="117" stopIfTrue="1">
      <formula>T$3="So"</formula>
    </cfRule>
    <cfRule type="expression" dxfId="104" priority="118" stopIfTrue="1">
      <formula>T$3="Sa"</formula>
    </cfRule>
  </conditionalFormatting>
  <conditionalFormatting sqref="K10">
    <cfRule type="expression" dxfId="103" priority="115" stopIfTrue="1">
      <formula>K$3="So"</formula>
    </cfRule>
    <cfRule type="expression" dxfId="102" priority="116" stopIfTrue="1">
      <formula>K$3="Sa"</formula>
    </cfRule>
  </conditionalFormatting>
  <conditionalFormatting sqref="L10">
    <cfRule type="expression" dxfId="101" priority="113" stopIfTrue="1">
      <formula>L$3="So"</formula>
    </cfRule>
    <cfRule type="expression" dxfId="100" priority="114" stopIfTrue="1">
      <formula>L$3="Sa"</formula>
    </cfRule>
  </conditionalFormatting>
  <conditionalFormatting sqref="K16:L16">
    <cfRule type="expression" dxfId="99" priority="111" stopIfTrue="1">
      <formula>S$3="So"</formula>
    </cfRule>
    <cfRule type="expression" dxfId="98" priority="112" stopIfTrue="1">
      <formula>S$3="Sa"</formula>
    </cfRule>
  </conditionalFormatting>
  <conditionalFormatting sqref="J18">
    <cfRule type="expression" dxfId="97" priority="109" stopIfTrue="1">
      <formula>J$3="So"</formula>
    </cfRule>
    <cfRule type="expression" dxfId="96" priority="110" stopIfTrue="1">
      <formula>J$3="Sa"</formula>
    </cfRule>
  </conditionalFormatting>
  <conditionalFormatting sqref="J18">
    <cfRule type="expression" dxfId="95" priority="107" stopIfTrue="1">
      <formula>R$3="So"</formula>
    </cfRule>
    <cfRule type="expression" dxfId="94" priority="108" stopIfTrue="1">
      <formula>R$3="Sa"</formula>
    </cfRule>
  </conditionalFormatting>
  <conditionalFormatting sqref="K8">
    <cfRule type="expression" dxfId="93" priority="105" stopIfTrue="1">
      <formula>K$3="So"</formula>
    </cfRule>
    <cfRule type="expression" dxfId="92" priority="106" stopIfTrue="1">
      <formula>K$3="Sa"</formula>
    </cfRule>
  </conditionalFormatting>
  <conditionalFormatting sqref="L17">
    <cfRule type="expression" dxfId="91" priority="103" stopIfTrue="1">
      <formula>L$3="So"</formula>
    </cfRule>
    <cfRule type="expression" dxfId="90" priority="104" stopIfTrue="1">
      <formula>L$3="Sa"</formula>
    </cfRule>
  </conditionalFormatting>
  <conditionalFormatting sqref="K18">
    <cfRule type="expression" dxfId="89" priority="101" stopIfTrue="1">
      <formula>K$3="So"</formula>
    </cfRule>
    <cfRule type="expression" dxfId="88" priority="102" stopIfTrue="1">
      <formula>K$3="Sa"</formula>
    </cfRule>
  </conditionalFormatting>
  <conditionalFormatting sqref="L18">
    <cfRule type="expression" dxfId="87" priority="99" stopIfTrue="1">
      <formula>L$3="So"</formula>
    </cfRule>
    <cfRule type="expression" dxfId="86" priority="100" stopIfTrue="1">
      <formula>L$3="Sa"</formula>
    </cfRule>
  </conditionalFormatting>
  <conditionalFormatting sqref="K19">
    <cfRule type="expression" dxfId="85" priority="97" stopIfTrue="1">
      <formula>D$3="So"</formula>
    </cfRule>
    <cfRule type="expression" dxfId="84" priority="98" stopIfTrue="1">
      <formula>D$3="Sa"</formula>
    </cfRule>
  </conditionalFormatting>
  <conditionalFormatting sqref="L19">
    <cfRule type="expression" dxfId="83" priority="95" stopIfTrue="1">
      <formula>E$3="So"</formula>
    </cfRule>
    <cfRule type="expression" dxfId="82" priority="96" stopIfTrue="1">
      <formula>E$3="Sa"</formula>
    </cfRule>
  </conditionalFormatting>
  <conditionalFormatting sqref="L20">
    <cfRule type="expression" dxfId="81" priority="93" stopIfTrue="1">
      <formula>E$3="So"</formula>
    </cfRule>
    <cfRule type="expression" dxfId="80" priority="94" stopIfTrue="1">
      <formula>E$3="Sa"</formula>
    </cfRule>
  </conditionalFormatting>
  <conditionalFormatting sqref="L21">
    <cfRule type="expression" dxfId="79" priority="91" stopIfTrue="1">
      <formula>E$3="So"</formula>
    </cfRule>
    <cfRule type="expression" dxfId="78" priority="92" stopIfTrue="1">
      <formula>E$3="Sa"</formula>
    </cfRule>
  </conditionalFormatting>
  <conditionalFormatting sqref="K14:AN14">
    <cfRule type="expression" dxfId="77" priority="89" stopIfTrue="1">
      <formula>K$3="So"</formula>
    </cfRule>
    <cfRule type="expression" dxfId="76" priority="90" stopIfTrue="1">
      <formula>K$3="Sa"</formula>
    </cfRule>
  </conditionalFormatting>
  <conditionalFormatting sqref="AJ16:AJ17">
    <cfRule type="expression" dxfId="75" priority="621" stopIfTrue="1">
      <formula>AI$3="So"</formula>
    </cfRule>
    <cfRule type="expression" dxfId="74" priority="622" stopIfTrue="1">
      <formula>AI$3="Sa"</formula>
    </cfRule>
  </conditionalFormatting>
  <conditionalFormatting sqref="K5:L5">
    <cfRule type="expression" dxfId="73" priority="87" stopIfTrue="1">
      <formula>K$3="So"</formula>
    </cfRule>
    <cfRule type="expression" dxfId="72" priority="88" stopIfTrue="1">
      <formula>K$3="Sa"</formula>
    </cfRule>
  </conditionalFormatting>
  <conditionalFormatting sqref="AF5:AG5">
    <cfRule type="expression" dxfId="71" priority="85" stopIfTrue="1">
      <formula>AF$3="So"</formula>
    </cfRule>
    <cfRule type="expression" dxfId="70" priority="86" stopIfTrue="1">
      <formula>AF$3="Sa"</formula>
    </cfRule>
  </conditionalFormatting>
  <conditionalFormatting sqref="AM5:AN5">
    <cfRule type="expression" dxfId="69" priority="83" stopIfTrue="1">
      <formula>AM$3="So"</formula>
    </cfRule>
    <cfRule type="expression" dxfId="68" priority="84" stopIfTrue="1">
      <formula>AM$3="Sa"</formula>
    </cfRule>
  </conditionalFormatting>
  <conditionalFormatting sqref="T8">
    <cfRule type="expression" dxfId="67" priority="81" stopIfTrue="1">
      <formula>T$3="So"</formula>
    </cfRule>
    <cfRule type="expression" dxfId="66" priority="82" stopIfTrue="1">
      <formula>T$3="Sa"</formula>
    </cfRule>
  </conditionalFormatting>
  <conditionalFormatting sqref="S8">
    <cfRule type="expression" dxfId="65" priority="79" stopIfTrue="1">
      <formula>S$3="So"</formula>
    </cfRule>
    <cfRule type="expression" dxfId="64" priority="80" stopIfTrue="1">
      <formula>S$3="Sa"</formula>
    </cfRule>
  </conditionalFormatting>
  <conditionalFormatting sqref="Q6">
    <cfRule type="expression" dxfId="63" priority="77" stopIfTrue="1">
      <formula>J$3="So"</formula>
    </cfRule>
    <cfRule type="expression" dxfId="62" priority="78" stopIfTrue="1">
      <formula>J$3="Sa"</formula>
    </cfRule>
  </conditionalFormatting>
  <conditionalFormatting sqref="R6">
    <cfRule type="expression" dxfId="61" priority="75" stopIfTrue="1">
      <formula>K$3="So"</formula>
    </cfRule>
    <cfRule type="expression" dxfId="60" priority="76" stopIfTrue="1">
      <formula>K$3="Sa"</formula>
    </cfRule>
  </conditionalFormatting>
  <conditionalFormatting sqref="S6">
    <cfRule type="expression" dxfId="59" priority="73" stopIfTrue="1">
      <formula>L$3="So"</formula>
    </cfRule>
    <cfRule type="expression" dxfId="58" priority="74" stopIfTrue="1">
      <formula>L$3="Sa"</formula>
    </cfRule>
  </conditionalFormatting>
  <conditionalFormatting sqref="T6">
    <cfRule type="expression" dxfId="57" priority="71" stopIfTrue="1">
      <formula>M$3="So"</formula>
    </cfRule>
    <cfRule type="expression" dxfId="56" priority="72" stopIfTrue="1">
      <formula>M$3="Sa"</formula>
    </cfRule>
  </conditionalFormatting>
  <conditionalFormatting sqref="T9">
    <cfRule type="expression" dxfId="55" priority="69" stopIfTrue="1">
      <formula>M$3="So"</formula>
    </cfRule>
    <cfRule type="expression" dxfId="54" priority="70" stopIfTrue="1">
      <formula>M$3="Sa"</formula>
    </cfRule>
  </conditionalFormatting>
  <conditionalFormatting sqref="M9">
    <cfRule type="expression" dxfId="53" priority="67" stopIfTrue="1">
      <formula>F$3="So"</formula>
    </cfRule>
    <cfRule type="expression" dxfId="52" priority="68" stopIfTrue="1">
      <formula>F$3="Sa"</formula>
    </cfRule>
  </conditionalFormatting>
  <conditionalFormatting sqref="AA9">
    <cfRule type="expression" dxfId="51" priority="65" stopIfTrue="1">
      <formula>T$3="So"</formula>
    </cfRule>
    <cfRule type="expression" dxfId="50" priority="66" stopIfTrue="1">
      <formula>T$3="Sa"</formula>
    </cfRule>
  </conditionalFormatting>
  <conditionalFormatting sqref="AH9">
    <cfRule type="expression" dxfId="49" priority="63" stopIfTrue="1">
      <formula>AA$3="So"</formula>
    </cfRule>
    <cfRule type="expression" dxfId="48" priority="64" stopIfTrue="1">
      <formula>AA$3="Sa"</formula>
    </cfRule>
  </conditionalFormatting>
  <conditionalFormatting sqref="S10">
    <cfRule type="expression" dxfId="47" priority="61" stopIfTrue="1">
      <formula>L$3="So"</formula>
    </cfRule>
    <cfRule type="expression" dxfId="46" priority="62" stopIfTrue="1">
      <formula>L$3="Sa"</formula>
    </cfRule>
  </conditionalFormatting>
  <conditionalFormatting sqref="R10">
    <cfRule type="expression" dxfId="45" priority="59" stopIfTrue="1">
      <formula>K$3="So"</formula>
    </cfRule>
    <cfRule type="expression" dxfId="44" priority="60" stopIfTrue="1">
      <formula>K$3="Sa"</formula>
    </cfRule>
  </conditionalFormatting>
  <conditionalFormatting sqref="Q10">
    <cfRule type="expression" dxfId="43" priority="57" stopIfTrue="1">
      <formula>J$3="So"</formula>
    </cfRule>
    <cfRule type="expression" dxfId="42" priority="58" stopIfTrue="1">
      <formula>J$3="Sa"</formula>
    </cfRule>
  </conditionalFormatting>
  <conditionalFormatting sqref="N9">
    <cfRule type="expression" dxfId="41" priority="55" stopIfTrue="1">
      <formula>G$3="So"</formula>
    </cfRule>
    <cfRule type="expression" dxfId="40" priority="56" stopIfTrue="1">
      <formula>G$3="Sa"</formula>
    </cfRule>
  </conditionalFormatting>
  <conditionalFormatting sqref="O9">
    <cfRule type="expression" dxfId="39" priority="53" stopIfTrue="1">
      <formula>H$3="So"</formula>
    </cfRule>
    <cfRule type="expression" dxfId="38" priority="54" stopIfTrue="1">
      <formula>H$3="Sa"</formula>
    </cfRule>
  </conditionalFormatting>
  <conditionalFormatting sqref="P9">
    <cfRule type="expression" dxfId="37" priority="51" stopIfTrue="1">
      <formula>I$3="So"</formula>
    </cfRule>
    <cfRule type="expression" dxfId="36" priority="52" stopIfTrue="1">
      <formula>I$3="Sa"</formula>
    </cfRule>
  </conditionalFormatting>
  <conditionalFormatting sqref="U9">
    <cfRule type="expression" dxfId="35" priority="49" stopIfTrue="1">
      <formula>N$3="So"</formula>
    </cfRule>
    <cfRule type="expression" dxfId="34" priority="50" stopIfTrue="1">
      <formula>N$3="Sa"</formula>
    </cfRule>
  </conditionalFormatting>
  <conditionalFormatting sqref="V9">
    <cfRule type="expression" dxfId="33" priority="47" stopIfTrue="1">
      <formula>O$3="So"</formula>
    </cfRule>
    <cfRule type="expression" dxfId="32" priority="48" stopIfTrue="1">
      <formula>O$3="Sa"</formula>
    </cfRule>
  </conditionalFormatting>
  <conditionalFormatting sqref="AJ20">
    <cfRule type="expression" dxfId="31" priority="45" stopIfTrue="1">
      <formula>AJ$3="So"</formula>
    </cfRule>
    <cfRule type="expression" dxfId="30" priority="46" stopIfTrue="1">
      <formula>AJ$3="Sa"</formula>
    </cfRule>
  </conditionalFormatting>
  <conditionalFormatting sqref="AJ21">
    <cfRule type="expression" dxfId="29" priority="41" stopIfTrue="1">
      <formula>AJ$3="So"</formula>
    </cfRule>
    <cfRule type="expression" dxfId="28" priority="42" stopIfTrue="1">
      <formula>AJ$3="Sa"</formula>
    </cfRule>
  </conditionalFormatting>
  <conditionalFormatting sqref="W9:Z9">
    <cfRule type="expression" dxfId="27" priority="9" stopIfTrue="1">
      <formula>P$3="So"</formula>
    </cfRule>
    <cfRule type="expression" dxfId="26" priority="10" stopIfTrue="1">
      <formula>P$3="Sa"</formula>
    </cfRule>
  </conditionalFormatting>
  <conditionalFormatting sqref="U12">
    <cfRule type="expression" dxfId="25" priority="7" stopIfTrue="1">
      <formula>N$3="So"</formula>
    </cfRule>
    <cfRule type="expression" dxfId="24" priority="8" stopIfTrue="1">
      <formula>N$3="Sa"</formula>
    </cfRule>
  </conditionalFormatting>
  <conditionalFormatting sqref="V12">
    <cfRule type="expression" dxfId="23" priority="5" stopIfTrue="1">
      <formula>O$3="So"</formula>
    </cfRule>
    <cfRule type="expression" dxfId="22" priority="6" stopIfTrue="1">
      <formula>O$3="Sa"</formula>
    </cfRule>
  </conditionalFormatting>
  <conditionalFormatting sqref="W12:Z12">
    <cfRule type="expression" dxfId="21" priority="3" stopIfTrue="1">
      <formula>P$3="So"</formula>
    </cfRule>
    <cfRule type="expression" dxfId="20" priority="4" stopIfTrue="1">
      <formula>P$3="Sa"</formula>
    </cfRule>
  </conditionalFormatting>
  <conditionalFormatting sqref="P12">
    <cfRule type="expression" dxfId="19" priority="1" stopIfTrue="1">
      <formula>I$3="So"</formula>
    </cfRule>
    <cfRule type="expression" dxfId="18" priority="2" stopIfTrue="1">
      <formula>I$3="Sa"</formula>
    </cfRule>
  </conditionalFormatting>
  <pageMargins left="0.7" right="0.7" top="0.78740157499999996" bottom="0.78740157499999996"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969A64-CEA6-E24A-8097-43E128B72E49}">
          <x14:formula1>
            <xm:f>qualitativeGewichte!$C$2:$C$9</xm:f>
          </x14:formula1>
          <xm:sqref>AX3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9FE8-C0CA-5C49-AD8E-71B6666DC1EC}">
  <sheetPr codeName="Tabelle8"/>
  <dimension ref="A1:C10"/>
  <sheetViews>
    <sheetView workbookViewId="0">
      <selection activeCell="E43" sqref="E43"/>
    </sheetView>
  </sheetViews>
  <sheetFormatPr baseColWidth="10" defaultColWidth="11.453125" defaultRowHeight="12.5"/>
  <cols>
    <col min="1" max="1" width="29" customWidth="1"/>
  </cols>
  <sheetData>
    <row r="1" spans="1:3" ht="15.5">
      <c r="A1" s="51" t="s">
        <v>154</v>
      </c>
      <c r="C1" s="51" t="s">
        <v>155</v>
      </c>
    </row>
    <row r="2" spans="1:3">
      <c r="A2" t="s">
        <v>62</v>
      </c>
      <c r="C2" t="s">
        <v>62</v>
      </c>
    </row>
    <row r="3" spans="1:3" ht="15.5">
      <c r="A3" s="52" t="s">
        <v>156</v>
      </c>
      <c r="C3" s="52" t="s">
        <v>67</v>
      </c>
    </row>
    <row r="4" spans="1:3" ht="15.5">
      <c r="A4" s="52" t="s">
        <v>157</v>
      </c>
      <c r="C4" s="52" t="s">
        <v>158</v>
      </c>
    </row>
    <row r="5" spans="1:3" ht="15.5">
      <c r="A5" s="52" t="s">
        <v>66</v>
      </c>
      <c r="C5" s="52" t="s">
        <v>106</v>
      </c>
    </row>
    <row r="6" spans="1:3" ht="15.5">
      <c r="A6" s="52" t="s">
        <v>64</v>
      </c>
      <c r="C6" s="52" t="s">
        <v>162</v>
      </c>
    </row>
    <row r="7" spans="1:3" ht="15.5">
      <c r="A7" s="52" t="s">
        <v>65</v>
      </c>
      <c r="C7" s="52" t="s">
        <v>183</v>
      </c>
    </row>
    <row r="8" spans="1:3" ht="15.5">
      <c r="A8" s="52" t="s">
        <v>68</v>
      </c>
    </row>
    <row r="9" spans="1:3" ht="15.5">
      <c r="A9" s="52" t="s">
        <v>63</v>
      </c>
    </row>
    <row r="10" spans="1:3" ht="15.5">
      <c r="A10" s="52"/>
    </row>
  </sheetData>
  <pageMargins left="0.7" right="0.7" top="0.78740157499999996" bottom="0.78740157499999996"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B00C-8463-4015-957B-406D179BB3E1}">
  <sheetPr codeName="Tabelle9">
    <tabColor theme="0" tint="-0.249977111117893"/>
  </sheetPr>
  <dimension ref="A1:D14"/>
  <sheetViews>
    <sheetView workbookViewId="0">
      <selection activeCell="C13" sqref="C13"/>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158" t="s">
        <v>1</v>
      </c>
      <c r="B1" s="158" t="s">
        <v>261</v>
      </c>
      <c r="C1" s="158" t="s">
        <v>262</v>
      </c>
      <c r="D1" s="158" t="s">
        <v>263</v>
      </c>
    </row>
    <row r="2" spans="1:4" ht="13">
      <c r="A2" s="159" t="s">
        <v>224</v>
      </c>
      <c r="B2" s="160" t="s">
        <v>264</v>
      </c>
      <c r="C2" s="161" t="s">
        <v>265</v>
      </c>
      <c r="D2" s="161">
        <v>0.29166666666666669</v>
      </c>
    </row>
    <row r="3" spans="1:4" ht="13">
      <c r="A3" s="162" t="s">
        <v>226</v>
      </c>
      <c r="B3" s="112" t="s">
        <v>264</v>
      </c>
      <c r="C3" s="112" t="s">
        <v>266</v>
      </c>
      <c r="D3" s="163">
        <v>0.35000000000000003</v>
      </c>
    </row>
    <row r="4" spans="1:4" ht="13">
      <c r="A4" s="162" t="s">
        <v>228</v>
      </c>
      <c r="B4" s="112" t="s">
        <v>264</v>
      </c>
      <c r="C4" s="112" t="s">
        <v>267</v>
      </c>
      <c r="D4" s="163">
        <v>0.35000000000000003</v>
      </c>
    </row>
    <row r="5" spans="1:4" ht="13">
      <c r="A5" s="162" t="s">
        <v>233</v>
      </c>
      <c r="B5" s="112" t="s">
        <v>264</v>
      </c>
      <c r="C5" s="112" t="s">
        <v>268</v>
      </c>
      <c r="D5" s="163">
        <v>0.34375</v>
      </c>
    </row>
    <row r="6" spans="1:4">
      <c r="A6" s="112" t="s">
        <v>238</v>
      </c>
      <c r="B6" s="112" t="s">
        <v>264</v>
      </c>
      <c r="C6" s="112" t="s">
        <v>269</v>
      </c>
      <c r="D6" s="163">
        <v>0.25</v>
      </c>
    </row>
    <row r="7" spans="1:4">
      <c r="A7" s="112" t="s">
        <v>240</v>
      </c>
      <c r="B7" s="112" t="s">
        <v>264</v>
      </c>
      <c r="C7" s="112" t="s">
        <v>270</v>
      </c>
      <c r="D7" s="163">
        <v>0.34375</v>
      </c>
    </row>
    <row r="8" spans="1:4">
      <c r="A8" s="112" t="s">
        <v>271</v>
      </c>
      <c r="B8" s="112" t="s">
        <v>264</v>
      </c>
      <c r="C8" s="112" t="s">
        <v>272</v>
      </c>
      <c r="D8" s="163">
        <v>0.34375</v>
      </c>
    </row>
    <row r="9" spans="1:4" ht="13">
      <c r="A9" s="162" t="s">
        <v>242</v>
      </c>
      <c r="B9" s="112" t="s">
        <v>264</v>
      </c>
      <c r="C9" s="163" t="s">
        <v>273</v>
      </c>
      <c r="D9" s="163">
        <v>0.34375</v>
      </c>
    </row>
    <row r="10" spans="1:4" ht="13">
      <c r="A10" s="162" t="s">
        <v>245</v>
      </c>
      <c r="B10" s="112" t="s">
        <v>264</v>
      </c>
      <c r="C10" s="112" t="s">
        <v>274</v>
      </c>
      <c r="D10" s="163">
        <v>0.23958333333333334</v>
      </c>
    </row>
    <row r="11" spans="1:4">
      <c r="A11" s="112" t="s">
        <v>247</v>
      </c>
      <c r="B11" s="112" t="s">
        <v>264</v>
      </c>
      <c r="C11" s="112" t="s">
        <v>275</v>
      </c>
      <c r="D11" s="163">
        <v>0.32291666666666669</v>
      </c>
    </row>
    <row r="12" spans="1:4">
      <c r="A12" s="112" t="s">
        <v>249</v>
      </c>
      <c r="B12" s="112" t="s">
        <v>264</v>
      </c>
      <c r="C12" s="112" t="s">
        <v>276</v>
      </c>
      <c r="D12" s="163">
        <v>0.33333333333333331</v>
      </c>
    </row>
    <row r="13" spans="1:4">
      <c r="A13" s="112" t="s">
        <v>251</v>
      </c>
      <c r="B13" s="112" t="s">
        <v>264</v>
      </c>
      <c r="C13" s="112" t="s">
        <v>277</v>
      </c>
      <c r="D13" s="163">
        <v>0.10416666666666667</v>
      </c>
    </row>
    <row r="14" spans="1:4">
      <c r="A14" s="112" t="s">
        <v>253</v>
      </c>
      <c r="B14" s="112" t="s">
        <v>264</v>
      </c>
      <c r="C14" s="112" t="s">
        <v>278</v>
      </c>
      <c r="D14" s="163">
        <v>0.26041666666666669</v>
      </c>
    </row>
  </sheetData>
  <pageMargins left="0.7" right="0.7" top="0.78740157499999996" bottom="0.78740157499999996"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44F21-2AF2-4383-B544-86B693B6DEBB}">
  <sheetPr codeName="Tabelle12">
    <tabColor rgb="FFBAB9A8"/>
  </sheetPr>
  <dimension ref="A1:BO42"/>
  <sheetViews>
    <sheetView topLeftCell="A16" zoomScale="85" zoomScaleNormal="85" workbookViewId="0">
      <selection activeCell="A39" activeCellId="3" sqref="A38:XFD38 A42:XFD42 A41:XFD41 A39:XFD39"/>
    </sheetView>
  </sheetViews>
  <sheetFormatPr baseColWidth="10" defaultColWidth="12" defaultRowHeight="15.5"/>
  <cols>
    <col min="1" max="1" width="12.90625" style="52" customWidth="1"/>
    <col min="2" max="7" width="2.6328125" style="52" customWidth="1"/>
    <col min="8" max="59" width="2.6328125" style="167" customWidth="1"/>
    <col min="60" max="61" width="2.6328125" style="168" customWidth="1"/>
    <col min="62" max="71" width="2.6328125" style="52" customWidth="1"/>
    <col min="72" max="16384" width="12" style="52"/>
  </cols>
  <sheetData>
    <row r="1" spans="1:61" ht="18">
      <c r="A1" s="166" t="s">
        <v>306</v>
      </c>
    </row>
    <row r="3" spans="1:61">
      <c r="A3" s="51" t="s">
        <v>307</v>
      </c>
      <c r="B3" s="491" t="s">
        <v>308</v>
      </c>
      <c r="C3" s="492"/>
      <c r="D3" s="492"/>
      <c r="E3" s="492"/>
      <c r="F3" s="492"/>
      <c r="G3" s="492"/>
      <c r="H3" s="492"/>
      <c r="I3" s="492"/>
      <c r="J3" s="492"/>
      <c r="K3" s="492"/>
      <c r="L3" s="492"/>
      <c r="M3" s="492"/>
      <c r="N3" s="493"/>
      <c r="O3" s="493"/>
      <c r="P3" s="493"/>
      <c r="Q3" s="493"/>
      <c r="R3" s="493"/>
      <c r="S3" s="493"/>
      <c r="T3" s="493"/>
      <c r="U3" s="493"/>
      <c r="V3" s="493"/>
      <c r="W3" s="493"/>
      <c r="X3" s="493"/>
      <c r="Y3" s="493"/>
      <c r="Z3" s="493"/>
      <c r="AA3" s="493"/>
      <c r="AB3" s="493"/>
      <c r="AC3" s="493"/>
      <c r="AD3" s="494"/>
    </row>
    <row r="4" spans="1:61">
      <c r="A4" s="51" t="s">
        <v>309</v>
      </c>
      <c r="B4" s="491" t="s">
        <v>310</v>
      </c>
      <c r="C4" s="492"/>
      <c r="D4" s="492"/>
      <c r="E4" s="492"/>
      <c r="F4" s="492"/>
      <c r="G4" s="492"/>
      <c r="H4" s="492"/>
      <c r="I4" s="492"/>
      <c r="J4" s="492"/>
      <c r="K4" s="492"/>
      <c r="L4" s="492"/>
      <c r="M4" s="492"/>
      <c r="N4" s="493"/>
      <c r="O4" s="493"/>
      <c r="P4" s="493"/>
      <c r="Q4" s="493"/>
      <c r="R4" s="493"/>
      <c r="S4" s="493"/>
      <c r="T4" s="493"/>
      <c r="U4" s="493"/>
      <c r="V4" s="493"/>
      <c r="W4" s="493"/>
      <c r="X4" s="493"/>
      <c r="Y4" s="493"/>
      <c r="Z4" s="493"/>
      <c r="AA4" s="493"/>
      <c r="AB4" s="493"/>
      <c r="AC4" s="493"/>
      <c r="AD4" s="494"/>
    </row>
    <row r="5" spans="1:61" ht="25.5" customHeight="1"/>
    <row r="6" spans="1:61" ht="25.5" customHeight="1">
      <c r="A6" s="468" t="s">
        <v>285</v>
      </c>
    </row>
    <row r="7" spans="1:61">
      <c r="A7" s="51" t="s">
        <v>311</v>
      </c>
    </row>
    <row r="9" spans="1:61">
      <c r="B9" s="169">
        <v>0</v>
      </c>
      <c r="C9" s="169">
        <v>1</v>
      </c>
      <c r="D9" s="169">
        <v>2</v>
      </c>
      <c r="E9" s="169">
        <v>3</v>
      </c>
      <c r="F9" s="169">
        <v>4</v>
      </c>
      <c r="G9" s="169">
        <v>5</v>
      </c>
      <c r="H9" s="170">
        <v>6</v>
      </c>
      <c r="I9" s="171"/>
      <c r="J9" s="171"/>
      <c r="K9" s="172"/>
      <c r="L9" s="170">
        <v>7</v>
      </c>
      <c r="M9" s="171"/>
      <c r="N9" s="171"/>
      <c r="O9" s="172"/>
      <c r="P9" s="170">
        <v>8</v>
      </c>
      <c r="Q9" s="171"/>
      <c r="R9" s="171"/>
      <c r="S9" s="172"/>
      <c r="T9" s="170">
        <v>9</v>
      </c>
      <c r="U9" s="171"/>
      <c r="V9" s="171"/>
      <c r="W9" s="172"/>
      <c r="X9" s="170">
        <v>10</v>
      </c>
      <c r="Y9" s="171"/>
      <c r="Z9" s="171"/>
      <c r="AA9" s="172"/>
      <c r="AB9" s="170">
        <v>11</v>
      </c>
      <c r="AC9" s="171"/>
      <c r="AD9" s="171"/>
      <c r="AE9" s="172"/>
      <c r="AF9" s="170">
        <v>12</v>
      </c>
      <c r="AG9" s="171"/>
      <c r="AH9" s="171"/>
      <c r="AI9" s="172"/>
      <c r="AJ9" s="170">
        <v>13</v>
      </c>
      <c r="AK9" s="171"/>
      <c r="AL9" s="171"/>
      <c r="AM9" s="172"/>
      <c r="AN9" s="170">
        <v>14</v>
      </c>
      <c r="AO9" s="171"/>
      <c r="AP9" s="171"/>
      <c r="AQ9" s="172"/>
      <c r="AR9" s="170">
        <v>15</v>
      </c>
      <c r="AS9" s="171"/>
      <c r="AT9" s="171"/>
      <c r="AU9" s="172"/>
      <c r="AV9" s="170">
        <v>16</v>
      </c>
      <c r="AW9" s="171"/>
      <c r="AX9" s="171"/>
      <c r="AY9" s="172"/>
      <c r="AZ9" s="170">
        <v>17</v>
      </c>
      <c r="BA9" s="171"/>
      <c r="BB9" s="171"/>
      <c r="BC9" s="172"/>
      <c r="BD9" s="170">
        <v>18</v>
      </c>
      <c r="BE9" s="171"/>
      <c r="BF9" s="171"/>
      <c r="BG9" s="172"/>
    </row>
    <row r="10" spans="1:61" ht="16" thickBot="1">
      <c r="A10" s="173" t="s">
        <v>312</v>
      </c>
      <c r="B10" s="174"/>
      <c r="C10" s="174"/>
      <c r="D10" s="174"/>
      <c r="E10" s="174"/>
      <c r="F10" s="174"/>
      <c r="G10" s="174"/>
      <c r="H10" s="175">
        <v>0</v>
      </c>
      <c r="I10" s="176">
        <v>15</v>
      </c>
      <c r="J10" s="176">
        <v>30</v>
      </c>
      <c r="K10" s="177">
        <v>45</v>
      </c>
      <c r="L10" s="175">
        <v>0</v>
      </c>
      <c r="M10" s="176">
        <v>15</v>
      </c>
      <c r="N10" s="176">
        <v>30</v>
      </c>
      <c r="O10" s="177">
        <v>45</v>
      </c>
      <c r="P10" s="175">
        <v>0</v>
      </c>
      <c r="Q10" s="176">
        <v>15</v>
      </c>
      <c r="R10" s="176">
        <v>30</v>
      </c>
      <c r="S10" s="177">
        <v>45</v>
      </c>
      <c r="T10" s="175">
        <v>0</v>
      </c>
      <c r="U10" s="176">
        <v>15</v>
      </c>
      <c r="V10" s="176">
        <v>30</v>
      </c>
      <c r="W10" s="177">
        <v>45</v>
      </c>
      <c r="X10" s="175">
        <v>0</v>
      </c>
      <c r="Y10" s="176">
        <v>15</v>
      </c>
      <c r="Z10" s="176">
        <v>30</v>
      </c>
      <c r="AA10" s="177">
        <v>45</v>
      </c>
      <c r="AB10" s="175">
        <v>0</v>
      </c>
      <c r="AC10" s="176">
        <v>15</v>
      </c>
      <c r="AD10" s="176">
        <v>30</v>
      </c>
      <c r="AE10" s="177">
        <v>45</v>
      </c>
      <c r="AF10" s="175">
        <v>0</v>
      </c>
      <c r="AG10" s="176">
        <v>15</v>
      </c>
      <c r="AH10" s="176">
        <v>30</v>
      </c>
      <c r="AI10" s="177">
        <v>45</v>
      </c>
      <c r="AJ10" s="175">
        <v>0</v>
      </c>
      <c r="AK10" s="176">
        <v>15</v>
      </c>
      <c r="AL10" s="176">
        <v>30</v>
      </c>
      <c r="AM10" s="177">
        <v>45</v>
      </c>
      <c r="AN10" s="175">
        <v>0</v>
      </c>
      <c r="AO10" s="176">
        <v>15</v>
      </c>
      <c r="AP10" s="176">
        <v>30</v>
      </c>
      <c r="AQ10" s="177">
        <v>45</v>
      </c>
      <c r="AR10" s="175">
        <v>0</v>
      </c>
      <c r="AS10" s="176">
        <v>15</v>
      </c>
      <c r="AT10" s="176">
        <v>30</v>
      </c>
      <c r="AU10" s="177">
        <v>45</v>
      </c>
      <c r="AV10" s="175">
        <v>0</v>
      </c>
      <c r="AW10" s="176">
        <v>15</v>
      </c>
      <c r="AX10" s="176">
        <v>30</v>
      </c>
      <c r="AY10" s="177">
        <v>45</v>
      </c>
      <c r="AZ10" s="175">
        <v>0</v>
      </c>
      <c r="BA10" s="176">
        <v>15</v>
      </c>
      <c r="BB10" s="176">
        <v>30</v>
      </c>
      <c r="BC10" s="177">
        <v>45</v>
      </c>
      <c r="BD10" s="175">
        <v>0</v>
      </c>
      <c r="BE10" s="176">
        <v>15</v>
      </c>
      <c r="BF10" s="176">
        <v>30</v>
      </c>
      <c r="BG10" s="177">
        <v>45</v>
      </c>
    </row>
    <row r="11" spans="1:61" s="192" customFormat="1" ht="16" thickBot="1">
      <c r="A11" s="178"/>
      <c r="B11" s="179"/>
      <c r="C11" s="179"/>
      <c r="D11" s="179"/>
      <c r="E11" s="179"/>
      <c r="F11" s="179"/>
      <c r="G11" s="179"/>
      <c r="H11" s="179"/>
      <c r="I11" s="179"/>
      <c r="J11" s="179"/>
      <c r="K11" s="179"/>
      <c r="L11" s="179"/>
      <c r="M11" s="180"/>
      <c r="N11" s="181"/>
      <c r="O11" s="182"/>
      <c r="P11" s="182"/>
      <c r="Q11" s="182"/>
      <c r="R11" s="182"/>
      <c r="S11" s="182"/>
      <c r="T11" s="182"/>
      <c r="U11" s="182"/>
      <c r="V11" s="182"/>
      <c r="W11" s="182"/>
      <c r="X11" s="182"/>
      <c r="Y11" s="182"/>
      <c r="Z11" s="182"/>
      <c r="AA11" s="182"/>
      <c r="AB11" s="182"/>
      <c r="AC11" s="182"/>
      <c r="AD11" s="182"/>
      <c r="AE11" s="183"/>
      <c r="AF11" s="183"/>
      <c r="AG11" s="183"/>
      <c r="AH11" s="183"/>
      <c r="AI11" s="183"/>
      <c r="AJ11" s="184"/>
      <c r="AK11" s="185"/>
      <c r="AL11" s="186"/>
      <c r="AM11" s="186"/>
      <c r="AN11" s="186"/>
      <c r="AO11" s="186"/>
      <c r="AP11" s="186"/>
      <c r="AQ11" s="186"/>
      <c r="AR11" s="186"/>
      <c r="AS11" s="186"/>
      <c r="AT11" s="186"/>
      <c r="AU11" s="186"/>
      <c r="AV11" s="187"/>
      <c r="AW11" s="188"/>
      <c r="AX11" s="183"/>
      <c r="AY11" s="183"/>
      <c r="AZ11" s="183"/>
      <c r="BA11" s="183"/>
      <c r="BB11" s="183"/>
      <c r="BC11" s="183"/>
      <c r="BD11" s="183"/>
      <c r="BE11" s="183"/>
      <c r="BF11" s="189"/>
      <c r="BG11" s="190"/>
      <c r="BH11" s="191"/>
      <c r="BI11" s="191"/>
    </row>
    <row r="12" spans="1:61" s="207" customFormat="1" ht="16" thickBot="1">
      <c r="A12" s="193"/>
      <c r="B12" s="194"/>
      <c r="C12" s="194"/>
      <c r="D12" s="194"/>
      <c r="E12" s="194"/>
      <c r="F12" s="194"/>
      <c r="G12" s="194"/>
      <c r="H12" s="194"/>
      <c r="I12" s="194"/>
      <c r="J12" s="194"/>
      <c r="K12" s="194"/>
      <c r="L12" s="194"/>
      <c r="M12" s="194"/>
      <c r="N12" s="195"/>
      <c r="O12" s="195"/>
      <c r="P12" s="195"/>
      <c r="Q12" s="195"/>
      <c r="R12" s="195"/>
      <c r="S12" s="195"/>
      <c r="T12" s="195"/>
      <c r="U12" s="195"/>
      <c r="V12" s="195"/>
      <c r="W12" s="195"/>
      <c r="X12" s="195"/>
      <c r="Y12" s="185"/>
      <c r="Z12" s="186"/>
      <c r="AA12" s="186"/>
      <c r="AB12" s="186"/>
      <c r="AC12" s="186"/>
      <c r="AD12" s="187"/>
      <c r="AE12" s="196"/>
      <c r="AF12" s="186"/>
      <c r="AG12" s="186"/>
      <c r="AH12" s="186"/>
      <c r="AI12" s="186"/>
      <c r="AJ12" s="187"/>
      <c r="AK12" s="197"/>
      <c r="AL12" s="198"/>
      <c r="AM12" s="198"/>
      <c r="AN12" s="198"/>
      <c r="AO12" s="198"/>
      <c r="AP12" s="198"/>
      <c r="AQ12" s="198"/>
      <c r="AR12" s="198"/>
      <c r="AS12" s="199"/>
      <c r="AT12" s="200"/>
      <c r="AU12" s="198"/>
      <c r="AV12" s="201"/>
      <c r="AW12" s="202"/>
      <c r="AX12" s="203"/>
      <c r="AY12" s="203"/>
      <c r="AZ12" s="203"/>
      <c r="BA12" s="203"/>
      <c r="BB12" s="203"/>
      <c r="BC12" s="203"/>
      <c r="BD12" s="203"/>
      <c r="BE12" s="203"/>
      <c r="BF12" s="204"/>
      <c r="BG12" s="205"/>
      <c r="BH12" s="206"/>
      <c r="BI12" s="206"/>
    </row>
    <row r="13" spans="1:61" ht="16" thickBot="1">
      <c r="A13" s="173" t="s">
        <v>313</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row>
    <row r="14" spans="1:61" ht="16" thickBot="1">
      <c r="A14" s="178" t="s">
        <v>241</v>
      </c>
      <c r="B14" s="179"/>
      <c r="C14" s="179"/>
      <c r="D14" s="179"/>
      <c r="E14" s="179"/>
      <c r="F14" s="179"/>
      <c r="G14" s="179"/>
      <c r="H14" s="179"/>
      <c r="I14" s="179"/>
      <c r="J14" s="179"/>
      <c r="K14" s="179"/>
      <c r="L14" s="179"/>
      <c r="M14" s="179"/>
      <c r="N14" s="179" t="s">
        <v>314</v>
      </c>
      <c r="O14" s="179" t="s">
        <v>314</v>
      </c>
      <c r="P14" s="179" t="s">
        <v>314</v>
      </c>
      <c r="Q14" s="179" t="s">
        <v>314</v>
      </c>
      <c r="R14" s="179" t="s">
        <v>314</v>
      </c>
      <c r="S14" s="179" t="s">
        <v>314</v>
      </c>
      <c r="T14" s="179" t="s">
        <v>314</v>
      </c>
      <c r="U14" s="179" t="s">
        <v>314</v>
      </c>
      <c r="V14" s="179" t="s">
        <v>314</v>
      </c>
      <c r="W14" s="179" t="s">
        <v>314</v>
      </c>
      <c r="X14" s="179" t="s">
        <v>314</v>
      </c>
      <c r="Y14" s="179" t="s">
        <v>314</v>
      </c>
      <c r="Z14" s="179" t="s">
        <v>314</v>
      </c>
      <c r="AA14" s="179" t="s">
        <v>314</v>
      </c>
      <c r="AB14" s="179" t="s">
        <v>314</v>
      </c>
      <c r="AC14" s="179" t="s">
        <v>314</v>
      </c>
      <c r="AD14" s="179" t="s">
        <v>314</v>
      </c>
      <c r="AE14" s="179" t="s">
        <v>314</v>
      </c>
      <c r="AF14" s="179" t="s">
        <v>314</v>
      </c>
      <c r="AG14" s="179" t="s">
        <v>314</v>
      </c>
      <c r="AH14" s="179" t="s">
        <v>314</v>
      </c>
      <c r="AI14" s="179" t="s">
        <v>314</v>
      </c>
      <c r="AJ14" s="179" t="s">
        <v>314</v>
      </c>
      <c r="AK14" s="179"/>
      <c r="AL14" s="179"/>
      <c r="AM14" s="179"/>
      <c r="AN14" s="179"/>
      <c r="AO14" s="179"/>
      <c r="AP14" s="179"/>
      <c r="AQ14" s="179"/>
      <c r="AR14" s="179"/>
      <c r="AS14" s="179"/>
      <c r="AT14" s="179"/>
      <c r="AU14" s="179"/>
      <c r="AV14" s="179"/>
      <c r="AW14" s="179" t="s">
        <v>314</v>
      </c>
      <c r="AX14" s="179" t="s">
        <v>314</v>
      </c>
      <c r="AY14" s="179" t="s">
        <v>314</v>
      </c>
      <c r="AZ14" s="179" t="s">
        <v>314</v>
      </c>
      <c r="BA14" s="179" t="s">
        <v>314</v>
      </c>
      <c r="BB14" s="179" t="s">
        <v>314</v>
      </c>
      <c r="BC14" s="179" t="s">
        <v>314</v>
      </c>
      <c r="BD14" s="179" t="s">
        <v>314</v>
      </c>
      <c r="BE14" s="179" t="s">
        <v>314</v>
      </c>
      <c r="BF14" s="209" t="s">
        <v>314</v>
      </c>
      <c r="BG14" s="210"/>
    </row>
    <row r="15" spans="1:61" ht="16" thickBot="1">
      <c r="A15" s="211" t="s">
        <v>244</v>
      </c>
      <c r="B15" s="212"/>
      <c r="C15" s="212"/>
      <c r="D15" s="212"/>
      <c r="E15" s="212"/>
      <c r="F15" s="212"/>
      <c r="G15" s="212"/>
      <c r="H15" s="212"/>
      <c r="I15" s="212"/>
      <c r="J15" s="212"/>
      <c r="K15" s="212"/>
      <c r="L15" s="212"/>
      <c r="M15" s="212"/>
      <c r="N15" s="213" t="s">
        <v>314</v>
      </c>
      <c r="O15" s="214" t="s">
        <v>314</v>
      </c>
      <c r="P15" s="214" t="s">
        <v>314</v>
      </c>
      <c r="Q15" s="214" t="s">
        <v>314</v>
      </c>
      <c r="R15" s="214" t="s">
        <v>314</v>
      </c>
      <c r="S15" s="214" t="s">
        <v>314</v>
      </c>
      <c r="T15" s="214" t="s">
        <v>314</v>
      </c>
      <c r="U15" s="214" t="s">
        <v>314</v>
      </c>
      <c r="V15" s="214" t="s">
        <v>314</v>
      </c>
      <c r="W15" s="214" t="s">
        <v>314</v>
      </c>
      <c r="X15" s="214" t="s">
        <v>314</v>
      </c>
      <c r="Y15" s="214" t="s">
        <v>314</v>
      </c>
      <c r="Z15" s="214" t="s">
        <v>314</v>
      </c>
      <c r="AA15" s="214" t="s">
        <v>314</v>
      </c>
      <c r="AB15" s="214" t="s">
        <v>314</v>
      </c>
      <c r="AC15" s="214" t="s">
        <v>314</v>
      </c>
      <c r="AD15" s="214" t="s">
        <v>314</v>
      </c>
      <c r="AE15" s="215" t="s">
        <v>314</v>
      </c>
      <c r="AF15" s="215" t="s">
        <v>314</v>
      </c>
      <c r="AG15" s="215" t="s">
        <v>314</v>
      </c>
      <c r="AH15" s="215" t="s">
        <v>314</v>
      </c>
      <c r="AI15" s="215" t="s">
        <v>314</v>
      </c>
      <c r="AJ15" s="216" t="s">
        <v>314</v>
      </c>
      <c r="AK15" s="212"/>
      <c r="AL15" s="212"/>
      <c r="AM15" s="212"/>
      <c r="AN15" s="212"/>
      <c r="AO15" s="212"/>
      <c r="AP15" s="212"/>
      <c r="AQ15" s="212"/>
      <c r="AR15" s="212"/>
      <c r="AS15" s="212"/>
      <c r="AT15" s="212"/>
      <c r="AU15" s="212"/>
      <c r="AV15" s="212"/>
      <c r="AW15" s="212"/>
      <c r="AX15" s="212"/>
      <c r="AY15" s="212"/>
      <c r="AZ15" s="212"/>
      <c r="BA15" s="212"/>
      <c r="BB15" s="212"/>
      <c r="BC15" s="212"/>
      <c r="BD15" s="212"/>
      <c r="BE15" s="212"/>
      <c r="BF15" s="217"/>
      <c r="BG15" s="210"/>
    </row>
    <row r="16" spans="1:61">
      <c r="A16" s="211" t="s">
        <v>246</v>
      </c>
      <c r="B16" s="212"/>
      <c r="C16" s="212"/>
      <c r="D16" s="212"/>
      <c r="E16" s="212"/>
      <c r="F16" s="212"/>
      <c r="G16" s="212"/>
      <c r="H16" s="212"/>
      <c r="I16" s="212"/>
      <c r="J16" s="212"/>
      <c r="K16" s="212"/>
      <c r="L16" s="212"/>
      <c r="M16" s="212"/>
      <c r="N16" s="212" t="s">
        <v>314</v>
      </c>
      <c r="O16" s="212" t="s">
        <v>314</v>
      </c>
      <c r="P16" s="212" t="s">
        <v>314</v>
      </c>
      <c r="Q16" s="212" t="s">
        <v>314</v>
      </c>
      <c r="R16" s="212" t="s">
        <v>314</v>
      </c>
      <c r="S16" s="212" t="s">
        <v>314</v>
      </c>
      <c r="T16" s="212" t="s">
        <v>314</v>
      </c>
      <c r="U16" s="212" t="s">
        <v>314</v>
      </c>
      <c r="V16" s="212" t="s">
        <v>314</v>
      </c>
      <c r="W16" s="212" t="s">
        <v>314</v>
      </c>
      <c r="X16" s="212" t="s">
        <v>314</v>
      </c>
      <c r="Y16" s="212" t="s">
        <v>314</v>
      </c>
      <c r="Z16" s="212" t="s">
        <v>314</v>
      </c>
      <c r="AA16" s="212" t="s">
        <v>314</v>
      </c>
      <c r="AB16" s="212" t="s">
        <v>314</v>
      </c>
      <c r="AC16" s="212" t="s">
        <v>314</v>
      </c>
      <c r="AD16" s="212" t="s">
        <v>314</v>
      </c>
      <c r="AE16" s="212" t="s">
        <v>314</v>
      </c>
      <c r="AF16" s="212" t="s">
        <v>314</v>
      </c>
      <c r="AG16" s="212" t="s">
        <v>314</v>
      </c>
      <c r="AH16" s="212" t="s">
        <v>314</v>
      </c>
      <c r="AI16" s="212" t="s">
        <v>314</v>
      </c>
      <c r="AJ16" s="212" t="s">
        <v>314</v>
      </c>
      <c r="AK16" s="212" t="s">
        <v>314</v>
      </c>
      <c r="AL16" s="212" t="s">
        <v>314</v>
      </c>
      <c r="AM16" s="212" t="s">
        <v>314</v>
      </c>
      <c r="AN16" s="212" t="s">
        <v>314</v>
      </c>
      <c r="AO16" s="212" t="s">
        <v>314</v>
      </c>
      <c r="AP16" s="212" t="s">
        <v>314</v>
      </c>
      <c r="AQ16" s="212" t="s">
        <v>314</v>
      </c>
      <c r="AR16" s="212" t="s">
        <v>314</v>
      </c>
      <c r="AS16" s="212" t="s">
        <v>314</v>
      </c>
      <c r="AT16" s="212" t="s">
        <v>314</v>
      </c>
      <c r="AU16" s="212" t="s">
        <v>314</v>
      </c>
      <c r="AV16" s="212" t="s">
        <v>314</v>
      </c>
      <c r="AW16" s="212"/>
      <c r="AX16" s="212"/>
      <c r="AY16" s="212"/>
      <c r="AZ16" s="212"/>
      <c r="BA16" s="212"/>
      <c r="BB16" s="212"/>
      <c r="BC16" s="212"/>
      <c r="BD16" s="212"/>
      <c r="BE16" s="212"/>
      <c r="BF16" s="217"/>
      <c r="BG16" s="210"/>
    </row>
    <row r="17" spans="1:67">
      <c r="A17" s="211" t="s">
        <v>248</v>
      </c>
      <c r="B17" s="212"/>
      <c r="C17" s="212"/>
      <c r="D17" s="212"/>
      <c r="E17" s="212"/>
      <c r="F17" s="212"/>
      <c r="G17" s="212"/>
      <c r="H17" s="212"/>
      <c r="I17" s="212"/>
      <c r="J17" s="212"/>
      <c r="K17" s="212"/>
      <c r="L17" s="212"/>
      <c r="M17" s="212"/>
      <c r="N17" s="212"/>
      <c r="O17" s="212"/>
      <c r="P17" s="212"/>
      <c r="Q17" s="212"/>
      <c r="R17" s="212"/>
      <c r="S17" s="212"/>
      <c r="T17" s="212"/>
      <c r="U17" s="212"/>
      <c r="V17" s="212"/>
      <c r="W17" s="212"/>
      <c r="X17" s="212"/>
      <c r="Y17" s="212" t="s">
        <v>314</v>
      </c>
      <c r="Z17" s="212" t="s">
        <v>314</v>
      </c>
      <c r="AA17" s="212" t="s">
        <v>314</v>
      </c>
      <c r="AB17" s="212" t="s">
        <v>314</v>
      </c>
      <c r="AC17" s="212" t="s">
        <v>314</v>
      </c>
      <c r="AD17" s="212" t="s">
        <v>314</v>
      </c>
      <c r="AE17" s="212" t="s">
        <v>314</v>
      </c>
      <c r="AF17" s="212" t="s">
        <v>314</v>
      </c>
      <c r="AG17" s="212" t="s">
        <v>314</v>
      </c>
      <c r="AH17" s="212" t="s">
        <v>314</v>
      </c>
      <c r="AI17" s="212" t="s">
        <v>314</v>
      </c>
      <c r="AJ17" s="212" t="s">
        <v>314</v>
      </c>
      <c r="AK17" s="212" t="s">
        <v>314</v>
      </c>
      <c r="AL17" s="212" t="s">
        <v>314</v>
      </c>
      <c r="AM17" s="212" t="s">
        <v>314</v>
      </c>
      <c r="AN17" s="212" t="s">
        <v>314</v>
      </c>
      <c r="AO17" s="212" t="s">
        <v>314</v>
      </c>
      <c r="AP17" s="212" t="s">
        <v>314</v>
      </c>
      <c r="AQ17" s="212" t="s">
        <v>314</v>
      </c>
      <c r="AR17" s="212" t="s">
        <v>314</v>
      </c>
      <c r="AS17" s="212" t="s">
        <v>314</v>
      </c>
      <c r="AT17" s="212" t="s">
        <v>314</v>
      </c>
      <c r="AU17" s="212" t="s">
        <v>314</v>
      </c>
      <c r="AV17" s="212" t="s">
        <v>314</v>
      </c>
      <c r="AW17" s="212" t="s">
        <v>314</v>
      </c>
      <c r="AX17" s="212" t="s">
        <v>314</v>
      </c>
      <c r="AY17" s="212" t="s">
        <v>314</v>
      </c>
      <c r="AZ17" s="212" t="s">
        <v>314</v>
      </c>
      <c r="BA17" s="212" t="s">
        <v>314</v>
      </c>
      <c r="BB17" s="212" t="s">
        <v>314</v>
      </c>
      <c r="BC17" s="212" t="s">
        <v>314</v>
      </c>
      <c r="BD17" s="212" t="s">
        <v>314</v>
      </c>
      <c r="BE17" s="212" t="s">
        <v>314</v>
      </c>
      <c r="BF17" s="217" t="s">
        <v>314</v>
      </c>
      <c r="BG17" s="210"/>
    </row>
    <row r="18" spans="1:67" ht="16" thickBot="1">
      <c r="A18" s="211" t="s">
        <v>250</v>
      </c>
      <c r="B18" s="212"/>
      <c r="C18" s="212"/>
      <c r="D18" s="212"/>
      <c r="E18" s="212"/>
      <c r="F18" s="212"/>
      <c r="G18" s="212"/>
      <c r="H18" s="212"/>
      <c r="I18" s="212"/>
      <c r="J18" s="212"/>
      <c r="K18" s="112"/>
      <c r="L18" s="218"/>
      <c r="M18" s="218"/>
      <c r="N18" s="218"/>
      <c r="O18" s="218"/>
      <c r="P18" s="218"/>
      <c r="Q18" s="218"/>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212"/>
      <c r="AR18" s="212"/>
      <c r="AS18" s="212"/>
      <c r="AT18" s="212"/>
      <c r="AU18" s="212"/>
      <c r="AV18" s="212"/>
      <c r="AW18" s="212" t="s">
        <v>314</v>
      </c>
      <c r="AX18" s="212" t="s">
        <v>314</v>
      </c>
      <c r="AY18" s="212" t="s">
        <v>314</v>
      </c>
      <c r="AZ18" s="212" t="s">
        <v>314</v>
      </c>
      <c r="BA18" s="212" t="s">
        <v>314</v>
      </c>
      <c r="BB18" s="212" t="s">
        <v>314</v>
      </c>
      <c r="BC18" s="212" t="s">
        <v>314</v>
      </c>
      <c r="BD18" s="212" t="s">
        <v>314</v>
      </c>
      <c r="BE18" s="212" t="s">
        <v>314</v>
      </c>
      <c r="BF18" s="217" t="s">
        <v>314</v>
      </c>
      <c r="BG18" s="210"/>
    </row>
    <row r="19" spans="1:67" ht="16" thickBot="1">
      <c r="A19" s="193" t="s">
        <v>252</v>
      </c>
      <c r="B19" s="194"/>
      <c r="C19" s="194"/>
      <c r="D19" s="194"/>
      <c r="E19" s="194"/>
      <c r="F19" s="194"/>
      <c r="G19" s="194"/>
      <c r="H19" s="194"/>
      <c r="I19" s="194"/>
      <c r="J19" s="194"/>
      <c r="K19" s="219"/>
      <c r="L19" s="194"/>
      <c r="M19" s="194"/>
      <c r="N19" s="194"/>
      <c r="O19" s="194"/>
      <c r="P19" s="194"/>
      <c r="Q19" s="194"/>
      <c r="R19" s="194"/>
      <c r="S19" s="194"/>
      <c r="T19" s="194"/>
      <c r="U19" s="194"/>
      <c r="V19" s="194"/>
      <c r="W19" s="194"/>
      <c r="X19" s="194"/>
      <c r="Y19" s="194"/>
      <c r="Z19" s="194"/>
      <c r="AA19" s="194"/>
      <c r="AB19" s="194"/>
      <c r="AC19" s="194"/>
      <c r="AD19" s="194"/>
      <c r="AE19" s="220" t="s">
        <v>314</v>
      </c>
      <c r="AF19" s="203" t="s">
        <v>314</v>
      </c>
      <c r="AG19" s="203" t="s">
        <v>314</v>
      </c>
      <c r="AH19" s="203" t="s">
        <v>314</v>
      </c>
      <c r="AI19" s="203" t="s">
        <v>314</v>
      </c>
      <c r="AJ19" s="203" t="s">
        <v>314</v>
      </c>
      <c r="AK19" s="203" t="s">
        <v>314</v>
      </c>
      <c r="AL19" s="203" t="s">
        <v>314</v>
      </c>
      <c r="AM19" s="203" t="s">
        <v>314</v>
      </c>
      <c r="AN19" s="203" t="s">
        <v>314</v>
      </c>
      <c r="AO19" s="203" t="s">
        <v>314</v>
      </c>
      <c r="AP19" s="203" t="s">
        <v>314</v>
      </c>
      <c r="AQ19" s="203" t="s">
        <v>314</v>
      </c>
      <c r="AR19" s="203" t="s">
        <v>314</v>
      </c>
      <c r="AS19" s="221" t="s">
        <v>314</v>
      </c>
      <c r="AT19" s="205" t="s">
        <v>314</v>
      </c>
      <c r="AU19" s="194" t="s">
        <v>314</v>
      </c>
      <c r="AV19" s="222" t="s">
        <v>314</v>
      </c>
      <c r="AW19" s="220" t="s">
        <v>314</v>
      </c>
      <c r="AX19" s="203" t="s">
        <v>314</v>
      </c>
      <c r="AY19" s="203" t="s">
        <v>314</v>
      </c>
      <c r="AZ19" s="203" t="s">
        <v>314</v>
      </c>
      <c r="BA19" s="203" t="s">
        <v>314</v>
      </c>
      <c r="BB19" s="203" t="s">
        <v>314</v>
      </c>
      <c r="BC19" s="203" t="s">
        <v>314</v>
      </c>
      <c r="BD19" s="203" t="s">
        <v>314</v>
      </c>
      <c r="BE19" s="203" t="s">
        <v>314</v>
      </c>
      <c r="BF19" s="204" t="s">
        <v>314</v>
      </c>
      <c r="BG19" s="210"/>
    </row>
    <row r="21" spans="1:67">
      <c r="A21" s="51" t="s">
        <v>315</v>
      </c>
    </row>
    <row r="23" spans="1:67">
      <c r="A23" s="223" t="s">
        <v>316</v>
      </c>
      <c r="B23" s="169">
        <v>0</v>
      </c>
      <c r="C23" s="169">
        <v>1</v>
      </c>
      <c r="D23" s="169">
        <v>2</v>
      </c>
      <c r="E23" s="169">
        <v>3</v>
      </c>
      <c r="F23" s="169">
        <v>4</v>
      </c>
      <c r="G23" s="169">
        <v>5</v>
      </c>
      <c r="H23" s="170">
        <v>6</v>
      </c>
      <c r="I23" s="171"/>
      <c r="J23" s="171"/>
      <c r="K23" s="172"/>
      <c r="L23" s="170">
        <v>7</v>
      </c>
      <c r="M23" s="171"/>
      <c r="N23" s="171"/>
      <c r="O23" s="172"/>
      <c r="P23" s="170">
        <v>8</v>
      </c>
      <c r="Q23" s="171"/>
      <c r="R23" s="171"/>
      <c r="S23" s="172"/>
      <c r="T23" s="170">
        <v>9</v>
      </c>
      <c r="U23" s="171"/>
      <c r="V23" s="171"/>
      <c r="W23" s="172"/>
      <c r="X23" s="170">
        <v>10</v>
      </c>
      <c r="Y23" s="171"/>
      <c r="Z23" s="171"/>
      <c r="AA23" s="172"/>
      <c r="AB23" s="170">
        <v>11</v>
      </c>
      <c r="AC23" s="171"/>
      <c r="AD23" s="171"/>
      <c r="AE23" s="172"/>
      <c r="AF23" s="170">
        <v>12</v>
      </c>
      <c r="AG23" s="171"/>
      <c r="AH23" s="171"/>
      <c r="AI23" s="172"/>
      <c r="AJ23" s="170">
        <v>13</v>
      </c>
      <c r="AK23" s="171"/>
      <c r="AL23" s="171"/>
      <c r="AM23" s="172"/>
      <c r="AN23" s="170">
        <v>14</v>
      </c>
      <c r="AO23" s="171"/>
      <c r="AP23" s="171"/>
      <c r="AQ23" s="172"/>
      <c r="AR23" s="170">
        <v>15</v>
      </c>
      <c r="AS23" s="171"/>
      <c r="AT23" s="171"/>
      <c r="AU23" s="172"/>
      <c r="AV23" s="170">
        <v>16</v>
      </c>
      <c r="AW23" s="171"/>
      <c r="AX23" s="171"/>
      <c r="AY23" s="172"/>
      <c r="AZ23" s="170">
        <v>17</v>
      </c>
      <c r="BA23" s="171"/>
      <c r="BB23" s="171"/>
      <c r="BC23" s="172"/>
      <c r="BD23" s="170">
        <v>18</v>
      </c>
      <c r="BE23" s="171"/>
      <c r="BF23" s="171"/>
      <c r="BG23" s="172"/>
    </row>
    <row r="24" spans="1:67" ht="16" thickBot="1">
      <c r="A24" s="223"/>
      <c r="B24" s="224"/>
      <c r="C24" s="224"/>
      <c r="D24" s="224"/>
      <c r="E24" s="224"/>
      <c r="F24" s="224"/>
      <c r="G24" s="224"/>
      <c r="H24" s="225">
        <v>0</v>
      </c>
      <c r="I24" s="226">
        <v>15</v>
      </c>
      <c r="J24" s="226">
        <v>30</v>
      </c>
      <c r="K24" s="227">
        <v>45</v>
      </c>
      <c r="L24" s="175">
        <v>0</v>
      </c>
      <c r="M24" s="176">
        <v>15</v>
      </c>
      <c r="N24" s="176">
        <v>30</v>
      </c>
      <c r="O24" s="177">
        <v>45</v>
      </c>
      <c r="P24" s="175">
        <v>0</v>
      </c>
      <c r="Q24" s="176">
        <v>15</v>
      </c>
      <c r="R24" s="176">
        <v>30</v>
      </c>
      <c r="S24" s="177">
        <v>45</v>
      </c>
      <c r="T24" s="175">
        <v>0</v>
      </c>
      <c r="U24" s="176">
        <v>15</v>
      </c>
      <c r="V24" s="176">
        <v>30</v>
      </c>
      <c r="W24" s="177">
        <v>45</v>
      </c>
      <c r="X24" s="175">
        <v>0</v>
      </c>
      <c r="Y24" s="176">
        <v>15</v>
      </c>
      <c r="Z24" s="176">
        <v>30</v>
      </c>
      <c r="AA24" s="177">
        <v>45</v>
      </c>
      <c r="AB24" s="175">
        <v>0</v>
      </c>
      <c r="AC24" s="176">
        <v>15</v>
      </c>
      <c r="AD24" s="176">
        <v>30</v>
      </c>
      <c r="AE24" s="177">
        <v>45</v>
      </c>
      <c r="AF24" s="175">
        <v>0</v>
      </c>
      <c r="AG24" s="176">
        <v>15</v>
      </c>
      <c r="AH24" s="176">
        <v>30</v>
      </c>
      <c r="AI24" s="177">
        <v>45</v>
      </c>
      <c r="AJ24" s="225">
        <v>0</v>
      </c>
      <c r="AK24" s="226">
        <v>15</v>
      </c>
      <c r="AL24" s="226">
        <v>30</v>
      </c>
      <c r="AM24" s="177">
        <v>45</v>
      </c>
      <c r="AN24" s="175">
        <v>0</v>
      </c>
      <c r="AO24" s="176">
        <v>15</v>
      </c>
      <c r="AP24" s="176">
        <v>30</v>
      </c>
      <c r="AQ24" s="177">
        <v>45</v>
      </c>
      <c r="AR24" s="175">
        <v>0</v>
      </c>
      <c r="AS24" s="176">
        <v>15</v>
      </c>
      <c r="AT24" s="176">
        <v>30</v>
      </c>
      <c r="AU24" s="177">
        <v>45</v>
      </c>
      <c r="AV24" s="175">
        <v>0</v>
      </c>
      <c r="AW24" s="226">
        <v>15</v>
      </c>
      <c r="AX24" s="226">
        <v>30</v>
      </c>
      <c r="AY24" s="227">
        <v>45</v>
      </c>
      <c r="AZ24" s="225">
        <v>0</v>
      </c>
      <c r="BA24" s="226">
        <v>15</v>
      </c>
      <c r="BB24" s="226">
        <v>30</v>
      </c>
      <c r="BC24" s="227">
        <v>45</v>
      </c>
      <c r="BD24" s="225">
        <v>0</v>
      </c>
      <c r="BE24" s="226">
        <v>15</v>
      </c>
      <c r="BF24" s="226">
        <v>30</v>
      </c>
      <c r="BG24" s="227">
        <v>45</v>
      </c>
    </row>
    <row r="25" spans="1:67" ht="16" thickBot="1">
      <c r="A25" s="208" t="s">
        <v>241</v>
      </c>
      <c r="B25" s="212"/>
      <c r="C25" s="212"/>
      <c r="D25" s="212"/>
      <c r="E25" s="212"/>
      <c r="F25" s="212"/>
      <c r="G25" s="212"/>
      <c r="H25" s="212"/>
      <c r="I25" s="212"/>
      <c r="J25" s="212"/>
      <c r="K25" s="212"/>
      <c r="L25" s="212"/>
      <c r="M25" s="228"/>
      <c r="N25" s="229" t="s">
        <v>314</v>
      </c>
      <c r="O25" s="230" t="s">
        <v>314</v>
      </c>
      <c r="P25" s="230" t="s">
        <v>314</v>
      </c>
      <c r="Q25" s="230" t="s">
        <v>314</v>
      </c>
      <c r="R25" s="230" t="s">
        <v>314</v>
      </c>
      <c r="S25" s="230" t="s">
        <v>314</v>
      </c>
      <c r="T25" s="230" t="s">
        <v>314</v>
      </c>
      <c r="U25" s="230" t="s">
        <v>314</v>
      </c>
      <c r="V25" s="230" t="s">
        <v>314</v>
      </c>
      <c r="W25" s="230" t="s">
        <v>314</v>
      </c>
      <c r="X25" s="230" t="s">
        <v>314</v>
      </c>
      <c r="Y25" s="230" t="s">
        <v>314</v>
      </c>
      <c r="Z25" s="230" t="s">
        <v>314</v>
      </c>
      <c r="AA25" s="230" t="s">
        <v>314</v>
      </c>
      <c r="AB25" s="230" t="s">
        <v>314</v>
      </c>
      <c r="AC25" s="231" t="s">
        <v>314</v>
      </c>
      <c r="AD25" s="231" t="s">
        <v>314</v>
      </c>
      <c r="AE25" s="231" t="s">
        <v>314</v>
      </c>
      <c r="AF25" s="231" t="s">
        <v>314</v>
      </c>
      <c r="AG25" s="231" t="s">
        <v>314</v>
      </c>
      <c r="AH25" s="231" t="s">
        <v>314</v>
      </c>
      <c r="AI25" s="231" t="s">
        <v>314</v>
      </c>
      <c r="AJ25" s="231" t="s">
        <v>314</v>
      </c>
      <c r="AK25" s="232" t="s">
        <v>314</v>
      </c>
      <c r="AL25" s="210"/>
      <c r="AM25" s="212"/>
      <c r="AN25" s="212"/>
      <c r="AO25" s="212"/>
      <c r="AP25" s="212"/>
      <c r="AQ25" s="212"/>
      <c r="AR25" s="212"/>
      <c r="AS25" s="212"/>
      <c r="AT25" s="212"/>
      <c r="AU25" s="212"/>
      <c r="AV25" s="233"/>
      <c r="AW25" s="229" t="s">
        <v>314</v>
      </c>
      <c r="AX25" s="230" t="s">
        <v>314</v>
      </c>
      <c r="AY25" s="230" t="s">
        <v>314</v>
      </c>
      <c r="AZ25" s="230" t="s">
        <v>314</v>
      </c>
      <c r="BA25" s="230" t="s">
        <v>314</v>
      </c>
      <c r="BB25" s="230" t="s">
        <v>314</v>
      </c>
      <c r="BC25" s="230" t="s">
        <v>314</v>
      </c>
      <c r="BD25" s="230" t="s">
        <v>314</v>
      </c>
      <c r="BE25" s="230" t="s">
        <v>314</v>
      </c>
      <c r="BF25" s="234" t="s">
        <v>314</v>
      </c>
      <c r="BG25" s="235"/>
    </row>
    <row r="28" spans="1:67" ht="17.5">
      <c r="A28" s="467" t="s">
        <v>287</v>
      </c>
    </row>
    <row r="29" spans="1:67">
      <c r="A29" s="51" t="s">
        <v>311</v>
      </c>
    </row>
    <row r="31" spans="1:67">
      <c r="B31" s="169">
        <v>0</v>
      </c>
      <c r="C31" s="169">
        <v>1</v>
      </c>
      <c r="D31" s="169">
        <v>2</v>
      </c>
      <c r="E31" s="169">
        <v>3</v>
      </c>
      <c r="F31" s="169">
        <v>4</v>
      </c>
      <c r="G31" s="169">
        <v>5</v>
      </c>
      <c r="H31" s="170">
        <v>6</v>
      </c>
      <c r="I31" s="171"/>
      <c r="J31" s="171"/>
      <c r="K31" s="172"/>
      <c r="L31" s="170">
        <v>7</v>
      </c>
      <c r="M31" s="171"/>
      <c r="N31" s="171"/>
      <c r="O31" s="172"/>
      <c r="P31" s="170">
        <v>8</v>
      </c>
      <c r="Q31" s="171"/>
      <c r="R31" s="171"/>
      <c r="S31" s="172"/>
      <c r="T31" s="170">
        <v>9</v>
      </c>
      <c r="U31" s="171"/>
      <c r="V31" s="171"/>
      <c r="W31" s="172"/>
      <c r="X31" s="170">
        <v>10</v>
      </c>
      <c r="Y31" s="171"/>
      <c r="Z31" s="171"/>
      <c r="AA31" s="172"/>
      <c r="AB31" s="170">
        <v>11</v>
      </c>
      <c r="AC31" s="171"/>
      <c r="AD31" s="171"/>
      <c r="AE31" s="172"/>
      <c r="AF31" s="170">
        <v>12</v>
      </c>
      <c r="AG31" s="171"/>
      <c r="AH31" s="171"/>
      <c r="AI31" s="172"/>
      <c r="AJ31" s="170">
        <v>13</v>
      </c>
      <c r="AK31" s="171"/>
      <c r="AL31" s="171"/>
      <c r="AM31" s="172"/>
      <c r="AN31" s="170">
        <v>14</v>
      </c>
      <c r="AO31" s="171"/>
      <c r="AP31" s="171"/>
      <c r="AQ31" s="172"/>
      <c r="AR31" s="170">
        <v>15</v>
      </c>
      <c r="AS31" s="171"/>
      <c r="AT31" s="171"/>
      <c r="AU31" s="172"/>
      <c r="AV31" s="170">
        <v>16</v>
      </c>
      <c r="AW31" s="171"/>
      <c r="AX31" s="171"/>
      <c r="AY31" s="172"/>
      <c r="AZ31" s="170">
        <v>17</v>
      </c>
      <c r="BA31" s="171"/>
      <c r="BB31" s="171"/>
      <c r="BC31" s="172"/>
      <c r="BD31" s="170">
        <v>18</v>
      </c>
      <c r="BE31" s="171"/>
      <c r="BF31" s="171"/>
      <c r="BG31" s="172"/>
      <c r="BH31" s="170">
        <v>19</v>
      </c>
      <c r="BI31" s="171"/>
      <c r="BJ31" s="171"/>
      <c r="BK31" s="172"/>
      <c r="BL31" s="170">
        <v>20</v>
      </c>
      <c r="BM31" s="171"/>
      <c r="BN31" s="171"/>
      <c r="BO31" s="172"/>
    </row>
    <row r="32" spans="1:67" ht="16" thickBot="1">
      <c r="A32" s="173" t="s">
        <v>312</v>
      </c>
      <c r="B32" s="174"/>
      <c r="C32" s="174"/>
      <c r="D32" s="174"/>
      <c r="E32" s="174"/>
      <c r="F32" s="174"/>
      <c r="G32" s="174"/>
      <c r="H32" s="175">
        <v>0</v>
      </c>
      <c r="I32" s="176">
        <v>15</v>
      </c>
      <c r="J32" s="176">
        <v>30</v>
      </c>
      <c r="K32" s="177">
        <v>45</v>
      </c>
      <c r="L32" s="175">
        <v>0</v>
      </c>
      <c r="M32" s="176">
        <v>15</v>
      </c>
      <c r="N32" s="176">
        <v>30</v>
      </c>
      <c r="O32" s="177">
        <v>45</v>
      </c>
      <c r="P32" s="175">
        <v>0</v>
      </c>
      <c r="Q32" s="176">
        <v>15</v>
      </c>
      <c r="R32" s="176">
        <v>30</v>
      </c>
      <c r="S32" s="177">
        <v>45</v>
      </c>
      <c r="T32" s="175">
        <v>0</v>
      </c>
      <c r="U32" s="176">
        <v>15</v>
      </c>
      <c r="V32" s="176">
        <v>30</v>
      </c>
      <c r="W32" s="177">
        <v>45</v>
      </c>
      <c r="X32" s="175">
        <v>0</v>
      </c>
      <c r="Y32" s="176">
        <v>15</v>
      </c>
      <c r="Z32" s="176">
        <v>30</v>
      </c>
      <c r="AA32" s="177">
        <v>45</v>
      </c>
      <c r="AB32" s="175">
        <v>0</v>
      </c>
      <c r="AC32" s="176">
        <v>15</v>
      </c>
      <c r="AD32" s="176">
        <v>30</v>
      </c>
      <c r="AE32" s="177">
        <v>45</v>
      </c>
      <c r="AF32" s="175">
        <v>0</v>
      </c>
      <c r="AG32" s="176">
        <v>15</v>
      </c>
      <c r="AH32" s="176">
        <v>30</v>
      </c>
      <c r="AI32" s="177">
        <v>45</v>
      </c>
      <c r="AJ32" s="175">
        <v>0</v>
      </c>
      <c r="AK32" s="176">
        <v>15</v>
      </c>
      <c r="AL32" s="176">
        <v>30</v>
      </c>
      <c r="AM32" s="177">
        <v>45</v>
      </c>
      <c r="AN32" s="175">
        <v>0</v>
      </c>
      <c r="AO32" s="176">
        <v>15</v>
      </c>
      <c r="AP32" s="176">
        <v>30</v>
      </c>
      <c r="AQ32" s="177">
        <v>45</v>
      </c>
      <c r="AR32" s="175">
        <v>0</v>
      </c>
      <c r="AS32" s="176">
        <v>15</v>
      </c>
      <c r="AT32" s="176">
        <v>30</v>
      </c>
      <c r="AU32" s="177">
        <v>45</v>
      </c>
      <c r="AV32" s="175">
        <v>0</v>
      </c>
      <c r="AW32" s="176">
        <v>15</v>
      </c>
      <c r="AX32" s="176">
        <v>30</v>
      </c>
      <c r="AY32" s="177">
        <v>45</v>
      </c>
      <c r="AZ32" s="175">
        <v>0</v>
      </c>
      <c r="BA32" s="176">
        <v>15</v>
      </c>
      <c r="BB32" s="176">
        <v>30</v>
      </c>
      <c r="BC32" s="177">
        <v>45</v>
      </c>
      <c r="BD32" s="175">
        <v>0</v>
      </c>
      <c r="BE32" s="176">
        <v>15</v>
      </c>
      <c r="BF32" s="176">
        <v>30</v>
      </c>
      <c r="BG32" s="177">
        <v>45</v>
      </c>
      <c r="BH32" s="175">
        <v>0</v>
      </c>
      <c r="BI32" s="176">
        <v>15</v>
      </c>
      <c r="BJ32" s="176">
        <v>30</v>
      </c>
      <c r="BK32" s="177">
        <v>45</v>
      </c>
      <c r="BL32" s="175">
        <v>0</v>
      </c>
      <c r="BM32" s="176">
        <v>15</v>
      </c>
      <c r="BN32" s="176">
        <v>30</v>
      </c>
      <c r="BO32" s="177">
        <v>45</v>
      </c>
    </row>
    <row r="33" spans="1:65">
      <c r="A33" s="178"/>
      <c r="B33" s="469"/>
      <c r="C33" s="469"/>
      <c r="D33" s="469"/>
      <c r="E33" s="469"/>
      <c r="F33" s="469"/>
      <c r="G33" s="469"/>
      <c r="H33" s="469"/>
      <c r="I33" s="469"/>
      <c r="J33" s="469"/>
      <c r="K33" s="469"/>
      <c r="L33" s="472"/>
      <c r="M33" s="472"/>
      <c r="N33" s="472"/>
      <c r="O33" s="472"/>
      <c r="P33" s="472"/>
      <c r="Q33" s="472"/>
      <c r="R33" s="472"/>
      <c r="S33" s="472"/>
      <c r="T33" s="472"/>
      <c r="U33" s="472"/>
      <c r="V33" s="472"/>
      <c r="W33" s="472"/>
      <c r="X33" s="472"/>
      <c r="Y33" s="472"/>
      <c r="Z33" s="472"/>
      <c r="AA33" s="472"/>
      <c r="AB33" s="472"/>
      <c r="AC33" s="472"/>
      <c r="AD33" s="472"/>
      <c r="AE33" s="472"/>
      <c r="AF33" s="472"/>
      <c r="AG33" s="472"/>
      <c r="AH33" s="472"/>
      <c r="AI33" s="472"/>
      <c r="AJ33" s="472"/>
      <c r="AK33" s="472"/>
      <c r="AL33" s="472"/>
      <c r="AM33" s="472"/>
      <c r="AN33" s="472"/>
      <c r="AO33" s="472"/>
      <c r="AP33" s="472"/>
      <c r="AQ33" s="472"/>
      <c r="AR33" s="472"/>
      <c r="AS33" s="472"/>
      <c r="AT33" s="472"/>
      <c r="AU33" s="472"/>
      <c r="AV33" s="472"/>
      <c r="AW33" s="472"/>
      <c r="AX33" s="472"/>
      <c r="AY33" s="472"/>
      <c r="AZ33" s="472"/>
      <c r="BA33" s="472"/>
      <c r="BB33" s="472"/>
      <c r="BC33" s="472"/>
      <c r="BD33" s="472"/>
      <c r="BE33" s="472"/>
      <c r="BF33" s="471"/>
      <c r="BG33" s="471"/>
      <c r="BH33" s="471"/>
      <c r="BI33" s="471"/>
      <c r="BJ33" s="471"/>
      <c r="BK33" s="471"/>
      <c r="BL33" s="471"/>
      <c r="BM33" s="471"/>
    </row>
    <row r="34" spans="1:65">
      <c r="A34" s="211"/>
      <c r="B34" s="469"/>
      <c r="C34" s="469"/>
      <c r="D34" s="469"/>
      <c r="E34" s="469"/>
      <c r="F34" s="469"/>
      <c r="G34" s="469"/>
      <c r="H34" s="469"/>
      <c r="I34" s="469"/>
      <c r="J34" s="469"/>
      <c r="K34" s="469"/>
      <c r="L34" s="472"/>
      <c r="M34" s="472"/>
      <c r="N34" s="472"/>
      <c r="O34" s="472"/>
      <c r="P34" s="472"/>
      <c r="Q34" s="472"/>
      <c r="R34" s="472"/>
      <c r="S34" s="472"/>
      <c r="T34" s="472"/>
      <c r="U34" s="472"/>
      <c r="V34" s="472"/>
      <c r="W34" s="472"/>
      <c r="X34" s="472"/>
      <c r="Y34" s="472"/>
      <c r="Z34" s="472"/>
      <c r="AA34" s="472"/>
      <c r="AB34" s="472"/>
      <c r="AC34" s="472"/>
      <c r="AD34" s="472"/>
      <c r="AE34" s="472"/>
      <c r="AF34" s="472"/>
      <c r="AG34" s="472"/>
      <c r="AH34" s="472"/>
      <c r="AI34" s="472"/>
      <c r="AJ34" s="472"/>
      <c r="AK34" s="472"/>
      <c r="AL34" s="472"/>
      <c r="AM34" s="472"/>
      <c r="AN34" s="472"/>
      <c r="AO34" s="472"/>
      <c r="AP34" s="472"/>
      <c r="AQ34" s="472"/>
      <c r="AR34" s="472"/>
      <c r="AS34" s="472"/>
      <c r="AT34" s="472"/>
      <c r="AU34" s="472"/>
      <c r="AV34" s="472"/>
      <c r="AW34" s="472"/>
      <c r="AX34" s="472"/>
      <c r="AY34" s="472"/>
      <c r="AZ34" s="472"/>
      <c r="BA34" s="472"/>
      <c r="BB34" s="472"/>
      <c r="BC34" s="472"/>
      <c r="BD34" s="472"/>
      <c r="BE34" s="472"/>
      <c r="BF34" s="471"/>
      <c r="BG34" s="52"/>
      <c r="BH34" s="52"/>
      <c r="BI34" s="52"/>
    </row>
    <row r="35" spans="1:65">
      <c r="A35" s="211"/>
      <c r="B35" s="469"/>
      <c r="C35" s="469"/>
      <c r="D35" s="469"/>
      <c r="E35" s="469"/>
      <c r="F35" s="469"/>
      <c r="G35" s="469"/>
      <c r="H35" s="469"/>
      <c r="I35" s="469"/>
      <c r="J35" s="469"/>
      <c r="K35" s="469"/>
      <c r="L35" s="469"/>
      <c r="M35" s="470"/>
      <c r="N35" s="472"/>
      <c r="O35" s="472"/>
      <c r="P35" s="472"/>
      <c r="Q35" s="472"/>
      <c r="R35" s="472"/>
      <c r="S35" s="472"/>
      <c r="T35" s="472"/>
      <c r="U35" s="472"/>
      <c r="V35" s="472"/>
      <c r="W35" s="472"/>
      <c r="X35" s="472"/>
      <c r="Y35" s="472"/>
      <c r="Z35" s="472"/>
      <c r="AA35" s="472"/>
      <c r="AB35" s="472"/>
      <c r="AC35" s="472"/>
      <c r="AD35" s="472"/>
      <c r="AE35" s="472"/>
      <c r="AF35" s="472"/>
      <c r="AG35" s="472"/>
      <c r="AH35" s="472"/>
      <c r="AI35" s="472"/>
      <c r="AJ35" s="473"/>
      <c r="AK35" s="473"/>
      <c r="AL35" s="473"/>
      <c r="AM35" s="473"/>
      <c r="AN35" s="473"/>
      <c r="AO35" s="473"/>
      <c r="AP35" s="473"/>
      <c r="AQ35" s="473"/>
      <c r="AR35" s="473"/>
      <c r="AS35" s="473"/>
      <c r="AT35" s="473"/>
      <c r="AU35" s="473"/>
      <c r="AV35" s="471"/>
      <c r="AW35" s="52"/>
      <c r="AX35" s="52"/>
      <c r="AY35" s="52"/>
      <c r="AZ35" s="52"/>
      <c r="BA35" s="52"/>
      <c r="BB35" s="52"/>
      <c r="BC35" s="52"/>
      <c r="BD35" s="52"/>
      <c r="BE35" s="52"/>
      <c r="BF35" s="52"/>
      <c r="BG35" s="52"/>
    </row>
    <row r="36" spans="1:65">
      <c r="A36" s="211"/>
      <c r="B36" s="469"/>
      <c r="C36" s="469"/>
      <c r="D36" s="469"/>
      <c r="E36" s="469"/>
      <c r="F36" s="469"/>
      <c r="G36" s="469"/>
      <c r="H36" s="469"/>
      <c r="I36" s="469"/>
      <c r="J36" s="469"/>
      <c r="K36" s="469"/>
      <c r="L36" s="469"/>
      <c r="M36" s="470"/>
      <c r="N36" s="472"/>
      <c r="O36" s="472"/>
      <c r="P36" s="472"/>
      <c r="Q36" s="472"/>
      <c r="R36" s="472"/>
      <c r="S36" s="472"/>
      <c r="T36" s="472"/>
      <c r="U36" s="472"/>
      <c r="V36" s="472"/>
      <c r="W36" s="472"/>
      <c r="X36" s="472"/>
      <c r="Y36" s="472"/>
      <c r="Z36" s="472"/>
      <c r="AA36" s="472"/>
      <c r="AB36" s="472"/>
      <c r="AC36" s="473"/>
      <c r="AD36" s="473"/>
      <c r="AE36" s="473"/>
      <c r="AF36" s="473"/>
      <c r="AG36" s="473"/>
      <c r="AH36" s="473"/>
      <c r="AI36" s="473"/>
      <c r="AJ36" s="473"/>
      <c r="AK36" s="473"/>
      <c r="AL36" s="473"/>
      <c r="AM36" s="473"/>
      <c r="AN36" s="473"/>
      <c r="AO36" s="473"/>
      <c r="AP36" s="473"/>
      <c r="AQ36" s="473"/>
      <c r="AR36" s="473"/>
      <c r="AS36" s="473"/>
      <c r="AT36" s="473"/>
      <c r="AU36" s="473"/>
      <c r="AV36" s="471"/>
      <c r="AW36" s="52"/>
      <c r="AX36" s="52"/>
      <c r="AY36" s="52"/>
      <c r="AZ36" s="52"/>
      <c r="BA36" s="52"/>
      <c r="BB36" s="52"/>
      <c r="BC36" s="52"/>
      <c r="BD36" s="52"/>
      <c r="BE36" s="52"/>
      <c r="BF36" s="52"/>
      <c r="BG36" s="52"/>
      <c r="BH36" s="52"/>
    </row>
    <row r="37" spans="1:65" ht="16" thickBot="1">
      <c r="A37" s="173" t="s">
        <v>313</v>
      </c>
      <c r="B37" s="208"/>
      <c r="C37" s="208"/>
      <c r="D37" s="208"/>
      <c r="E37" s="208"/>
      <c r="F37" s="208"/>
      <c r="G37" s="208"/>
      <c r="H37" s="208"/>
      <c r="I37" s="208"/>
      <c r="J37" s="208"/>
      <c r="K37" s="208"/>
      <c r="L37" s="208"/>
      <c r="M37" s="208"/>
      <c r="N37" s="208"/>
      <c r="O37" s="208"/>
      <c r="P37" s="208"/>
      <c r="Q37" s="208"/>
      <c r="R37" s="208"/>
      <c r="S37" s="208"/>
      <c r="T37" s="208"/>
      <c r="U37" s="208"/>
      <c r="V37" s="208"/>
      <c r="W37" s="208"/>
      <c r="X37" s="208"/>
      <c r="Y37" s="208"/>
      <c r="Z37" s="208"/>
      <c r="AA37" s="208"/>
      <c r="AB37" s="208"/>
      <c r="AC37" s="208"/>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row>
    <row r="38" spans="1:65">
      <c r="A38" s="178" t="s">
        <v>205</v>
      </c>
      <c r="B38" s="179"/>
      <c r="C38" s="179"/>
      <c r="D38" s="179"/>
      <c r="E38" s="179"/>
      <c r="F38" s="179"/>
      <c r="G38" s="179"/>
      <c r="H38" s="179"/>
      <c r="I38" s="179"/>
      <c r="J38" s="179"/>
      <c r="K38" s="179"/>
      <c r="L38" s="472"/>
      <c r="M38" s="472"/>
      <c r="N38" s="472"/>
      <c r="O38" s="472"/>
      <c r="P38" s="472"/>
      <c r="Q38" s="472"/>
      <c r="R38" s="472"/>
      <c r="S38" s="472"/>
      <c r="T38" s="472"/>
      <c r="U38" s="472"/>
      <c r="V38" s="472"/>
      <c r="W38" s="472"/>
      <c r="X38" s="472"/>
      <c r="Y38" s="472"/>
      <c r="Z38" s="472"/>
      <c r="AA38" s="472"/>
      <c r="AB38" s="472"/>
      <c r="AC38" s="472"/>
      <c r="AD38" s="472"/>
      <c r="AE38" s="472"/>
      <c r="AF38" s="472"/>
      <c r="AG38" s="472"/>
      <c r="AH38" s="472"/>
      <c r="AI38" s="472"/>
      <c r="AJ38" s="472"/>
      <c r="AK38" s="472"/>
      <c r="AL38" s="472"/>
      <c r="AM38" s="472"/>
      <c r="AN38" s="472"/>
      <c r="AO38" s="472"/>
      <c r="AP38" s="472"/>
      <c r="AQ38" s="472"/>
      <c r="AR38" s="472"/>
      <c r="AS38" s="472"/>
      <c r="AT38" s="472"/>
      <c r="AU38" s="472"/>
      <c r="AV38" s="472"/>
      <c r="AW38" s="52"/>
      <c r="AX38" s="52"/>
      <c r="AY38" s="52"/>
      <c r="AZ38" s="52"/>
      <c r="BA38" s="52"/>
      <c r="BB38" s="52"/>
      <c r="BC38" s="52"/>
      <c r="BD38" s="52"/>
      <c r="BE38" s="52"/>
      <c r="BF38" s="52"/>
      <c r="BG38" s="52"/>
      <c r="BH38" s="52"/>
      <c r="BI38" s="52"/>
    </row>
    <row r="39" spans="1:65">
      <c r="A39" s="211" t="s">
        <v>227</v>
      </c>
      <c r="B39" s="212"/>
      <c r="C39" s="212"/>
      <c r="D39" s="212"/>
      <c r="E39" s="212"/>
      <c r="F39" s="212"/>
      <c r="G39" s="212"/>
      <c r="H39" s="212"/>
      <c r="I39" s="212"/>
      <c r="J39" s="212"/>
      <c r="K39" s="212"/>
      <c r="L39" s="212"/>
      <c r="M39" s="212"/>
      <c r="N39" s="472"/>
      <c r="O39" s="472"/>
      <c r="P39" s="472"/>
      <c r="Q39" s="472"/>
      <c r="R39" s="472"/>
      <c r="S39" s="472"/>
      <c r="T39" s="472"/>
      <c r="U39" s="472"/>
      <c r="V39" s="472"/>
      <c r="W39" s="472"/>
      <c r="X39" s="472"/>
      <c r="Y39" s="472"/>
      <c r="Z39" s="472"/>
      <c r="AA39" s="472"/>
      <c r="AB39" s="472"/>
      <c r="AC39" s="472"/>
      <c r="AD39" s="472"/>
      <c r="AE39" s="472"/>
      <c r="AF39" s="472"/>
      <c r="AG39" s="472"/>
      <c r="AH39" s="472"/>
      <c r="AI39" s="472"/>
      <c r="AJ39" s="212"/>
      <c r="AK39" s="212"/>
      <c r="AL39" s="212"/>
      <c r="AM39" s="212"/>
      <c r="AN39" s="212"/>
      <c r="AO39" s="212"/>
      <c r="AP39" s="212"/>
      <c r="AQ39" s="212"/>
      <c r="AR39" s="212"/>
      <c r="AS39" s="212"/>
      <c r="AT39" s="212"/>
      <c r="AU39" s="212"/>
      <c r="AV39" s="472"/>
      <c r="AW39" s="472"/>
      <c r="AX39" s="472"/>
      <c r="AY39" s="472"/>
      <c r="AZ39" s="472"/>
      <c r="BA39" s="472"/>
      <c r="BB39" s="472"/>
      <c r="BC39" s="472"/>
      <c r="BD39" s="472"/>
      <c r="BE39" s="472"/>
      <c r="BF39" s="471"/>
      <c r="BG39" s="210"/>
    </row>
    <row r="40" spans="1:65">
      <c r="A40" s="211" t="s">
        <v>232</v>
      </c>
      <c r="B40" s="212"/>
      <c r="C40" s="212"/>
      <c r="D40" s="212"/>
      <c r="E40" s="212"/>
      <c r="F40" s="212"/>
      <c r="G40" s="212"/>
      <c r="H40" s="212"/>
      <c r="I40" s="212"/>
      <c r="J40" s="212"/>
      <c r="K40" s="212"/>
      <c r="L40" s="212"/>
      <c r="M40" s="212"/>
      <c r="N40" s="472"/>
      <c r="O40" s="472"/>
      <c r="P40" s="472"/>
      <c r="Q40" s="472"/>
      <c r="R40" s="472"/>
      <c r="S40" s="472"/>
      <c r="T40" s="472"/>
      <c r="U40" s="472"/>
      <c r="V40" s="472"/>
      <c r="W40" s="472"/>
      <c r="X40" s="472"/>
      <c r="Y40" s="472"/>
      <c r="Z40" s="472"/>
      <c r="AA40" s="472"/>
      <c r="AB40" s="472"/>
      <c r="AC40" s="168"/>
      <c r="AD40" s="168"/>
      <c r="AE40" s="168"/>
      <c r="AF40" s="168"/>
      <c r="AG40" s="168"/>
      <c r="AH40" s="168"/>
      <c r="AI40" s="168"/>
      <c r="AJ40" s="168"/>
      <c r="AK40" s="168"/>
      <c r="AL40" s="168"/>
      <c r="AM40" s="168"/>
      <c r="AN40" s="168"/>
      <c r="AO40" s="168"/>
      <c r="AP40" s="168"/>
      <c r="AQ40" s="168"/>
      <c r="AR40" s="168"/>
      <c r="AS40" s="168"/>
      <c r="AT40" s="168"/>
      <c r="AU40" s="168"/>
      <c r="AV40" s="472"/>
      <c r="AW40" s="472"/>
      <c r="AX40" s="472"/>
      <c r="AY40" s="472"/>
      <c r="AZ40" s="472"/>
      <c r="BA40" s="472"/>
      <c r="BB40" s="472"/>
      <c r="BC40" s="472"/>
      <c r="BD40" s="472"/>
      <c r="BE40" s="472"/>
      <c r="BF40" s="471"/>
      <c r="BG40" s="471"/>
      <c r="BH40" s="471"/>
      <c r="BI40" s="471"/>
      <c r="BJ40" s="471"/>
      <c r="BK40" s="471"/>
      <c r="BL40" s="471"/>
      <c r="BM40" s="471"/>
    </row>
    <row r="41" spans="1:65">
      <c r="A41" s="211" t="s">
        <v>239</v>
      </c>
      <c r="B41" s="212"/>
      <c r="C41" s="212"/>
      <c r="D41" s="212"/>
      <c r="E41" s="212"/>
      <c r="F41" s="212"/>
      <c r="G41" s="212"/>
      <c r="H41" s="212"/>
      <c r="I41" s="212"/>
      <c r="J41" s="212"/>
      <c r="K41" s="112"/>
      <c r="L41" s="218"/>
      <c r="M41" s="218"/>
      <c r="N41" s="218"/>
      <c r="O41" s="218"/>
      <c r="P41" s="218"/>
      <c r="Q41" s="218"/>
      <c r="R41" s="212"/>
      <c r="S41" s="212"/>
      <c r="T41" s="212"/>
      <c r="U41" s="212"/>
      <c r="V41" s="212"/>
      <c r="W41" s="212"/>
      <c r="X41" s="212"/>
      <c r="Y41" s="212"/>
      <c r="Z41" s="212"/>
      <c r="AA41" s="212"/>
      <c r="AB41" s="212"/>
      <c r="AC41" s="212"/>
      <c r="AD41" s="472"/>
      <c r="AE41" s="472"/>
      <c r="AF41" s="472"/>
      <c r="AG41" s="472"/>
      <c r="AH41" s="472"/>
      <c r="AI41" s="472"/>
      <c r="AJ41" s="472"/>
      <c r="AK41" s="472"/>
      <c r="AL41" s="472"/>
      <c r="AM41" s="472"/>
      <c r="AN41" s="472"/>
      <c r="AO41" s="472"/>
      <c r="AP41" s="472"/>
      <c r="AQ41" s="472"/>
      <c r="AR41" s="472"/>
      <c r="AS41" s="472"/>
      <c r="AT41" s="472"/>
      <c r="AU41" s="472"/>
      <c r="AV41" s="472"/>
      <c r="AW41" s="472"/>
      <c r="AX41" s="472"/>
      <c r="AY41" s="472"/>
      <c r="AZ41" s="472"/>
      <c r="BA41" s="472"/>
      <c r="BB41" s="472"/>
      <c r="BC41" s="472"/>
      <c r="BD41" s="472"/>
      <c r="BE41" s="472"/>
      <c r="BF41" s="471"/>
      <c r="BG41" s="471"/>
      <c r="BH41" s="471"/>
      <c r="BI41" s="471"/>
      <c r="BJ41" s="471"/>
      <c r="BK41" s="471"/>
      <c r="BL41" s="471"/>
      <c r="BM41" s="471"/>
    </row>
    <row r="42" spans="1:65">
      <c r="A42" s="211" t="s">
        <v>237</v>
      </c>
      <c r="B42" s="212"/>
      <c r="C42" s="212"/>
      <c r="D42" s="212"/>
      <c r="E42" s="212"/>
      <c r="F42" s="212"/>
      <c r="G42" s="212"/>
      <c r="H42" s="212"/>
      <c r="I42" s="212"/>
      <c r="J42" s="212"/>
      <c r="K42" s="212"/>
      <c r="L42" s="472"/>
      <c r="M42" s="472"/>
      <c r="N42" s="472"/>
      <c r="O42" s="472"/>
      <c r="P42" s="472"/>
      <c r="Q42" s="472"/>
      <c r="R42" s="472"/>
      <c r="S42" s="472"/>
      <c r="T42" s="472"/>
      <c r="U42" s="472"/>
      <c r="V42" s="472"/>
      <c r="W42" s="472"/>
      <c r="X42" s="472"/>
      <c r="Y42" s="472"/>
      <c r="Z42" s="472"/>
      <c r="AA42" s="472"/>
      <c r="AB42" s="472"/>
      <c r="AC42" s="472"/>
      <c r="AD42" s="472"/>
      <c r="AE42" s="472"/>
      <c r="AF42" s="472"/>
      <c r="AG42" s="472"/>
      <c r="AH42" s="472"/>
      <c r="AI42" s="472"/>
      <c r="AJ42" s="212"/>
      <c r="AK42" s="212"/>
      <c r="AL42" s="212"/>
      <c r="AM42" s="212"/>
      <c r="AN42" s="212"/>
      <c r="AO42" s="212"/>
      <c r="AP42" s="212"/>
      <c r="AQ42" s="212"/>
      <c r="AR42" s="212"/>
      <c r="AS42" s="212"/>
      <c r="AT42" s="212"/>
      <c r="AU42" s="212"/>
      <c r="AV42" s="212"/>
      <c r="AW42" s="212"/>
      <c r="AX42" s="212"/>
      <c r="AY42" s="212"/>
      <c r="AZ42" s="212"/>
      <c r="BA42" s="212"/>
      <c r="BB42" s="212"/>
      <c r="BC42" s="52"/>
      <c r="BD42" s="52"/>
      <c r="BE42" s="52"/>
      <c r="BF42" s="52"/>
      <c r="BG42" s="52"/>
      <c r="BH42" s="52"/>
      <c r="BI42" s="52"/>
    </row>
  </sheetData>
  <mergeCells count="2">
    <mergeCell ref="B3:AD3"/>
    <mergeCell ref="B4:AD4"/>
  </mergeCells>
  <conditionalFormatting sqref="B25:BG25 B14:BG19 B11:BG12 AY33:BF34 B33:K34 B35:AV36 BG33:BM33 B38:K38 B42:K42">
    <cfRule type="cellIs" dxfId="17" priority="23" operator="equal">
      <formula>"x"</formula>
    </cfRule>
  </conditionalFormatting>
  <conditionalFormatting sqref="B41:AC41 AY33:BM33 AJ39:AU39 B39:M40 BG39 AJ42:BB42">
    <cfRule type="cellIs" dxfId="16" priority="22" operator="equal">
      <formula>"x"</formula>
    </cfRule>
  </conditionalFormatting>
  <conditionalFormatting sqref="AY34:BF34">
    <cfRule type="cellIs" dxfId="15" priority="21" operator="equal">
      <formula>"x"</formula>
    </cfRule>
  </conditionalFormatting>
  <conditionalFormatting sqref="L33:AX34">
    <cfRule type="cellIs" dxfId="14" priority="17" operator="equal">
      <formula>"x"</formula>
    </cfRule>
  </conditionalFormatting>
  <conditionalFormatting sqref="L38:AI38">
    <cfRule type="cellIs" dxfId="13" priority="14" operator="equal">
      <formula>"x"</formula>
    </cfRule>
  </conditionalFormatting>
  <conditionalFormatting sqref="L42:AI42">
    <cfRule type="cellIs" dxfId="12" priority="13" operator="equal">
      <formula>"x"</formula>
    </cfRule>
  </conditionalFormatting>
  <conditionalFormatting sqref="N39:AI39">
    <cfRule type="cellIs" dxfId="11" priority="12" operator="equal">
      <formula>"x"</formula>
    </cfRule>
  </conditionalFormatting>
  <conditionalFormatting sqref="N40:AB40">
    <cfRule type="cellIs" dxfId="10" priority="11" operator="equal">
      <formula>"x"</formula>
    </cfRule>
  </conditionalFormatting>
  <conditionalFormatting sqref="AY40:BM40">
    <cfRule type="cellIs" dxfId="9" priority="10" operator="equal">
      <formula>"x"</formula>
    </cfRule>
  </conditionalFormatting>
  <conditionalFormatting sqref="AY40:BM40">
    <cfRule type="cellIs" dxfId="8" priority="9" operator="equal">
      <formula>"x"</formula>
    </cfRule>
  </conditionalFormatting>
  <conditionalFormatting sqref="AV40:AX40">
    <cfRule type="cellIs" dxfId="7" priority="8" operator="equal">
      <formula>"x"</formula>
    </cfRule>
  </conditionalFormatting>
  <conditionalFormatting sqref="AY39:BF39">
    <cfRule type="cellIs" dxfId="6" priority="7" operator="equal">
      <formula>"x"</formula>
    </cfRule>
  </conditionalFormatting>
  <conditionalFormatting sqref="AY39:BF39">
    <cfRule type="cellIs" dxfId="5" priority="6" operator="equal">
      <formula>"x"</formula>
    </cfRule>
  </conditionalFormatting>
  <conditionalFormatting sqref="AV39:AX39">
    <cfRule type="cellIs" dxfId="4" priority="5" operator="equal">
      <formula>"x"</formula>
    </cfRule>
  </conditionalFormatting>
  <conditionalFormatting sqref="AJ38:AV38">
    <cfRule type="cellIs" dxfId="3" priority="4" operator="equal">
      <formula>"x"</formula>
    </cfRule>
  </conditionalFormatting>
  <conditionalFormatting sqref="AY41:BM41">
    <cfRule type="cellIs" dxfId="2" priority="3" operator="equal">
      <formula>"x"</formula>
    </cfRule>
  </conditionalFormatting>
  <conditionalFormatting sqref="AY41:BM41">
    <cfRule type="cellIs" dxfId="1" priority="2" operator="equal">
      <formula>"x"</formula>
    </cfRule>
  </conditionalFormatting>
  <conditionalFormatting sqref="AD41:AX41">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B8AF2-E613-48B2-BE8D-27D81E630702}">
  <sheetPr codeName="Tabelle11">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145" customFormat="1" ht="39">
      <c r="A1" s="236" t="s">
        <v>313</v>
      </c>
      <c r="B1" s="237"/>
      <c r="C1" s="237"/>
      <c r="D1" s="237"/>
      <c r="E1" s="237"/>
      <c r="F1" s="237"/>
      <c r="G1" s="238"/>
      <c r="H1" s="239" t="s">
        <v>221</v>
      </c>
      <c r="J1" s="240"/>
      <c r="O1" s="241"/>
    </row>
    <row r="2" spans="1:15" s="145" customFormat="1" ht="52">
      <c r="A2" s="236" t="s">
        <v>0</v>
      </c>
      <c r="B2" s="237" t="s">
        <v>317</v>
      </c>
      <c r="C2" s="237" t="s">
        <v>1</v>
      </c>
      <c r="D2" s="237" t="s">
        <v>30</v>
      </c>
      <c r="E2" s="237" t="s">
        <v>31</v>
      </c>
      <c r="F2" s="237" t="s">
        <v>32</v>
      </c>
      <c r="G2" s="238" t="s">
        <v>33</v>
      </c>
      <c r="H2" s="239" t="s">
        <v>222</v>
      </c>
      <c r="I2" s="242" t="s">
        <v>69</v>
      </c>
      <c r="J2" s="243" t="s">
        <v>318</v>
      </c>
      <c r="O2" s="241"/>
    </row>
    <row r="3" spans="1:15" s="146" customFormat="1" ht="25.5">
      <c r="A3" s="244" t="s">
        <v>319</v>
      </c>
      <c r="B3" s="245" t="s">
        <v>319</v>
      </c>
      <c r="C3" s="245" t="s">
        <v>320</v>
      </c>
      <c r="D3" s="246">
        <v>0.33333333333333331</v>
      </c>
      <c r="E3" s="245"/>
      <c r="F3" s="245"/>
      <c r="G3" s="247"/>
      <c r="I3" s="495" t="s">
        <v>321</v>
      </c>
      <c r="J3" s="248"/>
      <c r="O3" s="249"/>
    </row>
    <row r="4" spans="1:15" s="146" customFormat="1" ht="25.5">
      <c r="A4" s="155" t="s">
        <v>322</v>
      </c>
      <c r="B4" s="146" t="s">
        <v>322</v>
      </c>
      <c r="C4" s="146" t="s">
        <v>323</v>
      </c>
      <c r="D4" s="148">
        <v>0.29166666666666669</v>
      </c>
      <c r="G4" s="250"/>
      <c r="I4" s="495"/>
      <c r="J4" s="248"/>
      <c r="O4" s="249"/>
    </row>
    <row r="5" spans="1:15" s="146" customFormat="1" ht="25.5">
      <c r="A5" s="155" t="s">
        <v>324</v>
      </c>
      <c r="B5" s="146" t="s">
        <v>324</v>
      </c>
      <c r="C5" s="146" t="s">
        <v>325</v>
      </c>
      <c r="D5" s="148">
        <v>0.29166666666666669</v>
      </c>
      <c r="G5" s="250"/>
      <c r="I5" s="495"/>
      <c r="J5" s="248"/>
      <c r="O5" s="249"/>
    </row>
    <row r="6" spans="1:15" s="146" customFormat="1" ht="25.5">
      <c r="A6" s="155" t="s">
        <v>326</v>
      </c>
      <c r="B6" s="146" t="s">
        <v>326</v>
      </c>
      <c r="C6" s="146" t="s">
        <v>327</v>
      </c>
      <c r="D6" s="148">
        <v>0.3125</v>
      </c>
      <c r="G6" s="250"/>
      <c r="I6" s="495"/>
      <c r="J6" s="248"/>
      <c r="O6" s="249"/>
    </row>
    <row r="7" spans="1:15" s="146" customFormat="1" ht="25.5">
      <c r="A7" s="251" t="s">
        <v>328</v>
      </c>
      <c r="B7" s="252" t="s">
        <v>328</v>
      </c>
      <c r="C7" s="252" t="s">
        <v>329</v>
      </c>
      <c r="D7" s="253" t="s">
        <v>330</v>
      </c>
      <c r="E7" s="253"/>
      <c r="F7" s="252"/>
      <c r="G7" s="254"/>
      <c r="I7" s="495"/>
      <c r="J7" s="248"/>
      <c r="O7" s="249"/>
    </row>
    <row r="11" spans="1:15" ht="13">
      <c r="A11" s="80" t="s">
        <v>331</v>
      </c>
    </row>
    <row r="13" spans="1:15">
      <c r="A13" s="255" t="s">
        <v>332</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BA1D4E-6C31-4240-B53E-97964159ED4E}">
  <ds:schemaRefs>
    <ds:schemaRef ds:uri="http://schemas.openxmlformats.org/package/2006/metadata/core-properties"/>
    <ds:schemaRef ds:uri="http://www.w3.org/XML/1998/namespace"/>
    <ds:schemaRef ds:uri="http://schemas.microsoft.com/office/2006/documentManagement/types"/>
    <ds:schemaRef ds:uri="136c0432-4d9c-4173-8361-2c7368292cc8"/>
    <ds:schemaRef ds:uri="http://schemas.microsoft.com/office/2006/metadata/properties"/>
    <ds:schemaRef ds:uri="http://purl.org/dc/dcmitype/"/>
    <ds:schemaRef ds:uri="http://purl.org/dc/elements/1.1/"/>
    <ds:schemaRef ds:uri="http://schemas.microsoft.com/office/infopath/2007/PartnerControls"/>
    <ds:schemaRef ds:uri="224dcf42-62f9-43cf-884f-ffd622c8a884"/>
    <ds:schemaRef ds:uri="http://purl.org/dc/terms/"/>
    <ds:schemaRef ds:uri="2c935882-467e-4155-8c38-295eb5fe6a65"/>
    <ds:schemaRef ds:uri="92e729bb-47fc-406e-bee0-821e9dd0953a"/>
  </ds:schemaRefs>
</ds:datastoreItem>
</file>

<file path=customXml/itemProps2.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3.xml><?xml version="1.0" encoding="utf-8"?>
<ds:datastoreItem xmlns:ds="http://schemas.openxmlformats.org/officeDocument/2006/customXml" ds:itemID="{1006E1D9-AE3F-476C-ACD6-4FC61B03B6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kategorien</vt:lpstr>
      <vt:lpstr>diensttypen</vt:lpstr>
      <vt:lpstr>diensttypgruppen</vt:lpstr>
      <vt:lpstr>bedarfe</vt:lpstr>
      <vt:lpstr>ma-basisdaten</vt:lpstr>
      <vt:lpstr>ma-profil</vt:lpstr>
      <vt:lpstr>generell</vt:lpstr>
      <vt:lpstr>live-daten</vt:lpstr>
      <vt:lpstr>qualitativeGewichte</vt:lpstr>
      <vt:lpstr>Dienstzeiten</vt:lpstr>
      <vt:lpstr>Personalbedarf</vt:lpstr>
      <vt:lpstr>gemischte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2024-04-20T13:55:30Z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