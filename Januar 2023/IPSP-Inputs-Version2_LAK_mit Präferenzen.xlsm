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https://ostch-my.sharepoint.com/personal/vanessa_toscan_ost_ch/Documents/Studium/Master/4. Semester/MATH/Python Auswertungen/pythonProject/Januar 2023/"/>
    </mc:Choice>
  </mc:AlternateContent>
  <xr:revisionPtr revIDLastSave="1" documentId="8_{08F40AF7-15ED-471F-9317-6DDB31E85DF0}" xr6:coauthVersionLast="47" xr6:coauthVersionMax="47" xr10:uidLastSave="{DB824E85-F6E4-42E3-9A3D-692F65E9393F}"/>
  <bookViews>
    <workbookView minimized="1" xWindow="1520" yWindow="1520" windowWidth="14400" windowHeight="7360" firstSheet="5" activeTab="7" xr2:uid="{00000000-000D-0000-FFFF-FFFF00000000}"/>
  </bookViews>
  <sheets>
    <sheet name="kategorien" sheetId="14" r:id="rId1"/>
    <sheet name="diensttypen" sheetId="10" r:id="rId2"/>
    <sheet name="diensttypgruppen" sheetId="11" r:id="rId3"/>
    <sheet name="Dienstzeiten" sheetId="16" r:id="rId4"/>
    <sheet name="gemischte Dienste" sheetId="15" r:id="rId5"/>
    <sheet name="ma-basisdaten" sheetId="6" r:id="rId6"/>
    <sheet name="bedarfe" sheetId="13" r:id="rId7"/>
    <sheet name="ma-profil" sheetId="7" r:id="rId8"/>
    <sheet name="live-daten" sheetId="19" r:id="rId9"/>
    <sheet name="qualitativeGewichte" sheetId="12" r:id="rId10"/>
    <sheet name="farben Dienste" sheetId="20" r:id="rId1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14" i="19" l="1"/>
  <c r="AW6" i="19"/>
  <c r="AW7" i="19"/>
  <c r="AW8" i="19"/>
  <c r="AW9" i="19"/>
  <c r="AW10" i="19"/>
  <c r="AW11" i="19"/>
  <c r="AW12" i="19"/>
  <c r="AW13" i="19"/>
  <c r="AW15" i="19"/>
  <c r="AW16" i="19"/>
  <c r="AW17" i="19"/>
  <c r="AW18" i="19"/>
  <c r="AW5" i="19"/>
  <c r="D4" i="19" l="1"/>
  <c r="E4" i="19" s="1"/>
  <c r="D3" i="19" l="1"/>
  <c r="E3" i="19"/>
  <c r="F4" i="19"/>
  <c r="G4" i="19" l="1"/>
  <c r="F3" i="19"/>
  <c r="H4" i="19" l="1"/>
  <c r="G3" i="19"/>
  <c r="I4" i="19" l="1"/>
  <c r="H3" i="19"/>
  <c r="J4" i="19" l="1"/>
  <c r="I3" i="19"/>
  <c r="J3" i="19" l="1"/>
  <c r="K4" i="19"/>
  <c r="K3" i="19" l="1"/>
  <c r="L4" i="19"/>
  <c r="L3" i="19" l="1"/>
  <c r="M4" i="19"/>
  <c r="M3" i="19" l="1"/>
  <c r="N4" i="19"/>
  <c r="N3" i="19" l="1"/>
  <c r="O4" i="19"/>
  <c r="P4" i="19" l="1"/>
  <c r="O3" i="19"/>
  <c r="Q4" i="19" l="1"/>
  <c r="P3" i="19"/>
  <c r="R4" i="19" l="1"/>
  <c r="Q3" i="19"/>
  <c r="S4" i="19" l="1"/>
  <c r="R3" i="19"/>
  <c r="S3" i="19" l="1"/>
  <c r="T4" i="19"/>
  <c r="U4" i="19" l="1"/>
  <c r="T3" i="19"/>
  <c r="V4" i="19" l="1"/>
  <c r="U3" i="19"/>
  <c r="W4" i="19" l="1"/>
  <c r="V3" i="19"/>
  <c r="W3" i="19" l="1"/>
  <c r="X4" i="19"/>
  <c r="Y4" i="19" l="1"/>
  <c r="X3" i="19"/>
  <c r="Y3" i="19" l="1"/>
  <c r="Z4" i="19"/>
  <c r="Z3" i="19" l="1"/>
  <c r="AA4" i="19"/>
  <c r="AA3" i="19" l="1"/>
  <c r="AB4" i="19"/>
  <c r="AB3" i="19" l="1"/>
  <c r="AC4" i="19"/>
  <c r="AC3" i="19" l="1"/>
  <c r="AD4" i="19"/>
  <c r="AD3" i="19" l="1"/>
  <c r="AE4" i="19"/>
  <c r="AF4" i="19" l="1"/>
  <c r="AE3" i="19"/>
  <c r="AG4" i="19" l="1"/>
  <c r="AF3" i="19"/>
  <c r="AH4" i="19" l="1"/>
  <c r="AG3" i="19"/>
  <c r="AH3" i="19" l="1"/>
  <c r="AI4" i="19"/>
  <c r="AI3" i="19" l="1"/>
  <c r="AJ4" i="19"/>
  <c r="AK4" i="19" l="1"/>
  <c r="AJ3" i="19"/>
  <c r="AK3" i="19" l="1"/>
  <c r="AL4" i="19"/>
  <c r="AL3" i="19" l="1"/>
  <c r="AM4" i="19"/>
  <c r="AN4" i="19" l="1"/>
  <c r="AM3" i="19"/>
  <c r="AO4" i="19" l="1"/>
  <c r="AN3" i="19"/>
  <c r="AP4" i="19" l="1"/>
  <c r="AO3" i="19"/>
  <c r="AP3" i="19" l="1"/>
  <c r="AQ4" i="19"/>
  <c r="AQ3" i="19" l="1"/>
  <c r="AR4" i="19"/>
  <c r="AR3" i="19" l="1"/>
  <c r="AS4" i="19"/>
  <c r="AS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tc={181C23A9-FBD0-416A-ABE6-1A8231986171}</author>
    <author>tc={4221ACCF-D59B-4DFB-A360-B53BBDC0309E}</author>
    <author>tc={2CDE19F9-8357-41D8-8929-F6D3A2CC3ADC}</author>
  </authors>
  <commentList>
    <comment ref="A7" authorId="0" shapeId="0" xr:uid="{181C23A9-FBD0-416A-ABE6-1A82319861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zählen nicht zum Bedarf am VM</t>
      </text>
    </comment>
    <comment ref="A11" authorId="1" shapeId="0" xr:uid="{4221ACCF-D59B-4DFB-A360-B53BBDC030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Vor Früh": Für "Früh vor Frei" - Regel relevant</t>
      </text>
    </comment>
    <comment ref="A14" authorId="2" shapeId="0" xr:uid="{2CDE19F9-8357-41D8-8929-F6D3A2CC3AD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Für Planungswunsch: Jeden 1. Montag F1 oder G1. Mit Reinhard besprechen
Antwort:
    Wird im Planungswunsch 2.0 berücksichtigt. In Version 1.0 noch nicht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tc={8C38C316-0E5C-42A7-9005-E4D5C956B827}</author>
  </authors>
  <commentList>
    <comment ref="A9" authorId="0" shapeId="0" xr:uid="{8C38C316-0E5C-42A7-9005-E4D5C956B82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Alltagsmanagement (nur spezifische MA)</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tc={368F9C3A-D68C-4FAA-9C10-9AC114584D8A}</author>
    <author>tc={01D24022-2A7E-4648-A820-96D68F4FD771}</author>
    <author>tc={B7CEF5A9-64F5-42AC-8692-6BBCCB4EB950}</author>
    <author>tc={38A643DB-1C61-48ED-8907-6918B03183AE}</author>
    <author>tc={925F4B96-1839-4C77-90E9-89299F558C87}</author>
    <author>tc={489A08AF-ACEB-49DB-9A20-57C529744910}</author>
  </authors>
  <commentList>
    <comment ref="J2" authorId="0" shapeId="0" xr:uid="{368F9C3A-D68C-4FAA-9C10-9AC114584D8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zur Kontrolle:
Überall Ruhezeit so einstellen, dass früheste Schicht möglich ist = 07:00 (F1, K2)</t>
      </text>
    </comment>
    <comment ref="A3" authorId="1" shapeId="0" xr:uid="{01D24022-2A7E-4648-A820-96D68F4FD7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B2: 08:00 - 12:00, 13:00 - 16:00
Doku: ?
Antwort:
    Doku wird immer nachträglich eingeplant, nicht relevant für uns</t>
      </text>
    </comment>
    <comment ref="A4" authorId="2" shapeId="0" xr:uid="{B7CEF5A9-64F5-42AC-8692-6BBCCB4EB95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-&gt;: ?
Antwort:
    -&gt; meistens so dass insgesamt 8:24 ergibt
Bedarf nur K2</t>
      </text>
    </comment>
    <comment ref="A5" authorId="3" shapeId="0" xr:uid="{38A643DB-1C61-48ED-8907-6918B03183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Doku: ?</t>
      </text>
    </comment>
    <comment ref="A6" authorId="4" shapeId="0" xr:uid="{925F4B96-1839-4C77-90E9-89299F558C8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A2: 07:30 - 13:15
Doku: ?</t>
      </text>
    </comment>
    <comment ref="A7" authorId="5" shapeId="0" xr:uid="{489A08AF-ACEB-49DB-9A20-57C52974491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Doku: ?
S2: 11:30 - 13:00, 13:45 - 20:30</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tc={5C45E80F-43C8-4BF7-AC52-1D2BEA69EFDE}</author>
  </authors>
  <commentList>
    <comment ref="C12" authorId="0" shapeId="0" xr:uid="{5C45E80F-43C8-4BF7-AC52-1D2BEA69EF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40</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tc={5BA7B08D-EE5A-46BC-8DF4-3DB1B6B9CC85}</author>
    <author>tc={3DAC995F-A1E5-433C-93D6-9AC564A57C21}</author>
    <author>tc={BD3CA575-D269-453A-92BC-8CAD58705714}</author>
    <author>tc={650532A6-D6FB-4821-BBA5-63290B4C7AA1}</author>
    <author>tc={510A080C-1D8F-4CF6-98DE-D4F2A29CD733}</author>
    <author>tc={F9666DD0-3A94-41F0-A83F-101BB3962996}</author>
    <author>tc={DB58E230-F509-4343-913B-9F41846A0BF0}</author>
    <author>tc={72DC2149-CB1D-485A-98E4-09CC0607A1AD}</author>
    <author>tc={4524A761-B114-4455-8C29-A19D40225EEE}</author>
  </authors>
  <commentList>
    <comment ref="B3" authorId="0" shapeId="0" xr:uid="{5BA7B08D-EE5A-46BC-8DF4-3DB1B6B9CC85}">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Leitung, Fachpersonal mit Diplom, Fachpersonal mit Fähigkeitszeugnis </t>
      </text>
    </comment>
    <comment ref="C3" authorId="1" shapeId="0" xr:uid="{3DAC995F-A1E5-433C-93D6-9AC564A57C2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Du kannst die Demands nun einfacher eingeben mit: KAT1 KAT2 … - SHIFT_TYPE_GROUP 
siehe KSA</t>
      </text>
    </comment>
    <comment ref="B10" authorId="2" shapeId="0" xr:uid="{BD3CA575-D269-453A-92BC-8CAD58705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Leitung, Fachpersonal mit Diplom, Fachpersonal mit Fähigkeitszeugnis, Mitarbeitende</t>
      </text>
    </comment>
    <comment ref="C10" authorId="3" shapeId="0" xr:uid="{650532A6-D6FB-4821-BBA5-63290B4C7A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 dürfen kein G2 machen. Hier trotzdem aufnehmen, da Leitung, Dipl, FaGe diesen machen dürfen und dann einfach den Mitarbeitenden G2 explilzit in MA-Profil verbieten?
Antwort:
    eher MA - G2 hier nicht aufnehmen</t>
      </text>
    </comment>
    <comment ref="W15" authorId="4" shapeId="0" xr:uid="{510A080C-1D8F-4CF6-98DE-D4F2A29CD7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 2 aus Pflege -&gt; wenn 3. Person, dann Lernende</t>
      </text>
    </comment>
    <comment ref="W16" authorId="5" shapeId="0" xr:uid="{F9666DD0-3A94-41F0-A83F-101BB39629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2 Leute bis halb 9</t>
      </text>
    </comment>
    <comment ref="C17" authorId="6" shapeId="0" xr:uid="{DB58E230-F509-4343-913B-9F41846A0BF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Du kannst die Demands nun einfacher eingeben mit: KAT1 KAT2 … - SHIFT_TYPE_GROUP 
siehe KSA</t>
      </text>
    </comment>
    <comment ref="B21" authorId="7" shapeId="0" xr:uid="{72DC2149-CB1D-485A-98E4-09CC0607A1A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Mitarbeitende
Bedarf Alma's neu:
entweder A1 oder A3+A5 oder A2+A6</t>
      </text>
    </comment>
    <comment ref="B25" authorId="8" shapeId="0" xr:uid="{4524A761-B114-4455-8C29-A19D40225EE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Bedarfsprofil für WE hat andere Zeiten, nicht nur andere Bedarfe, deshalb hier separat definiert.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tc={B08FAD5B-4D3A-4B50-BE34-5A1EE4398F39}</author>
    <author>tc={21180379-9C6B-4A6B-A6D0-945AF2D9B1B2}</author>
    <author>tc={C3BD9067-7224-47E5-9F0D-B6F54BE18CCA}</author>
    <author>tc={ABC12D9C-5704-4BAE-8BD7-6CC517F7CC17}</author>
    <author>tc={43A21E61-4C79-44EF-9DBB-033B6485E3CA}</author>
    <author>tc={AEC3ED95-229D-47A2-8BB7-4D89DD658C6E}</author>
    <author>tc={F7195FF4-BA68-47B4-ADE5-140BCB71DECF}</author>
    <author>tc={8123F641-7B48-4434-8A5C-8A4A5EF870C8}</author>
    <author>tc={CA7231A0-2C3B-4D23-AB57-57463718009E}</author>
    <author>tc={CCD7E3E1-3479-4553-82B7-C577228190E2}</author>
    <author>tc={C5C3557A-0276-4731-B05E-39AE4CF68AF7}</author>
    <author>tc={DD10E734-49F5-4450-A328-4EF7A0AD7123}</author>
    <author>tc={C617703C-6D5F-420C-8513-E86215805237}</author>
    <author>tc={5B1674BA-FBF1-4B58-B21F-B567600A6AFC}</author>
    <author>tc={8BD7A389-6502-4140-8C4B-4C8E3EE9D1FB}</author>
    <author>tc={D561D6F3-0ABF-407C-A1D5-4AA11CE6E0E8}</author>
    <author>tc={838B26F5-A664-455E-A199-389121371BA5}</author>
    <author>tc={40A3AA59-DCB9-4CF6-A18C-5CB6A5F45378}</author>
    <author>tc={483D1E06-8510-4790-AE61-CD9158A323D6}</author>
    <author>tc={4B33E919-4F0C-44EF-AAF7-9809E5E56633}</author>
    <author>tc={48680C23-1B7B-4FFF-97FF-49384702DB99}</author>
    <author>tc={96E644B0-5BFB-41CE-89BA-AC8861065A9F}</author>
    <author>tc={80F256E5-019F-43DF-8C81-7C53B693C7BB}</author>
    <author>tc={66953772-5A9C-4F20-8066-A421B7897B8E}</author>
    <author>tc={416E332C-ACF3-4ED6-AC9D-9C7B5135F805}</author>
    <author>tc={31E657C5-FF84-41A0-9F48-BF5D8FA6F92A}</author>
    <author>tc={E98711E2-373D-411E-98C6-3CF1B7F9E774}</author>
    <author>tc={1B5CE2E9-37BF-4A2B-802B-2D785CFBA69C}</author>
    <author>tc={B9BC73C4-E0EE-40A5-9E7B-80B059EE5922}</author>
    <author>tc={0D759DE9-A2AA-4155-94B6-57F582A06573}</author>
    <author>tc={D2871115-206F-4808-B1B1-93CC052E1F24}</author>
    <author>tc={5036F241-5C20-449E-A4BF-335BB72404C6}</author>
    <author>tc={A79610A9-9E2F-4381-8718-768892E7200A}</author>
    <author>tc={318FF962-BEBE-4944-9746-910485A41317}</author>
  </authors>
  <commentList>
    <comment ref="T2" authorId="0" shapeId="0" xr:uid="{B08FAD5B-4D3A-4B50-BE34-5A1EE4398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generelle Regel LAK: min. 1, opt. 2 WE frei</t>
      </text>
    </comment>
    <comment ref="K4" authorId="1" shapeId="0" xr:uid="{21180379-9C6B-4A6B-A6D0-945AF2D9B1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24-48</t>
      </text>
    </comment>
    <comment ref="N4" authorId="2" shapeId="0" xr:uid="{C3BD9067-7224-47E5-9F0D-B6F54BE18CC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NVF - NULL</t>
      </text>
    </comment>
    <comment ref="C5" authorId="3" shapeId="0" xr:uid="{ABC12D9C-5704-4BAE-8BD7-6CC517F7CC1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 Do - 13:00 - 24:00</t>
      </text>
    </comment>
    <comment ref="I5" authorId="4" shapeId="0" xr:uid="{43A21E61-4C79-44EF-9DBB-033B6485E3C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Falls nötig, hier pro Monat einstellen, z.B. Januar 23:
B2 : 14 - 9, B2M : 4 - 0
"Büro-Regel Monika" bereits gelöst mittels:
- Bedarfe
- Un-/Beliebte Dienste
- live-daten (Abmachungen)</t>
      </text>
    </comment>
    <comment ref="T5" authorId="5" shapeId="0" xr:uid="{AEC3ED95-229D-47A2-8BB7-4D89DD658C6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J6" authorId="6" shapeId="0" xr:uid="{F7195FF4-BA68-47B4-ADE5-140BCB71DE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3 - 5</t>
      </text>
    </comment>
    <comment ref="K6" authorId="7" shapeId="0" xr:uid="{8123F641-7B48-4434-8A5C-8A4A5EF870C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um zu verhindern, dass nach Früh nur 1 Tag frei und dann Spät</t>
      </text>
    </comment>
    <comment ref="T6" authorId="8" shapeId="0" xr:uid="{CA7231A0-2C3B-4D23-AB57-5746371800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T7" authorId="9" shapeId="0" xr:uid="{CCD7E3E1-3479-4553-82B7-C577228190E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2-3 WE zu arbeiten</t>
      </text>
    </comment>
    <comment ref="G8" authorId="10" shapeId="0" xr:uid="{C5C3557A-0276-4731-B05E-39AE4CF68AF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 S2 von uns hinzugefügt, um G noch unbeliebter zu machen?</t>
      </text>
    </comment>
    <comment ref="I8" authorId="11" shapeId="0" xr:uid="{DD10E734-49F5-4450-A328-4EF7A0AD712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 4 - 0 von uns hinzugefügt, um G noch unbeliebter zu machen</t>
      </text>
    </comment>
    <comment ref="K8" authorId="12" shapeId="0" xr:uid="{C617703C-6D5F-420C-8513-E8621580523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um zu verhindern, dass nach Früh nur 1 Tag frei und dann Spät</t>
      </text>
    </comment>
    <comment ref="T8" authorId="13" shapeId="0" xr:uid="{5B1674BA-FBF1-4B58-B21F-B567600A6AF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C9" authorId="14" shapeId="0" xr:uid="{8BD7A389-6502-4140-8C4B-4C8E3EE9D1F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nur "Di"</t>
      </text>
    </comment>
    <comment ref="H9" authorId="15" shapeId="0" xr:uid="{D561D6F3-0ABF-407C-A1D5-4AA11CE6E0E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
Antwort:
    aktuell verbieten wir diese Wochentage -&gt; falls später wieder nötig: PFvor16 - Mo Di Mi Fr</t>
      </text>
    </comment>
    <comment ref="T9" authorId="16" shapeId="0" xr:uid="{838B26F5-A664-455E-A199-389121371BA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C10" authorId="17" shapeId="0" xr:uid="{40A3AA59-DCB9-4CF6-A18C-5CB6A5F4537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-16:00 - 24:00, Do - 13:00 - 24:00</t>
      </text>
    </comment>
    <comment ref="J10" authorId="18" shapeId="0" xr:uid="{483D1E06-8510-4790-AE61-CD9158A323D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6 - 4 - 1</t>
      </text>
    </comment>
    <comment ref="T10" authorId="19" shapeId="0" xr:uid="{4B33E919-4F0C-44EF-AAF7-9809E5E566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K11" authorId="20" shapeId="0" xr:uid="{48680C23-1B7B-4FFF-97FF-49384702DB9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1" authorId="21" shapeId="0" xr:uid="{96E644B0-5BFB-41CE-89BA-AC8861065A9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S : 5 - 1</t>
      </text>
    </comment>
    <comment ref="T11" authorId="22" shapeId="0" xr:uid="{80F256E5-019F-43DF-8C81-7C53B693C7B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T12" authorId="23" shapeId="0" xr:uid="{66953772-5A9C-4F20-8066-A421B7897B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3" authorId="24" shapeId="0" xr:uid="{416E332C-ACF3-4ED6-AC9D-9C7B5135F80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Arbeitspensum 90% aber nicht verfügbar MO, MI, Do, FR?</t>
      </text>
    </comment>
    <comment ref="T13" authorId="25" shapeId="0" xr:uid="{31E657C5-FF84-41A0-9F48-BF5D8FA6F92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Abgemacht, max. 1 WE zu arbeiten</t>
      </text>
    </comment>
    <comment ref="B14" authorId="26" shapeId="0" xr:uid="{E98711E2-373D-411E-98C6-3CF1B7F9E7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einplanen aktuell</t>
      </text>
    </comment>
    <comment ref="C14" authorId="27" shapeId="0" xr:uid="{1B5CE2E9-37BF-4A2B-802B-2D785CFBA6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Mi, Do - 13:00 - 24:00, Fr - 13:00 - 24:00, Sa - 13:00 - 24:00, So - 13:00 - 24:00</t>
      </text>
    </comment>
    <comment ref="T14" authorId="28" shapeId="0" xr:uid="{B9BC73C4-E0EE-40A5-9E7B-80B059EE592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T15" authorId="29" shapeId="0" xr:uid="{0D759DE9-A2AA-4155-94B6-57F582A0657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T16" authorId="30" shapeId="0" xr:uid="{D2871115-206F-4808-B1B1-93CC052E1F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K17" authorId="31" shapeId="0" xr:uid="{5036F241-5C20-449E-A4BF-335BB72404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T17" authorId="32" shapeId="0" xr:uid="{A79610A9-9E2F-4381-8718-768892E720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T18" authorId="33" shapeId="0" xr:uid="{318FF962-BEBE-4944-9746-910485A4131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tc={1E092FBD-9478-43FF-B92D-0B158CE89522}</author>
    <author>tc={FC9E9480-3A70-4EC4-BA22-9FF0C4EF2AA6}</author>
    <author>tc={55598D82-DEB2-40D2-A62F-63C5CAC19E3F}</author>
    <author>tc={2AFA0F1C-765E-4DF0-99B5-52C41F20BEB9}</author>
    <author>tc={70756C0D-411A-4846-B966-C6A3F1D4C145}</author>
    <author>tc={384961B6-BD18-4B2C-A96E-F3E5E6315AA1}</author>
    <author>tc={B286B75A-4D8D-40C1-B99F-288382367F36}</author>
    <author>tc={31FF244B-57FF-41E7-BDA4-548A774F77DF}</author>
    <author>tc={A8D2B5EB-E89B-4C4F-9986-12B9D4FBF113}</author>
    <author>tc={AAD29E90-3D40-45F1-BC1B-3328BA2B3E9F}</author>
    <author>tc={9D07673E-FB49-4696-B2A2-BB94289BAB33}</author>
    <author>tc={062B4C15-89C7-43D6-9C3F-B17793B41DDA}</author>
    <author>tc={711DDCC4-EFDB-4195-8A37-33EC159EBF64}</author>
    <author>tc={4B4F8838-7990-4980-AFF0-F3D35A54C524}</author>
    <author>tc={FD3B0756-56E7-494F-B1E8-F6F73848DE01}</author>
    <author>tc={5DD6E1BC-87E9-4720-822F-A55310F11752}</author>
    <author>tc={05A295EA-5C18-4FAE-9D4C-7320F6C3C837}</author>
    <author>tc={2C2F776A-D689-4DB1-B8C9-373D94C16F52}</author>
    <author>tc={370EF8E2-4B07-456E-A51A-2999746B156F}</author>
    <author>tc={1961CCA4-A86B-49B4-B194-EFDCF51F0590}</author>
    <author>tc={C4C0532C-2C44-435F-AA8A-1CEEA9155D24}</author>
    <author>tc={A8B4273C-687D-4516-9E27-A0534749BD91}</author>
    <author>tc={1C6D5DCC-4A67-4815-8481-D8A07961B31E}</author>
    <author>tc={AB5D3F60-476F-41D6-905E-489088B12983}</author>
    <author>tc={D896B989-678C-45DF-9DF7-BBCE2A5A4082}</author>
    <author>tc={0462DECF-CA7A-4FAD-8E1C-55998C8DC972}</author>
    <author>tc={9192F4F9-86D5-44FA-8673-E5A59B81E9C0}</author>
    <author>tc={2C5546DF-41BF-47E4-932C-8330214ADF58}</author>
    <author>tc={6A109248-CD15-4949-805D-EE1319B7B91C}</author>
    <author>tc={DAA90C80-98E0-4836-90B1-6E002B5B5A40}</author>
    <author>tc={5515CC86-B999-4021-B633-C808DF1D03B1}</author>
    <author>tc={FD2566B2-36B2-485E-909F-D95BDEB2F54B}</author>
    <author>tc={15C02116-085D-4AB2-8B0F-F30A1CD2FFE9}</author>
  </authors>
  <commentList>
    <comment ref="AX1" authorId="0" shapeId="0" xr:uid="{1E092FBD-9478-43FF-B92D-0B158CE8952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Reglement, bei Niederprozentigen Range vergrössern! Range bis +40 h okay, für alle &lt;= 30% Angestellte MA</t>
      </text>
    </comment>
    <comment ref="AX2" authorId="1" shapeId="0" xr:uid="{FC9E9480-3A70-4EC4-BA22-9FF0C4EF2AA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nach Reglement: -42 , -42 , 0 , 30
Soll aber nicht von 1 Monat auf den anderen von 30 auf -42 gehen, deshalb Rage verkleinern.</t>
      </text>
    </comment>
    <comment ref="BB3" authorId="2" shapeId="0" xr:uid="{55598D82-DEB2-40D2-A62F-63C5CAC19E3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Hier gehts darum, dass Dienstlimiten über mehrere Monaten ausgeglichen werden, oder? Scheint für uns, dass im LAK dies nicht so wichtig ist. Sicherlich nicht für Büro. Was eintragen, wenn nicht darauf geschaut werden soll?</t>
      </text>
    </comment>
    <comment ref="BB4" authorId="3" shapeId="0" xr:uid="{2AFA0F1C-765E-4DF0-99B5-52C41F20BE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für Heidi</t>
      </text>
    </comment>
    <comment ref="BC4" authorId="4" shapeId="0" xr:uid="{70756C0D-411A-4846-B966-C6A3F1D4C14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für Roswitha</t>
      </text>
    </comment>
    <comment ref="AW5" authorId="5" shapeId="0" xr:uid="{384961B6-BD18-4B2C-A96E-F3E5E6315A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Büro hier abziehen (-12h)</t>
      </text>
    </comment>
    <comment ref="Q6" authorId="6" shapeId="0" xr:uid="{B286B75A-4D8D-40C1-B99F-288382367F3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Dienstwunsch (fixiert)</t>
      </text>
    </comment>
    <comment ref="O7" authorId="7" shapeId="0" xr:uid="{31FF244B-57FF-41E7-BDA4-548A774F77D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kein Spät vor Freiwunsch</t>
      </text>
    </comment>
    <comment ref="P7" authorId="8" shapeId="0" xr:uid="{A8D2B5EB-E89B-4C4F-9986-12B9D4FBF11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V7" authorId="9" shapeId="0" xr:uid="{AAD29E90-3D40-45F1-BC1B-3328BA2B3E9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kein Spät vor Freiwunsch</t>
      </text>
    </comment>
    <comment ref="W7" authorId="10" shapeId="0" xr:uid="{9D07673E-FB49-4696-B2A2-BB94289BAB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AC7" authorId="11" shapeId="0" xr:uid="{062B4C15-89C7-43D6-9C3F-B17793B41D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kein Spät vor Freiwunsch</t>
      </text>
    </comment>
    <comment ref="AD7" authorId="12" shapeId="0" xr:uid="{711DDCC4-EFDB-4195-8A37-33EC159EBF6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AJ7" authorId="13" shapeId="0" xr:uid="{4B4F8838-7990-4980-AFF0-F3D35A54C5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kein Spät vor Freiwunsch</t>
      </text>
    </comment>
    <comment ref="AK7" authorId="14" shapeId="0" xr:uid="{FD3B0756-56E7-494F-B1E8-F6F73848DE0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L8" authorId="15" shapeId="0" xr:uid="{5DD6E1BC-87E9-4720-822F-A55310F1175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M8" authorId="16" shapeId="0" xr:uid="{05A295EA-5C18-4FAE-9D4C-7320F6C3C83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P8" authorId="17" shapeId="0" xr:uid="{2C2F776A-D689-4DB1-B8C9-373D94C16F5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kein Spät vor Freiwunsch</t>
      </text>
    </comment>
    <comment ref="Q8" authorId="18" shapeId="0" xr:uid="{370EF8E2-4B07-456E-A51A-2999746B15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R8" authorId="19" shapeId="0" xr:uid="{1961CCA4-A86B-49B4-B194-EFDCF51F059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AX9" authorId="20" shapeId="0" xr:uid="{C4C0532C-2C44-435F-AA8A-1CEEA9155D2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-42 ,  -10 , 0 , 40</t>
      </text>
    </comment>
    <comment ref="AK10" authorId="21" shapeId="0" xr:uid="{A8B4273C-687D-4516-9E27-A0534749BD9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F1 oder frei</t>
      </text>
    </comment>
    <comment ref="P11" authorId="22" shapeId="0" xr:uid="{1C6D5DCC-4A67-4815-8481-D8A07961B3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von uns hinzugefügt, um Bedarf für FEIERTAG nicht zu verletzen (muss F1 F1 G1 G2 sein)</t>
      </text>
    </comment>
    <comment ref="AN12" authorId="23" shapeId="0" xr:uid="{AB5D3F60-476F-41D6-905E-489088B1298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kein Spät vor Freiwunsch</t>
      </text>
    </comment>
    <comment ref="AO12" authorId="24" shapeId="0" xr:uid="{D896B989-678C-45DF-9DF7-BBCE2A5A408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B13" authorId="25" shapeId="0" xr:uid="{0462DECF-CA7A-4FAD-8E1C-55998C8DC9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Ferien vs. Wunschfrei mit Monika anschauen (anrechenbare Stunden!)</t>
      </text>
    </comment>
    <comment ref="AW14" authorId="26" shapeId="0" xr:uid="{9192F4F9-86D5-44FA-8673-E5A59B81E9C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aktuell 50% krankgeschrieben, eigentlicher Wert ist 2x grösser</t>
      </text>
    </comment>
    <comment ref="O16" authorId="27" shapeId="0" xr:uid="{2C5546DF-41BF-47E4-932C-8330214ADF5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kein Spät vor Freiwunsch</t>
      </text>
    </comment>
    <comment ref="P16" authorId="28" shapeId="0" xr:uid="{6A109248-CD15-4949-805D-EE1319B7B9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Q16" authorId="29" shapeId="0" xr:uid="{DAA90C80-98E0-4836-90B1-6E002B5B5A4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S16" authorId="30" shapeId="0" xr:uid="{5515CC86-B999-4021-B633-C808DF1D03B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kein Spät vor Freiwunsch</t>
      </text>
    </comment>
    <comment ref="T16" authorId="31" shapeId="0" xr:uid="{FD2566B2-36B2-485E-909F-D95BDEB2F5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Freiwunsch</t>
      </text>
    </comment>
    <comment ref="AW19" authorId="32" shapeId="0" xr:uid="{15C02116-085D-4AB2-8B0F-F30A1CD2FFE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von Monika Plan übernommen</t>
      </text>
    </comment>
  </commentList>
</comments>
</file>

<file path=xl/sharedStrings.xml><?xml version="1.0" encoding="utf-8"?>
<sst xmlns="http://schemas.openxmlformats.org/spreadsheetml/2006/main" count="1222" uniqueCount="483">
  <si>
    <t>Personen</t>
  </si>
  <si>
    <t>ID</t>
  </si>
  <si>
    <t xml:space="preserve">Employments </t>
  </si>
  <si>
    <t>01</t>
  </si>
  <si>
    <t>G</t>
  </si>
  <si>
    <t>02</t>
  </si>
  <si>
    <t>03</t>
  </si>
  <si>
    <t>04</t>
  </si>
  <si>
    <t>05</t>
  </si>
  <si>
    <t>06</t>
  </si>
  <si>
    <t>07</t>
  </si>
  <si>
    <t>08</t>
  </si>
  <si>
    <t>09</t>
  </si>
  <si>
    <t>Bemerkungen</t>
  </si>
  <si>
    <t>S</t>
  </si>
  <si>
    <t>3 - 2</t>
  </si>
  <si>
    <t>10</t>
  </si>
  <si>
    <t>11</t>
  </si>
  <si>
    <t>12</t>
  </si>
  <si>
    <t>13</t>
  </si>
  <si>
    <t>14</t>
  </si>
  <si>
    <t>Unverfügbar</t>
  </si>
  <si>
    <t>Beliebte Arbeitszeiten</t>
  </si>
  <si>
    <t>Zeitliche Einschränkungen und Vorlieben</t>
  </si>
  <si>
    <t>Wichtigkeit: ….</t>
  </si>
  <si>
    <t>Beliebte Dienste</t>
  </si>
  <si>
    <t>Unbeliebte Dienste</t>
  </si>
  <si>
    <t>Arbeits- und Freiblock</t>
  </si>
  <si>
    <t xml:space="preserve">Max. + Opt. Anz. Dienste </t>
  </si>
  <si>
    <t>Min. + Opt. Freiblockdauer (in Std.)</t>
  </si>
  <si>
    <t>Vorwärtsrotierung (max. minus Std.)</t>
  </si>
  <si>
    <t>Max. + Opt. Nächte</t>
  </si>
  <si>
    <t>Min + Opt. Freiblockdauer nach Nacht (in Std.)</t>
  </si>
  <si>
    <t>Wochenendarbeit</t>
  </si>
  <si>
    <t>Max + Opt aufeinanderf. WE mit Arbeit</t>
  </si>
  <si>
    <t>Unbeliebte Arbeitszeit</t>
  </si>
  <si>
    <t>Max. + Opt high + Opt-low Arbeitsblocklänge</t>
  </si>
  <si>
    <t>Monatliche Dienstlimiten und Präferenzen</t>
  </si>
  <si>
    <t>Max + Opt high Blöcke mit Nächten</t>
  </si>
  <si>
    <t>Mi</t>
  </si>
  <si>
    <t>Do</t>
  </si>
  <si>
    <t>Di</t>
  </si>
  <si>
    <t>Fixierte Dienste</t>
  </si>
  <si>
    <t>-</t>
  </si>
  <si>
    <t xml:space="preserve"> und Abwesenheiten</t>
  </si>
  <si>
    <t>Mitarbeitende</t>
  </si>
  <si>
    <t>Ende Planning</t>
  </si>
  <si>
    <t>Start Planning</t>
  </si>
  <si>
    <t>Name</t>
  </si>
  <si>
    <t>Anzeigetext</t>
  </si>
  <si>
    <t>Dauer in 00:00</t>
  </si>
  <si>
    <t>Arb.Zeit in 00:00</t>
  </si>
  <si>
    <t>Start-Tageszeit 00:00</t>
  </si>
  <si>
    <t>Ruhezeit in 00:00</t>
  </si>
  <si>
    <t>B</t>
  </si>
  <si>
    <t>Büro</t>
  </si>
  <si>
    <t>Bedafsdefinitionen</t>
  </si>
  <si>
    <t>Diensttypen</t>
  </si>
  <si>
    <t>Kategorien</t>
  </si>
  <si>
    <t>Mo</t>
  </si>
  <si>
    <t>min</t>
  </si>
  <si>
    <t>opt</t>
  </si>
  <si>
    <t>Fr</t>
  </si>
  <si>
    <t>Sa</t>
  </si>
  <si>
    <t>So</t>
  </si>
  <si>
    <t>Wie schlimm unter opt?</t>
  </si>
  <si>
    <t>IMPORTANCE</t>
  </si>
  <si>
    <t>Bezeichnung</t>
  </si>
  <si>
    <t>Dienste</t>
  </si>
  <si>
    <t>Diensttypgruppen</t>
  </si>
  <si>
    <t>Wochentage oder</t>
  </si>
  <si>
    <t>Wochentag - Start - Ende</t>
  </si>
  <si>
    <t xml:space="preserve"> z.B. Do - 16:00 - 22:00</t>
  </si>
  <si>
    <t>PRIO 2</t>
  </si>
  <si>
    <t>Falls ":" und zweiter Teil fehlt, dann verboten</t>
  </si>
  <si>
    <t>Anzahl der letzten</t>
  </si>
  <si>
    <t>WE gearbeitet</t>
  </si>
  <si>
    <t>B2</t>
  </si>
  <si>
    <t>F1</t>
  </si>
  <si>
    <t>G1</t>
  </si>
  <si>
    <t>G2</t>
  </si>
  <si>
    <t>K2</t>
  </si>
  <si>
    <t>S2</t>
  </si>
  <si>
    <t>S3</t>
  </si>
  <si>
    <t>A1</t>
  </si>
  <si>
    <t>A2</t>
  </si>
  <si>
    <t>A3</t>
  </si>
  <si>
    <t>A4</t>
  </si>
  <si>
    <t>A5</t>
  </si>
  <si>
    <t>A6</t>
  </si>
  <si>
    <t>Büro 2</t>
  </si>
  <si>
    <t>Früh 1</t>
  </si>
  <si>
    <t>Geteilt 1</t>
  </si>
  <si>
    <t>Geteilt 2</t>
  </si>
  <si>
    <t>Kurz 2</t>
  </si>
  <si>
    <t>Spät 2</t>
  </si>
  <si>
    <t>Spät 3</t>
  </si>
  <si>
    <t>Alma 1</t>
  </si>
  <si>
    <t>Alma 2</t>
  </si>
  <si>
    <t>Alma 3</t>
  </si>
  <si>
    <t>Alma 4</t>
  </si>
  <si>
    <t>Alma 5</t>
  </si>
  <si>
    <t>Alma 6</t>
  </si>
  <si>
    <t>F</t>
  </si>
  <si>
    <t>K</t>
  </si>
  <si>
    <t>A</t>
  </si>
  <si>
    <t>Früh</t>
  </si>
  <si>
    <t>Geteilt</t>
  </si>
  <si>
    <t>Spät</t>
  </si>
  <si>
    <t>Alma</t>
  </si>
  <si>
    <t>Mo, Mi, Do, Fr</t>
  </si>
  <si>
    <t>???</t>
  </si>
  <si>
    <t>ja</t>
  </si>
  <si>
    <t>MA</t>
  </si>
  <si>
    <t>L</t>
  </si>
  <si>
    <t>Spezialkenntnisse (ID)</t>
  </si>
  <si>
    <t>Name MA</t>
  </si>
  <si>
    <t>Standardanzeigeposition</t>
  </si>
  <si>
    <t>Kunz-Frick, Monika</t>
  </si>
  <si>
    <t>Gstöhl, Belinda</t>
  </si>
  <si>
    <t>Kohler-Künzler, Regula</t>
  </si>
  <si>
    <t>Kornberger, Veronika</t>
  </si>
  <si>
    <t>Elkuch, Melanie</t>
  </si>
  <si>
    <t>Rohrer, Diana</t>
  </si>
  <si>
    <t>Frick (Petek), Simona</t>
  </si>
  <si>
    <t>Meier, Yvonne</t>
  </si>
  <si>
    <t>Lehmann, Monika</t>
  </si>
  <si>
    <t>Kajtazaj, Daniela</t>
  </si>
  <si>
    <t>Yhongshitsang, Tashi Lhamo</t>
  </si>
  <si>
    <t>Simonovic, Milka</t>
  </si>
  <si>
    <t>Steinauer, Heidi</t>
  </si>
  <si>
    <t>Markart, Roswitha</t>
  </si>
  <si>
    <t>x</t>
  </si>
  <si>
    <t>Kommentar</t>
  </si>
  <si>
    <t>Zeitintervalle, die nicht zur</t>
  </si>
  <si>
    <t>Bedarfsdeckung gezählt werden</t>
  </si>
  <si>
    <t>13:00 - 16:00</t>
  </si>
  <si>
    <t>11:15 - 16:00</t>
  </si>
  <si>
    <t>13:15 - 16:15</t>
  </si>
  <si>
    <t>SEHR HOCH</t>
  </si>
  <si>
    <t>DURCHSCHNITTLICH</t>
  </si>
  <si>
    <t>ÜBERDURCHSCHNITTLICH - UNTERDURCHSCHNITTLICH</t>
  </si>
  <si>
    <t>ÜBERDURCHSCHNITTLICH</t>
  </si>
  <si>
    <t>HOCH</t>
  </si>
  <si>
    <t>Name MA         Standardwerte:</t>
  </si>
  <si>
    <t>Qualitative Weight</t>
  </si>
  <si>
    <t>2 Werte</t>
  </si>
  <si>
    <t>SEHR TIEF</t>
  </si>
  <si>
    <t>TIEF</t>
  </si>
  <si>
    <t>DURCHSCHNITTLICH - DURCHSCHNITTLICH</t>
  </si>
  <si>
    <t>UNTERDURCHSCHNITTLICH</t>
  </si>
  <si>
    <t>Feiertage (optional)</t>
  </si>
  <si>
    <t>nur MA mit Spezialkenntnissen</t>
  </si>
  <si>
    <t>aktivieren ? Ja / nein (kein Gültigkeitsdatum, ja = gültig, nein = nicht gültig, später mit Gütlgikeit - oder evtl. mit saisonaler Gültigkeit ?)</t>
  </si>
  <si>
    <t>Pflege</t>
  </si>
  <si>
    <t>B2M</t>
  </si>
  <si>
    <t>Büro 2 Morgen</t>
  </si>
  <si>
    <t>K2 | -&gt;</t>
  </si>
  <si>
    <t>B2 | Doku</t>
  </si>
  <si>
    <t>K2 | Doku</t>
  </si>
  <si>
    <t>A2 | Doku</t>
  </si>
  <si>
    <t>Doku | S2</t>
  </si>
  <si>
    <t>G1N</t>
  </si>
  <si>
    <t>G2N</t>
  </si>
  <si>
    <t>nächste Schicht möglich ab</t>
  </si>
  <si>
    <t>Kurz 2 Morgen dann Pfeil Nachmittag</t>
  </si>
  <si>
    <t>Büro 2 Morgen dann Doku Nachmittag</t>
  </si>
  <si>
    <t>Kurz 2 Morgen dann Doku Nachmittag</t>
  </si>
  <si>
    <t>Geteilt 1 Nachmittag</t>
  </si>
  <si>
    <t>Alma 2 Morgen dann Doku Nachmittag</t>
  </si>
  <si>
    <t>Geteilt 2 Nachmittag</t>
  </si>
  <si>
    <t>Kurz 2 Morgen dann Büro 2 Nachmittag</t>
  </si>
  <si>
    <t>Doku Morgen dann Spät 2 Nachmittag</t>
  </si>
  <si>
    <t>Kurz</t>
  </si>
  <si>
    <t>Gemischte Dienste, die seit August 2022 verwendet wurden.
Bedarf definieren oder nur manuell planbar?
Zu welcher Diensttypgruppe zählen gemischte Dienste?</t>
  </si>
  <si>
    <t>Springer für Alma (aktuell 1 Alma krank)</t>
  </si>
  <si>
    <t>Früh vor Frei</t>
  </si>
  <si>
    <t>A6 : 2</t>
  </si>
  <si>
    <t>A5 : 2</t>
  </si>
  <si>
    <t>F1 oder K2 vor Frei</t>
  </si>
  <si>
    <t>kein S vor Frei</t>
  </si>
  <si>
    <t>F vor Frei</t>
  </si>
  <si>
    <t>vor F kein S</t>
  </si>
  <si>
    <t>A3 - Mo Do</t>
  </si>
  <si>
    <t>ab PEP</t>
  </si>
  <si>
    <t>Kategorie resp. Gruppe - Kategorie (falls mehrere Gruppen / Planblätter) = Kontext</t>
  </si>
  <si>
    <t>Station 2.OG - Leitung</t>
  </si>
  <si>
    <t>Station 2.OG - Fachpersonal mit Diplom</t>
  </si>
  <si>
    <t>Station 2.OG - Fachpersonal mit Fähigkeitszeugnis</t>
  </si>
  <si>
    <t>Station 2.OG - Mitarbeitende</t>
  </si>
  <si>
    <t>Di &amp; Fr fix Büro, Mo &amp; Do-VM wenn möglich Büro, ansonsten Pflege</t>
  </si>
  <si>
    <t>B2N</t>
  </si>
  <si>
    <t>Büro 2 Nachmittag</t>
  </si>
  <si>
    <t>Kombinationen aus Dienst + Doku / Pfeil: Doku oder Pfeil nachträglich manuell einplanen, Dienste halbtags ermöglichen (A2 und S2 sind +/- bereits halbtags -&gt; so belassen?)</t>
  </si>
  <si>
    <t>K2|B2</t>
  </si>
  <si>
    <t xml:space="preserve">Nächte ( Gruppe =) : </t>
  </si>
  <si>
    <t>(unbedingt GruppenID eintragen, falls leer dann werden Nachtregeln ignoriert)</t>
  </si>
  <si>
    <t>Verboten</t>
  </si>
  <si>
    <t>Max. + Opt. Anz. Dienste in Block</t>
  </si>
  <si>
    <t>in Block: Max + Opt. High + opt low Nächte</t>
  </si>
  <si>
    <t>Tag nach Nacht verboten? Ja / nein (leer = standardwert übernehmen)</t>
  </si>
  <si>
    <t>Min + Opt. freie Weekends</t>
  </si>
  <si>
    <t>EOL : End of line</t>
  </si>
  <si>
    <t>DIESE ZEILE SO LASSEN</t>
  </si>
  <si>
    <t xml:space="preserve"> (cell value not considered)</t>
  </si>
  <si>
    <t>( cell value not considered)</t>
  </si>
  <si>
    <t>(cell value not considered)</t>
  </si>
  <si>
    <t>(cell value not cons.)</t>
  </si>
  <si>
    <t>2 - 3</t>
  </si>
  <si>
    <t>EOL</t>
  </si>
  <si>
    <t>A1 - Fr Sa So Mo</t>
  </si>
  <si>
    <t>Arbeitsort (Station)</t>
  </si>
  <si>
    <t>Start - Ende</t>
  </si>
  <si>
    <t>anrechenbare Arbeitszeit</t>
  </si>
  <si>
    <t>SC Team 2.OG</t>
  </si>
  <si>
    <t>08:00 - 12:00, 13:00 - 16:00</t>
  </si>
  <si>
    <t>07:00 - 13:00, 13:45 - 16:09</t>
  </si>
  <si>
    <t>07:30 - 13:00, 16:00 - 18:54</t>
  </si>
  <si>
    <t>07:30 - 11:15, 16:00 - 20:30</t>
  </si>
  <si>
    <t>07:00 - 13:00</t>
  </si>
  <si>
    <t>11:30 - 13:00, 13:45 - 20:30</t>
  </si>
  <si>
    <t>10:00 - 13:00, 13:45 - 19:00</t>
  </si>
  <si>
    <t xml:space="preserve">07:30 - 13:15, 16:15 - 18:45 </t>
  </si>
  <si>
    <t>07:30 - 13:15</t>
  </si>
  <si>
    <t>07:30 - 13:15, 14:00 - 16:00</t>
  </si>
  <si>
    <t>10:15 - 13:15, 13:45 - 18:45</t>
  </si>
  <si>
    <t>16:15 - 18:45</t>
  </si>
  <si>
    <t>11:45 - 15:30, 16:15 - 18:45</t>
  </si>
  <si>
    <t>PF</t>
  </si>
  <si>
    <t>PF - Do</t>
  </si>
  <si>
    <t>1 - 2</t>
  </si>
  <si>
    <t>NVF</t>
  </si>
  <si>
    <t>Nicht Vor Frei</t>
  </si>
  <si>
    <t>(inklusiv)</t>
  </si>
  <si>
    <t>erster Tag</t>
  </si>
  <si>
    <t>(Anzahl Tage vor Start)</t>
  </si>
  <si>
    <t>Hilfszahlen</t>
  </si>
  <si>
    <t>Standard-Targetarb.Zeit +/- Sollzeit (min, optLow, optHigh, max) Komma separiert</t>
  </si>
  <si>
    <t>(exklusive dieser Tag)</t>
  </si>
  <si>
    <t>auf Board</t>
  </si>
  <si>
    <t>für Sollzeit</t>
  </si>
  <si>
    <t>Gearbeitete Dienst im letzten Monat (zur Adaptierung "opt" aus MA-Profil)</t>
  </si>
  <si>
    <t>"pain" sollzeit</t>
  </si>
  <si>
    <t>DURCHSCHNITTLICH - HOCH</t>
  </si>
  <si>
    <t>Totale Anzahl freie Weekends</t>
  </si>
  <si>
    <t>Standard-Kategorie</t>
  </si>
  <si>
    <t>Gleitzeitsaldo (in ganz: Std.)</t>
  </si>
  <si>
    <t>Sollarbeitszeit (in ganz. Stunde)</t>
  </si>
  <si>
    <t>Spezifische "Target" - Arbeitszeitbereich, Absolutwerte in Std.  (min, optLow, optHigh, max) Komma separiert</t>
  </si>
  <si>
    <t>letzter Monat (oder Schnitt)</t>
  </si>
  <si>
    <t>Gruppe / Tage</t>
  </si>
  <si>
    <t>&gt;</t>
  </si>
  <si>
    <t>2G</t>
  </si>
  <si>
    <t>??</t>
  </si>
  <si>
    <t>?</t>
  </si>
  <si>
    <t>* 1</t>
  </si>
  <si>
    <t>** 2</t>
  </si>
  <si>
    <t>?10H - 23H</t>
  </si>
  <si>
    <t>Abwesenheiten</t>
  </si>
  <si>
    <t xml:space="preserve">&lt; 0H - 33.2 - Type </t>
  </si>
  <si>
    <t>aus PEP</t>
  </si>
  <si>
    <t>&lt; Ab Stunde - Zeitanrechnung in H, H angeben - Abwesenheitstyp</t>
  </si>
  <si>
    <t>&gt; Am Tag wo es zu Ende geht, mit Stunde vorher möglich,  15H&gt;</t>
  </si>
  <si>
    <t>(nicht alle Werte</t>
  </si>
  <si>
    <t>Wünsche aus CollaPP</t>
  </si>
  <si>
    <t>(Angaben optional, …)</t>
  </si>
  <si>
    <t>stimmen)</t>
  </si>
  <si>
    <t>17H &gt;</t>
  </si>
  <si>
    <t>Bei Ende Absenz zu gewisser Zeit (Stunde) - hier 17</t>
  </si>
  <si>
    <t>&lt; , &gt; = ganzer Tag weg, keine Zeit angerechnet</t>
  </si>
  <si>
    <t>Fixierte Dienste - Angabe mit und ohne Knoten</t>
  </si>
  <si>
    <t>2G - PH</t>
  </si>
  <si>
    <t>Freiwünsche</t>
  </si>
  <si>
    <t>Harte Freiwunsch ganzer Tag</t>
  </si>
  <si>
    <t>Weicher Freiwunsch ganzer Tag</t>
  </si>
  <si>
    <t>Weicher Wunsch von 10 bis 23 Uhr - max. 1 Tag, möglich auch über Taggrenze hinaus, z.B. ?17H - 5H</t>
  </si>
  <si>
    <t>Dienstwünsche (auf Schichtgruppen)</t>
  </si>
  <si>
    <t>Harter Wunsch</t>
  </si>
  <si>
    <t>Weicher Wunsch</t>
  </si>
  <si>
    <t xml:space="preserve"> (Einschränkung Mitarbeiter)</t>
  </si>
  <si>
    <t>Group ID</t>
  </si>
  <si>
    <t>6 - 5 - 2</t>
  </si>
  <si>
    <t>6 - 4 - 1</t>
  </si>
  <si>
    <t>6 - 5 - 3</t>
  </si>
  <si>
    <t>6 - 4 - 2</t>
  </si>
  <si>
    <t>Regula Dienste</t>
  </si>
  <si>
    <t>Dipl</t>
  </si>
  <si>
    <t>FaGe</t>
  </si>
  <si>
    <t>L 0800_1600</t>
  </si>
  <si>
    <t>Bedarfseckung möglich dur Kategorien - Diensttyp  Kombinationen (Komma separiert)</t>
  </si>
  <si>
    <t>Kombinationen, die automatisiert hinzugefügt werden können</t>
  </si>
  <si>
    <t>L - B2</t>
  </si>
  <si>
    <t>MA - A1, MA - A2, MA - A3</t>
  </si>
  <si>
    <t>Bestrafte Abfolgen</t>
  </si>
  <si>
    <t xml:space="preserve">"von" Dienstgruppe - "zu" </t>
  </si>
  <si>
    <t xml:space="preserve">Dienstgruppe - Bestrafung </t>
  </si>
  <si>
    <t xml:space="preserve">(optional , z.B. HOCH, ...) , </t>
  </si>
  <si>
    <t>Spät 2030</t>
  </si>
  <si>
    <t>Früh 0700</t>
  </si>
  <si>
    <t>-&gt; Dienstlich abwesend (z.B. Sitzung)</t>
  </si>
  <si>
    <t>3 - 3</t>
  </si>
  <si>
    <t>PFvor16</t>
  </si>
  <si>
    <t xml:space="preserve">3 - 3 </t>
  </si>
  <si>
    <t xml:space="preserve">3 - 1 </t>
  </si>
  <si>
    <t>Kombinationen, die nur fixiert im Plan sein können (V2)</t>
  </si>
  <si>
    <t>L - K2|B2</t>
  </si>
  <si>
    <t>Obere Grenze?</t>
  </si>
  <si>
    <t>Delta von opt</t>
  </si>
  <si>
    <t xml:space="preserve"> - = keine Grenze</t>
  </si>
  <si>
    <t>L 0800_1200</t>
  </si>
  <si>
    <t>L 1300_1600</t>
  </si>
  <si>
    <t>L - B2, L - B2M</t>
  </si>
  <si>
    <t>L - B2, L - B2N</t>
  </si>
  <si>
    <t>Z.B. S : 2 , 2 : 12 - 9 , 2 - Sa So : 3 - 2</t>
  </si>
  <si>
    <t>Anzeige-Farbe RBG (Hintergrund)</t>
  </si>
  <si>
    <t>FFFFFF</t>
  </si>
  <si>
    <t>Für Sortierung</t>
  </si>
  <si>
    <t>&lt;13H , &gt;</t>
  </si>
  <si>
    <t>D03</t>
  </si>
  <si>
    <t>&lt; , &gt;</t>
  </si>
  <si>
    <t>B2 - Mo Di Fr, B2M - Mo Di Do Fr, B2N - Mo Di Fr</t>
  </si>
  <si>
    <t>ÜBERDURCHSCHNITTLICH - DURCHSCHNITTLICH</t>
  </si>
  <si>
    <t>S2030</t>
  </si>
  <si>
    <t>F0700</t>
  </si>
  <si>
    <t>Kurz 2 Morgen dann dienstlich abwesend Nachmittag</t>
  </si>
  <si>
    <t>&lt;0H - 10</t>
  </si>
  <si>
    <t>&lt;17H - 45</t>
  </si>
  <si>
    <t>&lt;0H - 12</t>
  </si>
  <si>
    <t>&lt;17H , &gt;</t>
  </si>
  <si>
    <t>K2|DA</t>
  </si>
  <si>
    <t>L - K2|DA, Dipl - K2|DA, FaGe - K2|DA, L - K2|B2</t>
  </si>
  <si>
    <t>Mi, Do - 13:00 - 24:00</t>
  </si>
  <si>
    <t>-15 ,  -10 , 0 , 10</t>
  </si>
  <si>
    <t>&lt;0H - 166</t>
  </si>
  <si>
    <t>&lt;0H - 0</t>
  </si>
  <si>
    <t>Büro nur wenn Monika in Ferien -&gt; vorab manuell einplanen</t>
  </si>
  <si>
    <t>L_Dipl_FaGe 1600_1615</t>
  </si>
  <si>
    <t>L_Dipl_FaGe_MA 0700_0730</t>
  </si>
  <si>
    <t>L_Dipl_FaGe_MA 0730_1115</t>
  </si>
  <si>
    <t>L_Dipl_FaGe_MA 1300_1600</t>
  </si>
  <si>
    <t>L_Dipl_FaGe_MA 1600_1615</t>
  </si>
  <si>
    <t>L_Dipl_FaGe_MA 1615_1845</t>
  </si>
  <si>
    <t>L_Dipl_FaGe_MA 1845_2030</t>
  </si>
  <si>
    <t>L_Dipl_FaGe 1300_1600</t>
  </si>
  <si>
    <t>L_Dipl_FaGe 1615_1845</t>
  </si>
  <si>
    <t>24 - 36</t>
  </si>
  <si>
    <t>24 - 50</t>
  </si>
  <si>
    <t>Mo, Di - 17:00 - 24:00, Do - 13:00 - 24:00</t>
  </si>
  <si>
    <t>nur fixiert im Plan</t>
  </si>
  <si>
    <t>macht nur Monika, nur fixiert im Plan</t>
  </si>
  <si>
    <t>Farbe HEX</t>
  </si>
  <si>
    <t>C0C0C0</t>
  </si>
  <si>
    <t>FFEE91</t>
  </si>
  <si>
    <t>009EE3</t>
  </si>
  <si>
    <t>9BCC97</t>
  </si>
  <si>
    <t>C7A48b</t>
  </si>
  <si>
    <t>138, 143, 153, 158</t>
  </si>
  <si>
    <t>154, 159, 169, 174</t>
  </si>
  <si>
    <t>G1M</t>
  </si>
  <si>
    <t>Geteilt 1 Morgen</t>
  </si>
  <si>
    <t>G2M</t>
  </si>
  <si>
    <t>Geteilt 2 Morgen</t>
  </si>
  <si>
    <t>halber Dienst</t>
  </si>
  <si>
    <t>HD</t>
  </si>
  <si>
    <t>Halbe Dienste</t>
  </si>
  <si>
    <t>Pflege Start vor 16</t>
  </si>
  <si>
    <t>Alma_WE 0730_1330</t>
  </si>
  <si>
    <t>Alma_WE 1615_1845</t>
  </si>
  <si>
    <t>MA - A1, MA - A5</t>
  </si>
  <si>
    <t>FA8D74</t>
  </si>
  <si>
    <t>A5 : 5 - 2</t>
  </si>
  <si>
    <t>C8FEFF</t>
  </si>
  <si>
    <t>Mo, Di, Mi, Fr</t>
  </si>
  <si>
    <t>40, 45, 55, 60</t>
  </si>
  <si>
    <t>DCBEFF</t>
  </si>
  <si>
    <t>FABED4</t>
  </si>
  <si>
    <t>108, 113, 123, 128</t>
  </si>
  <si>
    <t>124, 129, 139, 144</t>
  </si>
  <si>
    <t>82, 87, 97, 102</t>
  </si>
  <si>
    <t>72, 77, 87, 92</t>
  </si>
  <si>
    <t>90, 95, 105, 110</t>
  </si>
  <si>
    <t>132, 137, 147, 152</t>
  </si>
  <si>
    <t>0, 0, 0, 0</t>
  </si>
  <si>
    <t>3 - 4</t>
  </si>
  <si>
    <t>Alma_132</t>
  </si>
  <si>
    <t>Alma_152</t>
  </si>
  <si>
    <t>Alma_136</t>
  </si>
  <si>
    <t>Alma_156</t>
  </si>
  <si>
    <t>MA - A1, MA - A2, MA - A5</t>
  </si>
  <si>
    <t>S2030 - F0700 - SEHR HOCH</t>
  </si>
  <si>
    <t>HOCH - DURCHSCHNITTLICH</t>
  </si>
  <si>
    <t>6 - 5 - 4</t>
  </si>
  <si>
    <t>6 - 5 - 1</t>
  </si>
  <si>
    <t>S : 5 - 2</t>
  </si>
  <si>
    <t>S : 4 - 2, K2 : 4 - 1</t>
  </si>
  <si>
    <t>K2 : 4 - 1</t>
  </si>
  <si>
    <t xml:space="preserve">S : 5 - 2 </t>
  </si>
  <si>
    <t>L1</t>
  </si>
  <si>
    <t>L2</t>
  </si>
  <si>
    <t>Lernende 1</t>
  </si>
  <si>
    <t>Lernende 2</t>
  </si>
  <si>
    <t>LE</t>
  </si>
  <si>
    <t>Station 2.OG - Lernende</t>
  </si>
  <si>
    <t>F6E0A8</t>
  </si>
  <si>
    <t>16</t>
  </si>
  <si>
    <t>17</t>
  </si>
  <si>
    <t>Tasholli, Albin</t>
  </si>
  <si>
    <t>Marxer, Manuel</t>
  </si>
  <si>
    <t>Zen, Chiara</t>
  </si>
  <si>
    <t>3. Lehrjahr</t>
  </si>
  <si>
    <t>15</t>
  </si>
  <si>
    <t>2. Lehrjahr</t>
  </si>
  <si>
    <t>B, F, G, K, S, A</t>
  </si>
  <si>
    <t>5 - 5 - 1</t>
  </si>
  <si>
    <t>24 - 48</t>
  </si>
  <si>
    <t>2 - 1</t>
  </si>
  <si>
    <t>94, 99, 109, 114</t>
  </si>
  <si>
    <t>L1M</t>
  </si>
  <si>
    <t>Lernende 1 Morgen</t>
  </si>
  <si>
    <t>plant Monika, ist 50% krankgeschrieben (war 40%) und zählt nicht zum Bedarf</t>
  </si>
  <si>
    <t>LD</t>
  </si>
  <si>
    <t>Lernende Dienste</t>
  </si>
  <si>
    <t>B, F, G, K, S, A, L1M</t>
  </si>
  <si>
    <t>PF, HD</t>
  </si>
  <si>
    <t>S2, HD</t>
  </si>
  <si>
    <t>G, HD</t>
  </si>
  <si>
    <t>K2, HD</t>
  </si>
  <si>
    <t>S2, LD, HD</t>
  </si>
  <si>
    <t>LD, HD</t>
  </si>
  <si>
    <t>S2, G2, G2N, LD, HD</t>
  </si>
  <si>
    <t>Verbotene Dienste</t>
  </si>
  <si>
    <t>Dienstpräferenzen</t>
  </si>
  <si>
    <t>L Dipl FaGe - F1, L Dipl FaGe - S2</t>
  </si>
  <si>
    <t>F1, S2, K2</t>
  </si>
  <si>
    <t>HD : 1 - 0 , F - Sa So : 4 - 2 , G - Sa So : 4 - 2, F : 12 - 9, G : 12 - 9, K : 7 - 4</t>
  </si>
  <si>
    <t>S : 10 - 8, F : 10 - 8, K : 8 - 5, G : 6 - 4</t>
  </si>
  <si>
    <t>F : 5 - 3, G : 5 - 2, K  : 4 - 2, S : 4 - 3</t>
  </si>
  <si>
    <t>F : 5 - 2, G : 5 - 2</t>
  </si>
  <si>
    <t>F : 9 - 7, G : 9 - 7</t>
  </si>
  <si>
    <t>L Dipl FaGe - F1</t>
  </si>
  <si>
    <t>L Dipl - F1, L Dipl - K2</t>
  </si>
  <si>
    <t>L_Dipl_FaGe 0730_1115</t>
  </si>
  <si>
    <t>L_Dipl_FaGe 1115_1300</t>
  </si>
  <si>
    <t>L_Dipl_FaGe_MA 1115_1300</t>
  </si>
  <si>
    <t>L Dipl FaGe MA - G1</t>
  </si>
  <si>
    <t>L Dipl FaGe MA - G2</t>
  </si>
  <si>
    <t>Pflege_WE_1</t>
  </si>
  <si>
    <t>Pflege_WE_2</t>
  </si>
  <si>
    <t>Pflege_WE_3</t>
  </si>
  <si>
    <t>Pflege_WE_4</t>
  </si>
  <si>
    <t>153, 158, 168, 173</t>
  </si>
  <si>
    <t>HD, K2</t>
  </si>
  <si>
    <t>L_Dipl 0730_2030</t>
  </si>
  <si>
    <t>L_Dipl 0700_0730</t>
  </si>
  <si>
    <t>L Dipl - G1, L Dipl - G2</t>
  </si>
  <si>
    <t>L1 : 10 - 8, L2 : 10 - 8</t>
  </si>
  <si>
    <t>L1 : 9 - 7, L2 : 9 - 7</t>
  </si>
  <si>
    <t>137, 142, 149, 154</t>
  </si>
  <si>
    <t>MA - A1, MA - A6, MA - A3, MA - A4</t>
  </si>
  <si>
    <t>MA - A1, MA - A6, MA - A5, MA - A4</t>
  </si>
  <si>
    <t>L2 - Sa So, L1M</t>
  </si>
  <si>
    <t>Sa - 17:00 - 23:00, So - 17:00 - 23:00</t>
  </si>
  <si>
    <t>Sa - 17:00 - 23:00, So</t>
  </si>
  <si>
    <t>L Dipl FaGe MA - F1, L Dipl FaGe MA - S2, LE - L1, LE - L2</t>
  </si>
  <si>
    <t>L Dipl FaGe MA - F1, LE - L1</t>
  </si>
  <si>
    <t xml:space="preserve">L Dipl FaGe - F1, L Dipl FaGe - G1, L Dipl FaGe - G2, L Dipl FaGe - K2, L Dipl FaGe - G1M, L Dipl FaGe - G2M </t>
  </si>
  <si>
    <t>L Dipl FaGe - F1,  L Dipl FaGe - G1, L Dipl FaGe - K2, L Dipl FaGe - G1M</t>
  </si>
  <si>
    <t xml:space="preserve">L Dipl FaGe - F1, L Dipl FaGe - G1, L Dipl FaGe - G2, L Dipl FaGe - S2, L Dipl FaGe - G1N, L Dipl FaGe - G2N </t>
  </si>
  <si>
    <t>L Dipl FaGe - G1, L Dipl FaGe - G2, L Dipl FaGe - S2, L Dipl FaGe - G1N, L Dipl FaGe - G2N</t>
  </si>
  <si>
    <t>L Dipl FaGe MA - F1, L Dipl FaGe MA - K2, LE - L1, LE - L1M</t>
  </si>
  <si>
    <t>L Dipl FaGe MA - F1, L Dipl FaGe MA - G1, L Dipl FaGe - G2, L Dipl FaGe MA - K2, L Dipl FaGe MA - G1M, L Dipl FaGe - G2M, LE - L1, LE - L1M</t>
  </si>
  <si>
    <t>L Dipl FaGe MA - F1, L Dipl FaGe MA - G1, L Dipl FaGe MA - K2, L Dipl FaGe MA - G1M, LE - L1, LE - L2, LE - L1M</t>
  </si>
  <si>
    <t>L Dipl FaGe MA - F1, L Dipl FaGe MA - G1, L Dipl FaGe - G2, L Dipl FaGe MA - S2, L Dipl FaGe MA - G1N, L Dipl FaGe - G2N, LE - L1, LE - L2</t>
  </si>
  <si>
    <t>L Dipl FaGe MA - G1, L Dipl FaGe - G2, L Dipl FaGe MA - S2,  L Dipl FaGe MA - G1N, L Dipl FaGe - G2N</t>
  </si>
  <si>
    <t>L Dipl FaGe - G2, L Dipl FaGe MA - S2, L Dipl FaGe - G2N</t>
  </si>
  <si>
    <t>4 - 4</t>
  </si>
  <si>
    <t>5 - 5</t>
  </si>
  <si>
    <t>2 - 2</t>
  </si>
  <si>
    <t>85, 90, 100, 105</t>
  </si>
  <si>
    <t>84, 89, 94, 99</t>
  </si>
  <si>
    <t>24 - 40</t>
  </si>
  <si>
    <t>142, 147, 157, 162</t>
  </si>
  <si>
    <t>G : 3 - 2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</si>
</sst>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 mm"/>
    <numFmt numFmtId="165" formatCode="yyyy\-mm\-dd;@"/>
  </numFmts>
  <fonts count="26">
    <font>
      <sz val="10"/>
      <color theme="1"/>
      <name val="Arial"/>
      <family val="2"/>
    </font>
    <font>
      <b/>
      <sz val="10"/>
      <color theme="1"/>
      <name val="Arial"/>
      <family val="2"/>
    </font>
    <font>
      <b/>
      <sz val="10"/>
      <color rgb="FF000000"/>
      <name val="Arial"/>
      <family val="2"/>
    </font>
    <font>
      <sz val="10"/>
      <color rgb="FFFF0000"/>
      <name val="Arial"/>
      <family val="2"/>
    </font>
    <font>
      <b/>
      <sz val="8"/>
      <color rgb="FF000000"/>
      <name val="Arial"/>
      <family val="2"/>
    </font>
    <font>
      <i/>
      <sz val="10"/>
      <color theme="1"/>
      <name val="Arial"/>
      <family val="2"/>
    </font>
    <font>
      <sz val="8"/>
      <color theme="1"/>
      <name val="Arial"/>
      <family val="2"/>
    </font>
    <font>
      <sz val="9.8000000000000007"/>
      <color rgb="FFA9B7C6"/>
      <name val="JetBrains Mono"/>
      <family val="3"/>
    </font>
    <font>
      <sz val="9.8000000000000007"/>
      <color rgb="FFFF0000"/>
      <name val="JetBrains Mono"/>
      <family val="3"/>
    </font>
    <font>
      <sz val="8"/>
      <name val="Arial"/>
      <family val="2"/>
    </font>
    <font>
      <sz val="8"/>
      <color rgb="FFFF0000"/>
      <name val="Arial"/>
      <family val="2"/>
    </font>
    <font>
      <b/>
      <sz val="10"/>
      <color rgb="FFFF0000"/>
      <name val="Arial"/>
      <family val="2"/>
    </font>
    <font>
      <sz val="10"/>
      <name val="Arial"/>
      <family val="2"/>
    </font>
    <font>
      <b/>
      <sz val="12"/>
      <color theme="1"/>
      <name val="Arial"/>
      <family val="2"/>
    </font>
    <font>
      <sz val="12"/>
      <color theme="1"/>
      <name val="Arial"/>
      <family val="2"/>
    </font>
    <font>
      <sz val="10"/>
      <color rgb="FF7030A0"/>
      <name val="Arial"/>
      <family val="2"/>
    </font>
    <font>
      <i/>
      <sz val="10"/>
      <color rgb="FFFF0000"/>
      <name val="Arial"/>
      <family val="2"/>
    </font>
    <font>
      <sz val="10"/>
      <color rgb="FF000000"/>
      <name val="Arial"/>
      <family val="2"/>
    </font>
    <font>
      <b/>
      <sz val="8"/>
      <color theme="1"/>
      <name val="Arial"/>
      <family val="2"/>
    </font>
    <font>
      <b/>
      <sz val="10"/>
      <color rgb="FF0070C0"/>
      <name val="Arial"/>
      <family val="2"/>
    </font>
    <font>
      <sz val="10"/>
      <color rgb="FF0070C0"/>
      <name val="Arial"/>
      <family val="2"/>
    </font>
    <font>
      <b/>
      <sz val="10"/>
      <name val="Arial"/>
      <family val="2"/>
    </font>
    <font>
      <sz val="8"/>
      <color rgb="FF000000"/>
      <name val="Arial"/>
      <family val="2"/>
    </font>
    <font>
      <i/>
      <sz val="10"/>
      <name val="Arial"/>
      <family val="2"/>
    </font>
    <font>
      <sz val="9"/>
      <color theme="1"/>
      <name val="Segoe UI"/>
      <family val="2"/>
    </font>
    <font>
      <sz val="10"/>
      <color theme="0" tint="-0.34998626667073579"/>
      <name val="Arial"/>
      <family val="2"/>
    </font>
  </fonts>
  <fills count="18">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rgb="FF000000"/>
      </patternFill>
    </fill>
    <fill>
      <patternFill patternType="solid">
        <fgColor theme="9" tint="0.79998168889431442"/>
        <bgColor indexed="64"/>
      </patternFill>
    </fill>
    <fill>
      <patternFill patternType="solid">
        <fgColor theme="9" tint="0.79998168889431442"/>
        <bgColor rgb="FF000000"/>
      </patternFill>
    </fill>
    <fill>
      <patternFill patternType="solid">
        <fgColor rgb="FFC0C0C0"/>
        <bgColor indexed="64"/>
      </patternFill>
    </fill>
    <fill>
      <patternFill patternType="solid">
        <fgColor rgb="FFFFEE91"/>
        <bgColor indexed="64"/>
      </patternFill>
    </fill>
    <fill>
      <patternFill patternType="solid">
        <fgColor rgb="FF9BCC97"/>
        <bgColor indexed="64"/>
      </patternFill>
    </fill>
    <fill>
      <patternFill patternType="solid">
        <fgColor rgb="FF009EE3"/>
        <bgColor indexed="64"/>
      </patternFill>
    </fill>
    <fill>
      <patternFill patternType="solid">
        <fgColor rgb="FFC7A48B"/>
        <bgColor indexed="64"/>
      </patternFill>
    </fill>
    <fill>
      <patternFill patternType="solid">
        <fgColor rgb="FFFA8D74"/>
        <bgColor indexed="64"/>
      </patternFill>
    </fill>
    <fill>
      <patternFill patternType="solid">
        <fgColor theme="7" tint="0.79998168889431442"/>
        <bgColor indexed="64"/>
      </patternFill>
    </fill>
    <fill>
      <patternFill patternType="solid">
        <fgColor theme="8" tint="0.59999389629810485"/>
        <bgColor indexed="64"/>
      </patternFill>
    </fill>
  </fills>
  <borders count="40">
    <border>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s>
  <cellStyleXfs count="1">
    <xf numFmtId="0" fontId="0" fillId="0" borderId="0"/>
  </cellStyleXfs>
  <cellXfs count="377">
    <xf numFmtId="0" fontId="0" fillId="0" borderId="0" xfId="0"/>
    <xf numFmtId="0" fontId="0" fillId="0" borderId="3" xfId="0" applyBorder="1"/>
    <xf numFmtId="0" fontId="2" fillId="2" borderId="6" xfId="0" applyFont="1" applyFill="1" applyBorder="1" applyAlignment="1">
      <alignment horizontal="left"/>
    </xf>
    <xf numFmtId="0" fontId="2" fillId="2" borderId="7" xfId="0" applyFont="1" applyFill="1" applyBorder="1" applyAlignment="1">
      <alignment horizontal="left"/>
    </xf>
    <xf numFmtId="49" fontId="0" fillId="0" borderId="0" xfId="0" applyNumberFormat="1" applyAlignment="1">
      <alignment horizontal="left"/>
    </xf>
    <xf numFmtId="0" fontId="0" fillId="0" borderId="0" xfId="0" applyAlignment="1">
      <alignment horizontal="left"/>
    </xf>
    <xf numFmtId="0" fontId="0" fillId="0" borderId="7" xfId="0" applyBorder="1"/>
    <xf numFmtId="0" fontId="2" fillId="2" borderId="2" xfId="0" applyFont="1" applyFill="1" applyBorder="1" applyAlignment="1">
      <alignment horizontal="left"/>
    </xf>
    <xf numFmtId="0" fontId="2" fillId="2" borderId="1" xfId="0" applyFont="1" applyFill="1" applyBorder="1" applyAlignment="1">
      <alignment horizontal="left"/>
    </xf>
    <xf numFmtId="0" fontId="2" fillId="2" borderId="3" xfId="0" applyFont="1" applyFill="1" applyBorder="1" applyAlignment="1">
      <alignment horizontal="left"/>
    </xf>
    <xf numFmtId="0" fontId="3" fillId="0" borderId="0" xfId="0" applyFont="1" applyAlignment="1">
      <alignment horizontal="left"/>
    </xf>
    <xf numFmtId="0" fontId="3" fillId="0" borderId="0" xfId="0" applyFont="1"/>
    <xf numFmtId="0" fontId="1" fillId="2" borderId="6" xfId="0" applyFont="1" applyFill="1" applyBorder="1" applyAlignment="1">
      <alignment horizontal="left"/>
    </xf>
    <xf numFmtId="0" fontId="0" fillId="2" borderId="7" xfId="0" applyFill="1" applyBorder="1" applyAlignment="1">
      <alignment horizontal="left"/>
    </xf>
    <xf numFmtId="0" fontId="1" fillId="2" borderId="12" xfId="0" applyFont="1" applyFill="1" applyBorder="1" applyAlignment="1">
      <alignment horizontal="left"/>
    </xf>
    <xf numFmtId="0" fontId="1" fillId="2" borderId="2" xfId="0" applyFont="1" applyFill="1" applyBorder="1" applyAlignment="1">
      <alignment horizontal="left"/>
    </xf>
    <xf numFmtId="0" fontId="1" fillId="2" borderId="0" xfId="0" applyFont="1" applyFill="1" applyAlignment="1">
      <alignment horizontal="left"/>
    </xf>
    <xf numFmtId="0" fontId="0" fillId="2" borderId="0" xfId="0" applyFill="1"/>
    <xf numFmtId="0" fontId="0" fillId="0" borderId="0" xfId="0" applyBorder="1"/>
    <xf numFmtId="49" fontId="0" fillId="3" borderId="2" xfId="0" applyNumberFormat="1" applyFill="1" applyBorder="1" applyAlignment="1">
      <alignment horizontal="left"/>
    </xf>
    <xf numFmtId="0" fontId="2" fillId="2" borderId="14" xfId="0" applyFont="1" applyFill="1" applyBorder="1" applyAlignment="1">
      <alignment horizontal="left"/>
    </xf>
    <xf numFmtId="0" fontId="0" fillId="3" borderId="1" xfId="0" applyFill="1" applyBorder="1" applyAlignment="1">
      <alignment horizontal="left"/>
    </xf>
    <xf numFmtId="0" fontId="0" fillId="3" borderId="3" xfId="0" applyFill="1" applyBorder="1" applyAlignment="1">
      <alignment horizontal="left"/>
    </xf>
    <xf numFmtId="0" fontId="6" fillId="0" borderId="14" xfId="0" applyFont="1" applyBorder="1"/>
    <xf numFmtId="0" fontId="6" fillId="0" borderId="15" xfId="0" applyFont="1" applyBorder="1"/>
    <xf numFmtId="164" fontId="4" fillId="2" borderId="13" xfId="0" applyNumberFormat="1" applyFont="1" applyFill="1" applyBorder="1" applyAlignment="1">
      <alignment horizontal="left"/>
    </xf>
    <xf numFmtId="164" fontId="4" fillId="2" borderId="14" xfId="0" applyNumberFormat="1" applyFont="1" applyFill="1" applyBorder="1" applyAlignment="1">
      <alignment horizontal="left"/>
    </xf>
    <xf numFmtId="164" fontId="4" fillId="2" borderId="15" xfId="0" applyNumberFormat="1" applyFont="1" applyFill="1" applyBorder="1" applyAlignment="1">
      <alignment horizontal="left"/>
    </xf>
    <xf numFmtId="0" fontId="6" fillId="2" borderId="10" xfId="0" applyFont="1" applyFill="1" applyBorder="1" applyAlignment="1">
      <alignment horizontal="left"/>
    </xf>
    <xf numFmtId="49" fontId="6" fillId="2" borderId="11" xfId="0" applyNumberFormat="1" applyFont="1" applyFill="1" applyBorder="1"/>
    <xf numFmtId="0" fontId="1" fillId="0" borderId="0" xfId="0" applyFont="1"/>
    <xf numFmtId="0" fontId="1" fillId="2" borderId="7" xfId="0" applyFont="1" applyFill="1" applyBorder="1" applyAlignment="1">
      <alignment horizontal="left"/>
    </xf>
    <xf numFmtId="0" fontId="1" fillId="2" borderId="1" xfId="0" applyFont="1" applyFill="1" applyBorder="1" applyAlignment="1">
      <alignment horizontal="left"/>
    </xf>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applyAlignment="1">
      <alignment horizontal="left"/>
    </xf>
    <xf numFmtId="0" fontId="0" fillId="0" borderId="10" xfId="0" applyBorder="1"/>
    <xf numFmtId="0" fontId="0" fillId="0" borderId="9" xfId="0" applyBorder="1"/>
    <xf numFmtId="49" fontId="0" fillId="3" borderId="7" xfId="0" applyNumberFormat="1" applyFill="1" applyBorder="1" applyAlignment="1">
      <alignment horizontal="left"/>
    </xf>
    <xf numFmtId="49" fontId="0" fillId="3" borderId="0" xfId="0" applyNumberFormat="1" applyFill="1" applyBorder="1" applyAlignment="1">
      <alignment horizontal="left"/>
    </xf>
    <xf numFmtId="0" fontId="0" fillId="0" borderId="0" xfId="0" applyFill="1" applyBorder="1"/>
    <xf numFmtId="0" fontId="1" fillId="6" borderId="12" xfId="0" applyFont="1" applyFill="1" applyBorder="1" applyAlignment="1">
      <alignment horizontal="left"/>
    </xf>
    <xf numFmtId="0" fontId="0" fillId="0" borderId="0" xfId="0" applyAlignment="1">
      <alignment wrapText="1"/>
    </xf>
    <xf numFmtId="0" fontId="3" fillId="0" borderId="0" xfId="0" applyFont="1" applyAlignment="1">
      <alignment wrapText="1"/>
    </xf>
    <xf numFmtId="0" fontId="12" fillId="0" borderId="0" xfId="0" applyFont="1"/>
    <xf numFmtId="0" fontId="13" fillId="0" borderId="0" xfId="0" applyFont="1"/>
    <xf numFmtId="0" fontId="14" fillId="0" borderId="0" xfId="0" applyFont="1"/>
    <xf numFmtId="0" fontId="1" fillId="2" borderId="13" xfId="0" applyFont="1" applyFill="1" applyBorder="1"/>
    <xf numFmtId="0" fontId="1" fillId="2" borderId="14" xfId="0" applyFont="1" applyFill="1" applyBorder="1"/>
    <xf numFmtId="0" fontId="1" fillId="2" borderId="15" xfId="0" applyFont="1" applyFill="1" applyBorder="1"/>
    <xf numFmtId="0" fontId="0" fillId="0" borderId="2" xfId="0" applyBorder="1"/>
    <xf numFmtId="0" fontId="11" fillId="0" borderId="0" xfId="0" applyFont="1"/>
    <xf numFmtId="0" fontId="3" fillId="0" borderId="3" xfId="0" applyFont="1" applyBorder="1"/>
    <xf numFmtId="0" fontId="1" fillId="2" borderId="6" xfId="0" applyFont="1" applyFill="1" applyBorder="1" applyAlignment="1">
      <alignment horizontal="left" wrapText="1"/>
    </xf>
    <xf numFmtId="0" fontId="1" fillId="2" borderId="7" xfId="0" applyFont="1" applyFill="1" applyBorder="1" applyAlignment="1">
      <alignment horizontal="left" wrapText="1"/>
    </xf>
    <xf numFmtId="0" fontId="1" fillId="2" borderId="1" xfId="0" applyFont="1" applyFill="1" applyBorder="1" applyAlignment="1">
      <alignment horizontal="left" wrapText="1"/>
    </xf>
    <xf numFmtId="0" fontId="1" fillId="2" borderId="0" xfId="0" applyFont="1" applyFill="1" applyAlignment="1">
      <alignment horizontal="left" wrapText="1"/>
    </xf>
    <xf numFmtId="0" fontId="0" fillId="5" borderId="0" xfId="0" applyFill="1" applyAlignment="1">
      <alignment wrapText="1"/>
    </xf>
    <xf numFmtId="0" fontId="7" fillId="0" borderId="0" xfId="0" applyFont="1" applyAlignment="1">
      <alignment wrapText="1"/>
    </xf>
    <xf numFmtId="0" fontId="1" fillId="6" borderId="0" xfId="0" applyFont="1" applyFill="1" applyAlignment="1">
      <alignment horizontal="left" wrapText="1"/>
    </xf>
    <xf numFmtId="0" fontId="1" fillId="5" borderId="0" xfId="0" applyFont="1" applyFill="1" applyBorder="1" applyAlignment="1">
      <alignment horizontal="left" wrapText="1"/>
    </xf>
    <xf numFmtId="0" fontId="0" fillId="0" borderId="6" xfId="0" applyBorder="1" applyAlignment="1">
      <alignment wrapText="1"/>
    </xf>
    <xf numFmtId="0" fontId="0" fillId="0" borderId="7" xfId="0" applyBorder="1" applyAlignment="1">
      <alignment wrapText="1"/>
    </xf>
    <xf numFmtId="20" fontId="0" fillId="0" borderId="7" xfId="0" applyNumberFormat="1" applyBorder="1" applyAlignment="1">
      <alignment wrapText="1"/>
    </xf>
    <xf numFmtId="20" fontId="0" fillId="0" borderId="1" xfId="0" applyNumberFormat="1" applyBorder="1" applyAlignment="1">
      <alignment wrapText="1"/>
    </xf>
    <xf numFmtId="0" fontId="0" fillId="0" borderId="4" xfId="0" applyBorder="1" applyAlignment="1">
      <alignment wrapText="1"/>
    </xf>
    <xf numFmtId="0" fontId="0" fillId="0" borderId="8" xfId="0" applyBorder="1" applyAlignment="1">
      <alignment wrapText="1"/>
    </xf>
    <xf numFmtId="20" fontId="0" fillId="0" borderId="8" xfId="0" applyNumberFormat="1" applyBorder="1" applyAlignment="1">
      <alignment wrapText="1"/>
    </xf>
    <xf numFmtId="20" fontId="3" fillId="0" borderId="8" xfId="0" applyNumberFormat="1" applyFont="1" applyBorder="1" applyAlignment="1">
      <alignment wrapText="1"/>
    </xf>
    <xf numFmtId="0" fontId="0" fillId="0" borderId="2" xfId="0" applyBorder="1" applyAlignment="1">
      <alignment wrapText="1"/>
    </xf>
    <xf numFmtId="0" fontId="0" fillId="0" borderId="0" xfId="0" applyBorder="1" applyAlignment="1">
      <alignment wrapText="1"/>
    </xf>
    <xf numFmtId="20" fontId="0" fillId="0" borderId="0" xfId="0" applyNumberFormat="1" applyBorder="1" applyAlignment="1">
      <alignment wrapText="1"/>
    </xf>
    <xf numFmtId="20" fontId="0" fillId="0" borderId="3" xfId="0" applyNumberFormat="1" applyBorder="1" applyAlignment="1">
      <alignment wrapText="1"/>
    </xf>
    <xf numFmtId="0" fontId="12" fillId="0" borderId="2" xfId="0" applyFont="1" applyBorder="1" applyAlignment="1">
      <alignment wrapText="1"/>
    </xf>
    <xf numFmtId="0" fontId="12" fillId="0" borderId="0" xfId="0" applyFont="1" applyBorder="1" applyAlignment="1">
      <alignment wrapText="1"/>
    </xf>
    <xf numFmtId="20" fontId="12" fillId="0" borderId="0" xfId="0" applyNumberFormat="1" applyFont="1" applyBorder="1" applyAlignment="1">
      <alignment wrapText="1"/>
    </xf>
    <xf numFmtId="0" fontId="12" fillId="0" borderId="0" xfId="0" applyFont="1" applyAlignment="1">
      <alignment wrapText="1"/>
    </xf>
    <xf numFmtId="0" fontId="8" fillId="0" borderId="0" xfId="0" applyFont="1" applyAlignment="1">
      <alignment wrapText="1"/>
    </xf>
    <xf numFmtId="20" fontId="12" fillId="0" borderId="8" xfId="0" applyNumberFormat="1" applyFont="1" applyBorder="1" applyAlignment="1">
      <alignment wrapText="1"/>
    </xf>
    <xf numFmtId="20" fontId="0" fillId="0" borderId="5" xfId="0" applyNumberFormat="1" applyBorder="1" applyAlignment="1">
      <alignment wrapText="1"/>
    </xf>
    <xf numFmtId="0" fontId="12" fillId="0" borderId="6" xfId="0" applyFont="1" applyBorder="1" applyAlignment="1">
      <alignment wrapText="1"/>
    </xf>
    <xf numFmtId="0" fontId="12" fillId="0" borderId="7" xfId="0" applyFont="1" applyBorder="1" applyAlignment="1">
      <alignment wrapText="1"/>
    </xf>
    <xf numFmtId="20" fontId="12" fillId="0" borderId="7" xfId="0" applyNumberFormat="1" applyFont="1" applyBorder="1" applyAlignment="1">
      <alignment wrapText="1"/>
    </xf>
    <xf numFmtId="0" fontId="3" fillId="0" borderId="6" xfId="0" applyFont="1" applyBorder="1" applyAlignment="1">
      <alignment vertical="center" wrapText="1"/>
    </xf>
    <xf numFmtId="0" fontId="3" fillId="0" borderId="7" xfId="0" applyFont="1" applyBorder="1" applyAlignment="1">
      <alignment wrapText="1"/>
    </xf>
    <xf numFmtId="20" fontId="3" fillId="0" borderId="7" xfId="0" applyNumberFormat="1" applyFont="1" applyBorder="1" applyAlignment="1">
      <alignment wrapText="1"/>
    </xf>
    <xf numFmtId="20" fontId="3" fillId="0" borderId="1" xfId="0" applyNumberFormat="1" applyFont="1" applyBorder="1" applyAlignment="1">
      <alignment wrapText="1"/>
    </xf>
    <xf numFmtId="20" fontId="3" fillId="5" borderId="0" xfId="0" applyNumberFormat="1" applyFont="1" applyFill="1" applyAlignment="1">
      <alignment wrapText="1"/>
    </xf>
    <xf numFmtId="0" fontId="3" fillId="0" borderId="2" xfId="0" applyFont="1" applyBorder="1" applyAlignment="1">
      <alignment vertical="center" wrapText="1"/>
    </xf>
    <xf numFmtId="0" fontId="3" fillId="0" borderId="0" xfId="0" applyFont="1" applyBorder="1" applyAlignment="1">
      <alignment wrapText="1"/>
    </xf>
    <xf numFmtId="20" fontId="3" fillId="0" borderId="0" xfId="0" applyNumberFormat="1" applyFont="1" applyBorder="1" applyAlignment="1">
      <alignment wrapText="1"/>
    </xf>
    <xf numFmtId="0" fontId="3" fillId="0" borderId="3" xfId="0" applyFont="1" applyBorder="1" applyAlignment="1">
      <alignment wrapText="1"/>
    </xf>
    <xf numFmtId="0" fontId="3" fillId="0" borderId="4" xfId="0" applyFont="1" applyBorder="1" applyAlignment="1">
      <alignment vertical="center" wrapText="1"/>
    </xf>
    <xf numFmtId="0" fontId="3" fillId="0" borderId="8" xfId="0" applyFont="1" applyBorder="1" applyAlignment="1">
      <alignment wrapText="1"/>
    </xf>
    <xf numFmtId="0" fontId="3" fillId="0" borderId="5" xfId="0" applyFont="1" applyBorder="1" applyAlignment="1">
      <alignment wrapText="1"/>
    </xf>
    <xf numFmtId="0" fontId="0" fillId="0" borderId="0" xfId="0" applyAlignment="1">
      <alignment vertical="center" wrapText="1"/>
    </xf>
    <xf numFmtId="20" fontId="0" fillId="0" borderId="0" xfId="0" applyNumberFormat="1" applyAlignment="1">
      <alignment wrapText="1"/>
    </xf>
    <xf numFmtId="20" fontId="12" fillId="0" borderId="5" xfId="0" applyNumberFormat="1" applyFont="1" applyBorder="1" applyAlignment="1">
      <alignment wrapText="1"/>
    </xf>
    <xf numFmtId="0" fontId="3" fillId="0" borderId="0" xfId="0" applyFont="1" applyAlignment="1">
      <alignment wrapText="1"/>
    </xf>
    <xf numFmtId="0" fontId="2" fillId="7" borderId="12" xfId="0" applyFont="1" applyFill="1" applyBorder="1" applyAlignment="1">
      <alignment horizontal="left"/>
    </xf>
    <xf numFmtId="0" fontId="0" fillId="2" borderId="15" xfId="0" applyFill="1" applyBorder="1"/>
    <xf numFmtId="0" fontId="2" fillId="7" borderId="10" xfId="0" applyFont="1" applyFill="1" applyBorder="1" applyAlignment="1">
      <alignment horizontal="left"/>
    </xf>
    <xf numFmtId="0" fontId="17" fillId="0" borderId="6" xfId="0" applyFont="1" applyBorder="1"/>
    <xf numFmtId="0" fontId="17" fillId="0" borderId="1" xfId="0" applyFont="1" applyBorder="1"/>
    <xf numFmtId="20" fontId="12" fillId="0" borderId="3" xfId="0" applyNumberFormat="1" applyFont="1" applyBorder="1" applyAlignment="1">
      <alignment wrapText="1"/>
    </xf>
    <xf numFmtId="0" fontId="7" fillId="0" borderId="0" xfId="0" applyFont="1"/>
    <xf numFmtId="0" fontId="1" fillId="6" borderId="0" xfId="0" applyFont="1" applyFill="1" applyAlignment="1">
      <alignment horizontal="left"/>
    </xf>
    <xf numFmtId="0" fontId="1" fillId="2" borderId="6" xfId="0" applyFont="1" applyFill="1" applyBorder="1"/>
    <xf numFmtId="0" fontId="1" fillId="2" borderId="7" xfId="0" applyFont="1" applyFill="1" applyBorder="1"/>
    <xf numFmtId="0" fontId="19" fillId="6" borderId="16" xfId="0" applyFont="1" applyFill="1" applyBorder="1" applyAlignment="1">
      <alignment wrapText="1"/>
    </xf>
    <xf numFmtId="0" fontId="19" fillId="0" borderId="16" xfId="0" applyFont="1" applyBorder="1"/>
    <xf numFmtId="0" fontId="20" fillId="0" borderId="16" xfId="0" applyFont="1" applyBorder="1"/>
    <xf numFmtId="20" fontId="20" fillId="0" borderId="16" xfId="0" applyNumberFormat="1" applyFont="1" applyBorder="1"/>
    <xf numFmtId="0" fontId="19" fillId="0" borderId="0" xfId="0" applyFont="1"/>
    <xf numFmtId="0" fontId="20" fillId="0" borderId="0" xfId="0" applyFont="1"/>
    <xf numFmtId="20" fontId="20" fillId="0" borderId="0" xfId="0" applyNumberFormat="1" applyFont="1"/>
    <xf numFmtId="0" fontId="0" fillId="6" borderId="0" xfId="0" applyFill="1"/>
    <xf numFmtId="0" fontId="0" fillId="0" borderId="12" xfId="0" applyBorder="1"/>
    <xf numFmtId="0" fontId="0" fillId="6" borderId="6" xfId="0" applyFill="1" applyBorder="1" applyAlignment="1">
      <alignment horizontal="right"/>
    </xf>
    <xf numFmtId="0" fontId="0" fillId="6" borderId="1" xfId="0" applyFill="1" applyBorder="1"/>
    <xf numFmtId="0" fontId="18" fillId="2" borderId="0" xfId="0" applyFont="1" applyFill="1"/>
    <xf numFmtId="0" fontId="17" fillId="6" borderId="0" xfId="0" applyFont="1" applyFill="1"/>
    <xf numFmtId="0" fontId="2" fillId="2" borderId="0" xfId="0" applyFont="1" applyFill="1" applyAlignment="1">
      <alignment horizontal="left"/>
    </xf>
    <xf numFmtId="0" fontId="0" fillId="6" borderId="4" xfId="0" applyFill="1" applyBorder="1" applyAlignment="1">
      <alignment horizontal="right"/>
    </xf>
    <xf numFmtId="0" fontId="0" fillId="6" borderId="5" xfId="0" applyFill="1" applyBorder="1"/>
    <xf numFmtId="49" fontId="22" fillId="9" borderId="5" xfId="0" applyNumberFormat="1" applyFont="1" applyFill="1" applyBorder="1"/>
    <xf numFmtId="0" fontId="17" fillId="0" borderId="0" xfId="0" applyFont="1"/>
    <xf numFmtId="0" fontId="6" fillId="0" borderId="13" xfId="0" applyFont="1" applyBorder="1"/>
    <xf numFmtId="0" fontId="6" fillId="8" borderId="14" xfId="0" applyFont="1" applyFill="1" applyBorder="1"/>
    <xf numFmtId="0" fontId="6" fillId="2" borderId="0" xfId="0" applyFont="1" applyFill="1"/>
    <xf numFmtId="49" fontId="22" fillId="7" borderId="10" xfId="0" applyNumberFormat="1" applyFont="1" applyFill="1" applyBorder="1"/>
    <xf numFmtId="164" fontId="4" fillId="8" borderId="14" xfId="0" applyNumberFormat="1" applyFont="1" applyFill="1" applyBorder="1" applyAlignment="1">
      <alignment horizontal="left"/>
    </xf>
    <xf numFmtId="49" fontId="6" fillId="2" borderId="12" xfId="0" applyNumberFormat="1" applyFont="1" applyFill="1" applyBorder="1"/>
    <xf numFmtId="0" fontId="6" fillId="6" borderId="0" xfId="0" applyFont="1" applyFill="1" applyAlignment="1">
      <alignment horizontal="right" indent="1"/>
    </xf>
    <xf numFmtId="49" fontId="22" fillId="9" borderId="11" xfId="0" applyNumberFormat="1" applyFont="1" applyFill="1" applyBorder="1"/>
    <xf numFmtId="49" fontId="0" fillId="0" borderId="6" xfId="0" applyNumberFormat="1" applyBorder="1" applyAlignment="1">
      <alignment horizontal="left"/>
    </xf>
    <xf numFmtId="0" fontId="17" fillId="0" borderId="9" xfId="0" applyFont="1" applyBorder="1" applyAlignment="1">
      <alignment horizontal="center"/>
    </xf>
    <xf numFmtId="49" fontId="0" fillId="0" borderId="2" xfId="0" applyNumberFormat="1" applyBorder="1" applyAlignment="1">
      <alignment horizontal="left"/>
    </xf>
    <xf numFmtId="0" fontId="1" fillId="6" borderId="0" xfId="0" applyFont="1" applyFill="1"/>
    <xf numFmtId="0" fontId="3" fillId="6" borderId="0" xfId="0" applyFont="1" applyFill="1" applyAlignment="1">
      <alignment horizontal="left"/>
    </xf>
    <xf numFmtId="0" fontId="3" fillId="6" borderId="0" xfId="0" applyFont="1" applyFill="1"/>
    <xf numFmtId="0" fontId="3" fillId="0" borderId="10" xfId="0" applyFont="1" applyBorder="1"/>
    <xf numFmtId="49" fontId="0" fillId="0" borderId="6" xfId="0" applyNumberFormat="1" applyFill="1" applyBorder="1" applyAlignment="1">
      <alignment horizontal="left"/>
    </xf>
    <xf numFmtId="49" fontId="0" fillId="0" borderId="2" xfId="0" applyNumberFormat="1" applyFill="1" applyBorder="1" applyAlignment="1">
      <alignment horizontal="left"/>
    </xf>
    <xf numFmtId="0" fontId="12" fillId="0" borderId="0" xfId="0" applyFont="1" applyAlignment="1">
      <alignment horizontal="left"/>
    </xf>
    <xf numFmtId="0" fontId="12" fillId="0" borderId="0" xfId="0" applyFont="1" applyFill="1" applyBorder="1" applyAlignment="1">
      <alignment horizontal="left"/>
    </xf>
    <xf numFmtId="0" fontId="1" fillId="0" borderId="0" xfId="0" applyFont="1" applyAlignment="1">
      <alignment horizontal="left"/>
    </xf>
    <xf numFmtId="0" fontId="0" fillId="0" borderId="0" xfId="0" quotePrefix="1"/>
    <xf numFmtId="0" fontId="12" fillId="0" borderId="13" xfId="0" applyFont="1" applyBorder="1" applyAlignment="1">
      <alignment vertical="center" wrapText="1"/>
    </xf>
    <xf numFmtId="0" fontId="12" fillId="0" borderId="14" xfId="0" applyFont="1" applyBorder="1" applyAlignment="1">
      <alignment wrapText="1"/>
    </xf>
    <xf numFmtId="20" fontId="12" fillId="0" borderId="14" xfId="0" applyNumberFormat="1" applyFont="1" applyBorder="1" applyAlignment="1">
      <alignment wrapText="1"/>
    </xf>
    <xf numFmtId="20" fontId="12" fillId="0" borderId="15" xfId="0" applyNumberFormat="1" applyFont="1" applyBorder="1" applyAlignment="1">
      <alignment wrapText="1"/>
    </xf>
    <xf numFmtId="0" fontId="3" fillId="0" borderId="9" xfId="0" applyFont="1" applyBorder="1" applyAlignment="1">
      <alignment horizontal="center"/>
    </xf>
    <xf numFmtId="49" fontId="10" fillId="7" borderId="10" xfId="0" applyNumberFormat="1" applyFont="1" applyFill="1" applyBorder="1"/>
    <xf numFmtId="0" fontId="21" fillId="2" borderId="7" xfId="0" applyFont="1" applyFill="1" applyBorder="1" applyAlignment="1">
      <alignment horizontal="center"/>
    </xf>
    <xf numFmtId="0" fontId="0" fillId="0" borderId="7" xfId="0" applyFont="1" applyBorder="1"/>
    <xf numFmtId="0" fontId="0" fillId="0" borderId="0" xfId="0" applyFont="1" applyBorder="1"/>
    <xf numFmtId="0" fontId="12" fillId="0" borderId="0" xfId="0" applyFont="1" applyBorder="1"/>
    <xf numFmtId="0" fontId="12" fillId="0" borderId="8" xfId="0" applyFont="1" applyBorder="1"/>
    <xf numFmtId="0" fontId="0" fillId="0" borderId="6" xfId="0" applyFont="1" applyBorder="1" applyAlignment="1">
      <alignment horizontal="center"/>
    </xf>
    <xf numFmtId="0" fontId="0" fillId="0" borderId="1" xfId="0" applyFont="1" applyBorder="1" applyAlignment="1">
      <alignment horizontal="center"/>
    </xf>
    <xf numFmtId="0" fontId="0" fillId="0" borderId="7" xfId="0" applyFont="1" applyBorder="1" applyAlignment="1">
      <alignment horizontal="center"/>
    </xf>
    <xf numFmtId="0" fontId="0" fillId="0" borderId="2" xfId="0" applyFont="1" applyBorder="1" applyAlignment="1">
      <alignment horizontal="center"/>
    </xf>
    <xf numFmtId="0" fontId="0" fillId="0" borderId="3" xfId="0" applyFont="1" applyBorder="1" applyAlignment="1">
      <alignment horizontal="center"/>
    </xf>
    <xf numFmtId="0" fontId="0" fillId="0" borderId="0" xfId="0" applyFont="1" applyBorder="1" applyAlignment="1">
      <alignment horizontal="center"/>
    </xf>
    <xf numFmtId="0" fontId="0" fillId="0" borderId="0" xfId="0" applyBorder="1" applyAlignment="1">
      <alignment horizontal="center"/>
    </xf>
    <xf numFmtId="0" fontId="12" fillId="0" borderId="2" xfId="0" applyFont="1" applyBorder="1" applyAlignment="1">
      <alignment horizontal="center"/>
    </xf>
    <xf numFmtId="0" fontId="12" fillId="0" borderId="3" xfId="0" applyFont="1" applyBorder="1" applyAlignment="1">
      <alignment horizontal="center"/>
    </xf>
    <xf numFmtId="0" fontId="12" fillId="0" borderId="0" xfId="0" applyFont="1" applyBorder="1" applyAlignment="1">
      <alignment horizontal="center"/>
    </xf>
    <xf numFmtId="0" fontId="12" fillId="0" borderId="4" xfId="0" applyFont="1" applyBorder="1" applyAlignment="1">
      <alignment horizontal="center"/>
    </xf>
    <xf numFmtId="0" fontId="12" fillId="0" borderId="8" xfId="0" applyFont="1" applyBorder="1" applyAlignment="1">
      <alignment horizontal="center"/>
    </xf>
    <xf numFmtId="0" fontId="12" fillId="0" borderId="5" xfId="0" applyFont="1" applyBorder="1" applyAlignment="1">
      <alignment horizontal="center"/>
    </xf>
    <xf numFmtId="0" fontId="12" fillId="0" borderId="7" xfId="0" applyFont="1" applyBorder="1"/>
    <xf numFmtId="0" fontId="0" fillId="0" borderId="8" xfId="0" applyFont="1" applyBorder="1"/>
    <xf numFmtId="0" fontId="0" fillId="0" borderId="4" xfId="0" applyFont="1" applyBorder="1" applyAlignment="1">
      <alignment horizontal="center"/>
    </xf>
    <xf numFmtId="0" fontId="0" fillId="0" borderId="5" xfId="0" applyFont="1" applyBorder="1" applyAlignment="1">
      <alignment horizontal="center"/>
    </xf>
    <xf numFmtId="0" fontId="0" fillId="0" borderId="8" xfId="0" applyFont="1" applyBorder="1" applyAlignment="1">
      <alignment horizontal="center"/>
    </xf>
    <xf numFmtId="0" fontId="0" fillId="0" borderId="8" xfId="0" applyBorder="1" applyAlignment="1">
      <alignment horizontal="center"/>
    </xf>
    <xf numFmtId="0" fontId="12" fillId="0" borderId="6" xfId="0" applyFont="1" applyBorder="1" applyAlignment="1">
      <alignment horizontal="center"/>
    </xf>
    <xf numFmtId="0" fontId="12" fillId="0" borderId="1" xfId="0" applyFont="1" applyBorder="1" applyAlignment="1">
      <alignment horizontal="center"/>
    </xf>
    <xf numFmtId="0" fontId="12" fillId="0" borderId="7" xfId="0" applyFont="1" applyBorder="1" applyAlignment="1">
      <alignment horizontal="center"/>
    </xf>
    <xf numFmtId="0" fontId="0" fillId="5" borderId="12" xfId="0" applyFill="1" applyBorder="1"/>
    <xf numFmtId="0" fontId="6" fillId="0" borderId="2" xfId="0" applyFont="1" applyBorder="1" applyAlignment="1">
      <alignment horizontal="center"/>
    </xf>
    <xf numFmtId="0" fontId="6" fillId="0" borderId="0" xfId="0" applyFont="1" applyAlignment="1">
      <alignment horizontal="center"/>
    </xf>
    <xf numFmtId="0" fontId="6" fillId="8" borderId="0" xfId="0" applyFont="1" applyFill="1" applyAlignment="1">
      <alignment horizontal="center"/>
    </xf>
    <xf numFmtId="0" fontId="6" fillId="0" borderId="7" xfId="0" applyFont="1" applyBorder="1" applyAlignment="1">
      <alignment horizontal="center"/>
    </xf>
    <xf numFmtId="0" fontId="6" fillId="0" borderId="3" xfId="0" applyFont="1" applyBorder="1" applyAlignment="1">
      <alignment horizontal="center"/>
    </xf>
    <xf numFmtId="49" fontId="6" fillId="0" borderId="0" xfId="0" applyNumberFormat="1" applyFont="1" applyAlignment="1">
      <alignment horizontal="center"/>
    </xf>
    <xf numFmtId="0" fontId="10" fillId="0" borderId="0" xfId="0" applyFont="1" applyAlignment="1">
      <alignment horizontal="center"/>
    </xf>
    <xf numFmtId="20" fontId="6" fillId="0" borderId="0" xfId="0" applyNumberFormat="1" applyFont="1" applyAlignment="1">
      <alignment horizontal="center"/>
    </xf>
    <xf numFmtId="0" fontId="6" fillId="0" borderId="0" xfId="0" quotePrefix="1" applyFont="1" applyAlignment="1">
      <alignment horizontal="center"/>
    </xf>
    <xf numFmtId="0" fontId="12" fillId="0" borderId="10" xfId="0" applyFont="1" applyBorder="1"/>
    <xf numFmtId="0" fontId="9" fillId="0" borderId="0" xfId="0" applyFont="1" applyAlignment="1">
      <alignment horizontal="center"/>
    </xf>
    <xf numFmtId="0" fontId="12" fillId="0" borderId="9" xfId="0" applyFont="1" applyBorder="1"/>
    <xf numFmtId="0" fontId="12" fillId="0" borderId="10" xfId="0" applyFont="1" applyBorder="1" applyAlignment="1">
      <alignment horizontal="center"/>
    </xf>
    <xf numFmtId="0" fontId="12" fillId="0" borderId="9" xfId="0" applyFont="1" applyBorder="1" applyAlignment="1">
      <alignment horizontal="center"/>
    </xf>
    <xf numFmtId="49" fontId="12" fillId="0" borderId="2" xfId="0" applyNumberFormat="1" applyFont="1" applyBorder="1" applyAlignment="1">
      <alignment horizontal="left"/>
    </xf>
    <xf numFmtId="0" fontId="12" fillId="3" borderId="3" xfId="0" applyFont="1" applyFill="1" applyBorder="1" applyAlignment="1">
      <alignment horizontal="left"/>
    </xf>
    <xf numFmtId="0" fontId="9" fillId="8" borderId="0" xfId="0" applyFont="1" applyFill="1" applyAlignment="1">
      <alignment horizontal="center"/>
    </xf>
    <xf numFmtId="0" fontId="12" fillId="6" borderId="0" xfId="0" applyFont="1" applyFill="1"/>
    <xf numFmtId="0" fontId="12" fillId="0" borderId="3" xfId="0" applyFont="1" applyBorder="1"/>
    <xf numFmtId="0" fontId="21" fillId="6" borderId="12" xfId="0" applyFont="1" applyFill="1" applyBorder="1" applyAlignment="1">
      <alignment horizontal="left"/>
    </xf>
    <xf numFmtId="0" fontId="3" fillId="0" borderId="0" xfId="0" applyFont="1" applyAlignment="1">
      <alignment wrapText="1"/>
    </xf>
    <xf numFmtId="49" fontId="3" fillId="3" borderId="0" xfId="0" applyNumberFormat="1" applyFont="1" applyFill="1" applyAlignment="1">
      <alignment horizontal="left"/>
    </xf>
    <xf numFmtId="0" fontId="3" fillId="0" borderId="0" xfId="0" applyFont="1" applyAlignment="1">
      <alignment wrapText="1"/>
    </xf>
    <xf numFmtId="20" fontId="3" fillId="0" borderId="0" xfId="0" applyNumberFormat="1" applyFont="1" applyAlignment="1">
      <alignment wrapText="1"/>
    </xf>
    <xf numFmtId="20" fontId="3" fillId="0" borderId="3" xfId="0" applyNumberFormat="1" applyFont="1" applyBorder="1" applyAlignment="1">
      <alignment wrapText="1"/>
    </xf>
    <xf numFmtId="0" fontId="10" fillId="8" borderId="0" xfId="0" applyFont="1" applyFill="1" applyAlignment="1">
      <alignment horizontal="center"/>
    </xf>
    <xf numFmtId="49" fontId="3" fillId="3" borderId="0" xfId="0" applyNumberFormat="1" applyFont="1" applyFill="1" applyBorder="1" applyAlignment="1">
      <alignment horizontal="left"/>
    </xf>
    <xf numFmtId="0" fontId="3" fillId="0" borderId="0" xfId="0" applyFont="1" applyBorder="1"/>
    <xf numFmtId="0" fontId="0" fillId="4" borderId="0" xfId="0" applyFill="1"/>
    <xf numFmtId="0" fontId="0" fillId="4" borderId="8" xfId="0" applyFill="1" applyBorder="1"/>
    <xf numFmtId="0" fontId="0" fillId="4" borderId="14" xfId="0" applyFill="1" applyBorder="1"/>
    <xf numFmtId="0" fontId="0" fillId="10" borderId="0" xfId="0" applyFill="1"/>
    <xf numFmtId="0" fontId="0" fillId="12" borderId="0" xfId="0" applyFill="1"/>
    <xf numFmtId="0" fontId="0" fillId="4" borderId="0" xfId="0" applyFill="1" applyBorder="1"/>
    <xf numFmtId="0" fontId="0" fillId="14" borderId="0" xfId="0" applyFill="1"/>
    <xf numFmtId="0" fontId="3" fillId="0" borderId="0" xfId="0" applyFont="1" applyAlignment="1">
      <alignment wrapText="1"/>
    </xf>
    <xf numFmtId="0" fontId="3" fillId="0" borderId="2" xfId="0" applyFont="1" applyBorder="1" applyAlignment="1">
      <alignment wrapText="1"/>
    </xf>
    <xf numFmtId="0" fontId="3" fillId="0" borderId="0" xfId="0" applyFont="1" applyFill="1" applyBorder="1" applyAlignment="1">
      <alignment horizontal="left"/>
    </xf>
    <xf numFmtId="0" fontId="0" fillId="0" borderId="8" xfId="0" applyFont="1" applyFill="1" applyBorder="1"/>
    <xf numFmtId="0" fontId="0" fillId="11" borderId="14" xfId="0" applyFill="1" applyBorder="1"/>
    <xf numFmtId="0" fontId="0" fillId="15" borderId="14" xfId="0" applyFill="1" applyBorder="1"/>
    <xf numFmtId="0" fontId="0" fillId="4" borderId="7" xfId="0" applyFill="1" applyBorder="1"/>
    <xf numFmtId="0" fontId="0" fillId="13" borderId="7" xfId="0" applyFill="1" applyBorder="1"/>
    <xf numFmtId="0" fontId="0" fillId="13" borderId="8" xfId="0" applyFill="1" applyBorder="1"/>
    <xf numFmtId="0" fontId="0" fillId="0" borderId="0" xfId="0" applyFont="1" applyFill="1" applyBorder="1"/>
    <xf numFmtId="0" fontId="3" fillId="0" borderId="9" xfId="0" applyFont="1" applyBorder="1"/>
    <xf numFmtId="0" fontId="3" fillId="0" borderId="2" xfId="0" applyFont="1" applyBorder="1"/>
    <xf numFmtId="0" fontId="3" fillId="0" borderId="0" xfId="0" applyFont="1" applyFill="1" applyBorder="1"/>
    <xf numFmtId="0" fontId="0" fillId="0" borderId="9" xfId="0" applyFill="1" applyBorder="1"/>
    <xf numFmtId="20" fontId="12" fillId="0" borderId="1" xfId="0" applyNumberFormat="1" applyFont="1" applyBorder="1" applyAlignment="1">
      <alignment wrapText="1"/>
    </xf>
    <xf numFmtId="0" fontId="1" fillId="2" borderId="6" xfId="0" applyFont="1" applyFill="1" applyBorder="1"/>
    <xf numFmtId="0" fontId="1" fillId="0" borderId="0" xfId="0" applyFont="1" applyBorder="1"/>
    <xf numFmtId="0" fontId="1" fillId="2" borderId="7" xfId="0" applyFont="1" applyFill="1" applyBorder="1" applyAlignment="1">
      <alignment horizontal="center"/>
    </xf>
    <xf numFmtId="0" fontId="1" fillId="0" borderId="14" xfId="0" applyFont="1" applyBorder="1"/>
    <xf numFmtId="0" fontId="0" fillId="0" borderId="14" xfId="0" applyBorder="1"/>
    <xf numFmtId="0" fontId="1" fillId="2" borderId="17" xfId="0" applyFont="1" applyFill="1" applyBorder="1"/>
    <xf numFmtId="0" fontId="1" fillId="2" borderId="18" xfId="0" applyFont="1" applyFill="1" applyBorder="1"/>
    <xf numFmtId="0" fontId="1" fillId="2" borderId="16" xfId="0" applyFont="1" applyFill="1" applyBorder="1"/>
    <xf numFmtId="0" fontId="1" fillId="2" borderId="19" xfId="0" applyFont="1" applyFill="1" applyBorder="1"/>
    <xf numFmtId="0" fontId="1" fillId="2" borderId="20" xfId="0" applyFont="1" applyFill="1" applyBorder="1"/>
    <xf numFmtId="0" fontId="1" fillId="2" borderId="21" xfId="0" applyFont="1" applyFill="1" applyBorder="1"/>
    <xf numFmtId="0" fontId="1" fillId="2" borderId="22" xfId="0" applyFont="1" applyFill="1" applyBorder="1"/>
    <xf numFmtId="0" fontId="0" fillId="0" borderId="23" xfId="0" applyFont="1" applyBorder="1" applyAlignment="1">
      <alignment horizontal="center"/>
    </xf>
    <xf numFmtId="0" fontId="0" fillId="0" borderId="24" xfId="0" applyFont="1" applyBorder="1" applyAlignment="1">
      <alignment horizontal="center"/>
    </xf>
    <xf numFmtId="0" fontId="12" fillId="0" borderId="25" xfId="0" applyFont="1" applyBorder="1" applyAlignment="1">
      <alignment horizontal="center"/>
    </xf>
    <xf numFmtId="0" fontId="12" fillId="0" borderId="26" xfId="0" applyFont="1" applyBorder="1" applyAlignment="1">
      <alignment horizontal="center"/>
    </xf>
    <xf numFmtId="0" fontId="12" fillId="0" borderId="23" xfId="0" applyFont="1" applyBorder="1" applyAlignment="1">
      <alignment horizontal="center"/>
    </xf>
    <xf numFmtId="0" fontId="12" fillId="0" borderId="24" xfId="0" applyFont="1" applyBorder="1" applyAlignment="1">
      <alignment horizontal="center"/>
    </xf>
    <xf numFmtId="0" fontId="0" fillId="0" borderId="27" xfId="0" applyFont="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0" borderId="26" xfId="0" applyFont="1" applyBorder="1" applyAlignment="1">
      <alignment horizontal="center"/>
    </xf>
    <xf numFmtId="0" fontId="12" fillId="0" borderId="29" xfId="0" applyFont="1" applyBorder="1" applyAlignment="1">
      <alignment horizontal="center"/>
    </xf>
    <xf numFmtId="0" fontId="12" fillId="0" borderId="30" xfId="0" applyFont="1" applyBorder="1" applyAlignment="1">
      <alignment horizontal="center"/>
    </xf>
    <xf numFmtId="0" fontId="12" fillId="0" borderId="31" xfId="0" applyFont="1" applyBorder="1" applyAlignment="1">
      <alignment horizontal="center"/>
    </xf>
    <xf numFmtId="0" fontId="12" fillId="0" borderId="32" xfId="0" applyFont="1" applyBorder="1" applyAlignment="1">
      <alignment horizontal="center"/>
    </xf>
    <xf numFmtId="0" fontId="12" fillId="0" borderId="33" xfId="0" applyFont="1" applyBorder="1" applyAlignment="1">
      <alignment horizontal="center"/>
    </xf>
    <xf numFmtId="0" fontId="0" fillId="0" borderId="24" xfId="0" applyBorder="1" applyAlignment="1">
      <alignment horizontal="center"/>
    </xf>
    <xf numFmtId="0" fontId="0" fillId="0" borderId="28" xfId="0" applyBorder="1" applyAlignment="1">
      <alignment horizontal="center"/>
    </xf>
    <xf numFmtId="0" fontId="1" fillId="2" borderId="7" xfId="0" applyFont="1" applyFill="1" applyBorder="1"/>
    <xf numFmtId="0" fontId="0" fillId="16" borderId="23" xfId="0" applyFont="1" applyFill="1" applyBorder="1" applyAlignment="1">
      <alignment horizontal="center"/>
    </xf>
    <xf numFmtId="0" fontId="0" fillId="16" borderId="3" xfId="0" applyFont="1" applyFill="1" applyBorder="1" applyAlignment="1">
      <alignment horizontal="center"/>
    </xf>
    <xf numFmtId="0" fontId="0" fillId="16" borderId="0" xfId="0" applyFont="1" applyFill="1" applyBorder="1" applyAlignment="1">
      <alignment horizontal="center"/>
    </xf>
    <xf numFmtId="0" fontId="0" fillId="16" borderId="2" xfId="0" applyFont="1" applyFill="1" applyBorder="1" applyAlignment="1">
      <alignment horizontal="center"/>
    </xf>
    <xf numFmtId="0" fontId="0" fillId="16" borderId="24" xfId="0" applyFont="1" applyFill="1" applyBorder="1" applyAlignment="1">
      <alignment horizontal="center"/>
    </xf>
    <xf numFmtId="0" fontId="0" fillId="16" borderId="25" xfId="0" applyFont="1" applyFill="1" applyBorder="1" applyAlignment="1">
      <alignment horizontal="center"/>
    </xf>
    <xf numFmtId="0" fontId="0" fillId="16" borderId="7" xfId="0" applyFont="1" applyFill="1" applyBorder="1" applyAlignment="1">
      <alignment horizontal="center"/>
    </xf>
    <xf numFmtId="0" fontId="0" fillId="16" borderId="6" xfId="0" applyFont="1" applyFill="1" applyBorder="1" applyAlignment="1">
      <alignment horizontal="center"/>
    </xf>
    <xf numFmtId="0" fontId="0" fillId="16" borderId="1" xfId="0" applyFont="1" applyFill="1" applyBorder="1" applyAlignment="1">
      <alignment horizontal="center"/>
    </xf>
    <xf numFmtId="0" fontId="0" fillId="16" borderId="7" xfId="0" applyFill="1" applyBorder="1" applyAlignment="1">
      <alignment horizontal="center"/>
    </xf>
    <xf numFmtId="0" fontId="0" fillId="16" borderId="26" xfId="0" applyFill="1" applyBorder="1" applyAlignment="1">
      <alignment horizontal="center"/>
    </xf>
    <xf numFmtId="0" fontId="0" fillId="16" borderId="0" xfId="0" applyFill="1" applyBorder="1" applyAlignment="1">
      <alignment horizontal="center"/>
    </xf>
    <xf numFmtId="0" fontId="0" fillId="16" borderId="24" xfId="0" applyFill="1" applyBorder="1" applyAlignment="1">
      <alignment horizontal="center"/>
    </xf>
    <xf numFmtId="0" fontId="0" fillId="16" borderId="27" xfId="0" applyFont="1" applyFill="1" applyBorder="1" applyAlignment="1">
      <alignment horizontal="center"/>
    </xf>
    <xf numFmtId="0" fontId="0" fillId="16" borderId="8" xfId="0" applyFont="1" applyFill="1" applyBorder="1" applyAlignment="1">
      <alignment horizontal="center"/>
    </xf>
    <xf numFmtId="0" fontId="0" fillId="16" borderId="4" xfId="0" applyFont="1" applyFill="1" applyBorder="1" applyAlignment="1">
      <alignment horizontal="center"/>
    </xf>
    <xf numFmtId="0" fontId="0" fillId="16" borderId="5" xfId="0" applyFont="1" applyFill="1" applyBorder="1" applyAlignment="1">
      <alignment horizontal="center"/>
    </xf>
    <xf numFmtId="0" fontId="0" fillId="16" borderId="8" xfId="0" applyFill="1" applyBorder="1" applyAlignment="1">
      <alignment horizontal="center"/>
    </xf>
    <xf numFmtId="0" fontId="0" fillId="16" borderId="28" xfId="0" applyFill="1" applyBorder="1" applyAlignment="1">
      <alignment horizontal="center"/>
    </xf>
    <xf numFmtId="0" fontId="0" fillId="16" borderId="26" xfId="0" applyFont="1" applyFill="1" applyBorder="1" applyAlignment="1">
      <alignment horizontal="center"/>
    </xf>
    <xf numFmtId="0" fontId="0" fillId="16" borderId="28" xfId="0" applyFont="1" applyFill="1" applyBorder="1" applyAlignment="1">
      <alignment horizontal="center"/>
    </xf>
    <xf numFmtId="0" fontId="12" fillId="16" borderId="25" xfId="0" applyFont="1" applyFill="1" applyBorder="1" applyAlignment="1">
      <alignment horizontal="center"/>
    </xf>
    <xf numFmtId="0" fontId="12" fillId="16" borderId="7" xfId="0" applyFont="1" applyFill="1" applyBorder="1" applyAlignment="1">
      <alignment horizontal="center"/>
    </xf>
    <xf numFmtId="0" fontId="12" fillId="16" borderId="6" xfId="0" applyFont="1" applyFill="1" applyBorder="1" applyAlignment="1">
      <alignment horizontal="center"/>
    </xf>
    <xf numFmtId="0" fontId="12" fillId="16" borderId="1" xfId="0" applyFont="1" applyFill="1" applyBorder="1" applyAlignment="1">
      <alignment horizontal="center"/>
    </xf>
    <xf numFmtId="0" fontId="12" fillId="16" borderId="26" xfId="0" applyFont="1" applyFill="1" applyBorder="1" applyAlignment="1">
      <alignment horizontal="center"/>
    </xf>
    <xf numFmtId="0" fontId="12" fillId="16" borderId="23" xfId="0" applyFont="1" applyFill="1" applyBorder="1" applyAlignment="1">
      <alignment horizontal="center"/>
    </xf>
    <xf numFmtId="0" fontId="12" fillId="16" borderId="0" xfId="0" applyFont="1" applyFill="1" applyBorder="1" applyAlignment="1">
      <alignment horizontal="center"/>
    </xf>
    <xf numFmtId="0" fontId="12" fillId="16" borderId="2" xfId="0" applyFont="1" applyFill="1" applyBorder="1" applyAlignment="1">
      <alignment horizontal="center"/>
    </xf>
    <xf numFmtId="0" fontId="12" fillId="16" borderId="3" xfId="0" applyFont="1" applyFill="1" applyBorder="1" applyAlignment="1">
      <alignment horizontal="center"/>
    </xf>
    <xf numFmtId="0" fontId="12" fillId="16" borderId="24" xfId="0" applyFont="1" applyFill="1" applyBorder="1" applyAlignment="1">
      <alignment horizontal="center"/>
    </xf>
    <xf numFmtId="0" fontId="12" fillId="16" borderId="29" xfId="0" applyFont="1" applyFill="1" applyBorder="1" applyAlignment="1">
      <alignment horizontal="center"/>
    </xf>
    <xf numFmtId="0" fontId="12" fillId="16" borderId="31" xfId="0" applyFont="1" applyFill="1" applyBorder="1" applyAlignment="1">
      <alignment horizontal="center"/>
    </xf>
    <xf numFmtId="0" fontId="12" fillId="16" borderId="32" xfId="0" applyFont="1" applyFill="1" applyBorder="1" applyAlignment="1">
      <alignment horizontal="center"/>
    </xf>
    <xf numFmtId="0" fontId="12" fillId="16" borderId="30" xfId="0" applyFont="1" applyFill="1" applyBorder="1" applyAlignment="1">
      <alignment horizontal="center"/>
    </xf>
    <xf numFmtId="0" fontId="12" fillId="16" borderId="33" xfId="0" applyFont="1" applyFill="1" applyBorder="1" applyAlignment="1">
      <alignment horizontal="center"/>
    </xf>
    <xf numFmtId="0" fontId="0" fillId="0" borderId="34" xfId="0" applyFont="1" applyBorder="1"/>
    <xf numFmtId="0" fontId="0" fillId="0" borderId="16" xfId="0" applyFont="1" applyBorder="1"/>
    <xf numFmtId="0" fontId="12" fillId="0" borderId="16" xfId="0" applyFont="1" applyBorder="1"/>
    <xf numFmtId="0" fontId="0" fillId="0" borderId="20" xfId="0" applyFont="1" applyBorder="1"/>
    <xf numFmtId="0" fontId="0" fillId="0" borderId="35" xfId="0" applyFont="1" applyBorder="1"/>
    <xf numFmtId="0" fontId="0" fillId="0" borderId="24" xfId="0" applyFont="1" applyBorder="1"/>
    <xf numFmtId="0" fontId="0" fillId="0" borderId="28" xfId="0" applyFont="1" applyBorder="1"/>
    <xf numFmtId="0" fontId="0" fillId="0" borderId="36" xfId="0" applyFont="1" applyBorder="1"/>
    <xf numFmtId="0" fontId="0" fillId="0" borderId="31" xfId="0" applyFont="1" applyBorder="1"/>
    <xf numFmtId="0" fontId="12" fillId="0" borderId="31" xfId="0" applyFont="1" applyBorder="1"/>
    <xf numFmtId="0" fontId="0" fillId="0" borderId="33" xfId="0" applyFont="1" applyBorder="1"/>
    <xf numFmtId="0" fontId="12" fillId="0" borderId="20" xfId="0" applyFont="1" applyBorder="1"/>
    <xf numFmtId="0" fontId="12" fillId="0" borderId="24" xfId="0" applyFont="1" applyBorder="1"/>
    <xf numFmtId="0" fontId="12" fillId="0" borderId="33" xfId="0" applyFont="1" applyBorder="1"/>
    <xf numFmtId="0" fontId="21" fillId="2" borderId="7" xfId="0" applyFont="1" applyFill="1" applyBorder="1"/>
    <xf numFmtId="0" fontId="12" fillId="0" borderId="26" xfId="0" applyFont="1" applyBorder="1"/>
    <xf numFmtId="0" fontId="12" fillId="0" borderId="28" xfId="0" applyFont="1" applyBorder="1"/>
    <xf numFmtId="0" fontId="0" fillId="0" borderId="37" xfId="0" applyFont="1" applyBorder="1"/>
    <xf numFmtId="0" fontId="0" fillId="0" borderId="38" xfId="0" applyFont="1" applyBorder="1"/>
    <xf numFmtId="0" fontId="0" fillId="2" borderId="34" xfId="0" applyFill="1" applyBorder="1"/>
    <xf numFmtId="0" fontId="1" fillId="2" borderId="20" xfId="0" applyFont="1" applyFill="1" applyBorder="1" applyAlignment="1">
      <alignment horizontal="left"/>
    </xf>
    <xf numFmtId="0" fontId="1" fillId="2" borderId="39" xfId="0" applyFont="1" applyFill="1" applyBorder="1"/>
    <xf numFmtId="0" fontId="1" fillId="2" borderId="22" xfId="0" applyFont="1" applyFill="1" applyBorder="1" applyAlignment="1">
      <alignment horizontal="left"/>
    </xf>
    <xf numFmtId="0" fontId="0" fillId="0" borderId="23" xfId="0" applyBorder="1"/>
    <xf numFmtId="0" fontId="0" fillId="0" borderId="24" xfId="0" applyFill="1" applyBorder="1" applyAlignment="1">
      <alignment horizontal="center"/>
    </xf>
    <xf numFmtId="0" fontId="0" fillId="0" borderId="29" xfId="0" applyBorder="1"/>
    <xf numFmtId="0" fontId="0" fillId="0" borderId="33" xfId="0" applyFill="1" applyBorder="1" applyAlignment="1">
      <alignment horizontal="center"/>
    </xf>
    <xf numFmtId="0" fontId="0" fillId="0" borderId="25" xfId="0" applyBorder="1"/>
    <xf numFmtId="0" fontId="0" fillId="0" borderId="26" xfId="0" applyFill="1" applyBorder="1" applyAlignment="1">
      <alignment horizontal="center"/>
    </xf>
    <xf numFmtId="0" fontId="0" fillId="0" borderId="27" xfId="0" applyBorder="1"/>
    <xf numFmtId="0" fontId="0" fillId="0" borderId="28" xfId="0" applyFill="1" applyBorder="1" applyAlignment="1">
      <alignment horizontal="center"/>
    </xf>
    <xf numFmtId="0" fontId="12" fillId="0" borderId="28" xfId="0" applyFont="1" applyFill="1" applyBorder="1" applyAlignment="1">
      <alignment horizontal="center"/>
    </xf>
    <xf numFmtId="0" fontId="0" fillId="2" borderId="12" xfId="0" applyFill="1" applyBorder="1" applyAlignment="1">
      <alignment horizontal="left"/>
    </xf>
    <xf numFmtId="0" fontId="1" fillId="2" borderId="12" xfId="0" applyFont="1" applyFill="1" applyBorder="1"/>
    <xf numFmtId="0" fontId="3" fillId="8" borderId="12" xfId="0" applyFont="1" applyFill="1" applyBorder="1" applyAlignment="1">
      <alignment horizontal="center" vertical="top"/>
    </xf>
    <xf numFmtId="0" fontId="18" fillId="2" borderId="12" xfId="0" applyFont="1" applyFill="1" applyBorder="1"/>
    <xf numFmtId="0" fontId="1" fillId="0" borderId="12" xfId="0" applyFont="1" applyFill="1" applyBorder="1"/>
    <xf numFmtId="0" fontId="5" fillId="0" borderId="12" xfId="0" applyFont="1" applyBorder="1"/>
    <xf numFmtId="0" fontId="5" fillId="17" borderId="12" xfId="0" applyFont="1" applyFill="1" applyBorder="1"/>
    <xf numFmtId="0" fontId="23" fillId="17" borderId="12" xfId="0" applyFont="1" applyFill="1" applyBorder="1"/>
    <xf numFmtId="0" fontId="23" fillId="0" borderId="12" xfId="0" applyFont="1" applyBorder="1"/>
    <xf numFmtId="0" fontId="16" fillId="17" borderId="12" xfId="0" applyFont="1" applyFill="1" applyBorder="1"/>
    <xf numFmtId="0" fontId="5" fillId="0" borderId="12" xfId="0" applyFont="1" applyFill="1" applyBorder="1"/>
    <xf numFmtId="0" fontId="1" fillId="2" borderId="12" xfId="0" applyFont="1" applyFill="1" applyBorder="1" applyAlignment="1">
      <alignment horizontal="right"/>
    </xf>
    <xf numFmtId="0" fontId="0" fillId="17" borderId="12" xfId="0" applyFill="1" applyBorder="1"/>
    <xf numFmtId="0" fontId="0" fillId="0" borderId="12" xfId="0" applyFill="1" applyBorder="1"/>
    <xf numFmtId="49" fontId="0" fillId="5" borderId="12" xfId="0" applyNumberFormat="1" applyFill="1" applyBorder="1"/>
    <xf numFmtId="49" fontId="0" fillId="17" borderId="12" xfId="0" applyNumberFormat="1" applyFill="1" applyBorder="1"/>
    <xf numFmtId="49" fontId="3" fillId="0" borderId="12" xfId="0" applyNumberFormat="1" applyFont="1" applyBorder="1"/>
    <xf numFmtId="49" fontId="3" fillId="17" borderId="12" xfId="0" applyNumberFormat="1" applyFont="1" applyFill="1" applyBorder="1"/>
    <xf numFmtId="49" fontId="0" fillId="0" borderId="12" xfId="0" applyNumberFormat="1" applyBorder="1"/>
    <xf numFmtId="49" fontId="0" fillId="0" borderId="12" xfId="0" applyNumberFormat="1" applyFill="1" applyBorder="1"/>
    <xf numFmtId="49" fontId="0" fillId="3" borderId="12" xfId="0" applyNumberFormat="1" applyFill="1" applyBorder="1" applyAlignment="1">
      <alignment horizontal="left"/>
    </xf>
    <xf numFmtId="49" fontId="0" fillId="3" borderId="12" xfId="0" applyNumberFormat="1" applyFont="1" applyFill="1" applyBorder="1" applyAlignment="1">
      <alignment horizontal="left"/>
    </xf>
    <xf numFmtId="49" fontId="12" fillId="17" borderId="12" xfId="0" applyNumberFormat="1" applyFont="1" applyFill="1" applyBorder="1"/>
    <xf numFmtId="49" fontId="3" fillId="0" borderId="12" xfId="0" applyNumberFormat="1" applyFont="1" applyFill="1" applyBorder="1"/>
    <xf numFmtId="49" fontId="0" fillId="5" borderId="12" xfId="0" applyNumberFormat="1" applyFill="1" applyBorder="1" applyAlignment="1">
      <alignment horizontal="center"/>
    </xf>
    <xf numFmtId="49" fontId="12" fillId="0" borderId="12" xfId="0" applyNumberFormat="1" applyFont="1" applyFill="1" applyBorder="1"/>
    <xf numFmtId="0" fontId="12" fillId="0" borderId="12" xfId="0" applyFont="1" applyBorder="1"/>
    <xf numFmtId="0" fontId="25" fillId="6" borderId="12" xfId="0" applyFont="1" applyFill="1" applyBorder="1"/>
    <xf numFmtId="0" fontId="12" fillId="0" borderId="12" xfId="0" applyFont="1" applyBorder="1" applyAlignment="1">
      <alignment horizontal="left"/>
    </xf>
    <xf numFmtId="49" fontId="3" fillId="3" borderId="12" xfId="0" applyNumberFormat="1" applyFont="1" applyFill="1" applyBorder="1" applyAlignment="1">
      <alignment horizontal="left"/>
    </xf>
    <xf numFmtId="49" fontId="12" fillId="0" borderId="12" xfId="0" applyNumberFormat="1" applyFont="1" applyBorder="1"/>
    <xf numFmtId="49" fontId="15" fillId="0" borderId="12" xfId="0" applyNumberFormat="1" applyFont="1" applyFill="1" applyBorder="1"/>
    <xf numFmtId="0" fontId="3" fillId="0" borderId="12" xfId="0" applyFont="1" applyBorder="1" applyAlignment="1">
      <alignment horizontal="left"/>
    </xf>
    <xf numFmtId="49" fontId="12" fillId="3" borderId="12" xfId="0" applyNumberFormat="1" applyFont="1" applyFill="1" applyBorder="1" applyAlignment="1">
      <alignment horizontal="left"/>
    </xf>
    <xf numFmtId="0" fontId="3" fillId="17" borderId="12" xfId="0" applyFont="1" applyFill="1" applyBorder="1"/>
    <xf numFmtId="0" fontId="0" fillId="0" borderId="12" xfId="0" applyFill="1" applyBorder="1" applyAlignment="1">
      <alignment horizontal="center"/>
    </xf>
    <xf numFmtId="0" fontId="24" fillId="0" borderId="12" xfId="0" applyFont="1" applyBorder="1" applyAlignment="1">
      <alignment vertical="center"/>
    </xf>
    <xf numFmtId="0" fontId="0" fillId="2" borderId="12" xfId="0" applyFill="1" applyBorder="1"/>
    <xf numFmtId="0" fontId="3" fillId="0" borderId="0" xfId="0" applyFont="1" applyAlignment="1">
      <alignment wrapText="1"/>
    </xf>
    <xf numFmtId="0" fontId="1" fillId="2" borderId="2" xfId="0" applyFont="1" applyFill="1" applyBorder="1" applyAlignment="1">
      <alignment horizontal="left"/>
    </xf>
    <xf numFmtId="0" fontId="1" fillId="2" borderId="0" xfId="0" applyFont="1" applyFill="1" applyBorder="1" applyAlignment="1">
      <alignment horizontal="left"/>
    </xf>
    <xf numFmtId="0" fontId="0" fillId="0" borderId="0" xfId="0" applyAlignment="1"/>
    <xf numFmtId="0" fontId="1" fillId="2" borderId="12" xfId="0" applyFont="1" applyFill="1" applyBorder="1"/>
    <xf numFmtId="0" fontId="1" fillId="2" borderId="12" xfId="0" applyFont="1" applyFill="1" applyBorder="1" applyAlignment="1">
      <alignment horizontal="center"/>
    </xf>
    <xf numFmtId="0" fontId="1" fillId="2" borderId="12" xfId="0" applyFont="1" applyFill="1" applyBorder="1" applyAlignment="1">
      <alignment horizontal="left"/>
    </xf>
    <xf numFmtId="165" fontId="4" fillId="4" borderId="6" xfId="0" applyNumberFormat="1" applyFont="1" applyFill="1" applyBorder="1" applyAlignment="1">
      <alignment horizontal="left"/>
    </xf>
    <xf numFmtId="165" fontId="4" fillId="4" borderId="1" xfId="0" applyNumberFormat="1" applyFont="1" applyFill="1" applyBorder="1" applyAlignment="1">
      <alignment horizontal="left"/>
    </xf>
  </cellXfs>
  <cellStyles count="1">
    <cellStyle name="Standard" xfId="0" builtinId="0"/>
  </cellStyles>
  <dxfs count="218">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FA8D74"/>
      <color rgb="FFC7A48B"/>
      <color rgb="FFD5CFC5"/>
      <color rgb="FFBAB9A8"/>
      <color rgb="FF9BA38F"/>
      <color rgb="FF798F7B"/>
      <color rgb="FF567C6B"/>
      <color rgb="FF2F6860"/>
      <color rgb="FFBBB2A1"/>
      <color rgb="FFC5BD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Simon Haug" id="{3A902CF0-782B-438A-AE8F-CFA88F96C364}" userId="S::simon.haug@ost.ch::ca0e39b8-b1da-4b15-9664-419e181c989f" providerId="AD"/>
  <person displayName="Samuel Kolb" id="{1950299E-D59F-4C68-B72B-6A8E22276365}" userId="S::samuel.kolb@ost.ch::e80832ae-9c23-4ae2-9b5d-643f3fd7ae23"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 dT="2022-10-28T10:05:43.18" personId="{1950299E-D59F-4C68-B72B-6A8E22276365}" id="{181C23A9-FBD0-416A-ABE6-1A8231986171}">
    <text>zählen nicht zum Bedarf am VM</text>
  </threadedComment>
  <threadedComment ref="A11" dT="2022-10-04T08:46:22.92" personId="{1950299E-D59F-4C68-B72B-6A8E22276365}" id="{4221ACCF-D59B-4DFB-A360-B53BBDC0309E}">
    <text>"Nicht Vor Früh": Für "Früh vor Frei" - Regel relevant</text>
  </threadedComment>
  <threadedComment ref="A14" dT="2022-10-06T15:29:30.25" personId="{3A902CF0-782B-438A-AE8F-CFA88F96C364}" id="{2CDE19F9-8357-41D8-8929-F6D3A2CC3ADC}">
    <text>Für Planungswunsch: Jeden 1. Montag F1 oder G1. Mit Reinhard besprechen</text>
  </threadedComment>
  <threadedComment ref="A14" dT="2022-10-11T05:55:54.33" personId="{3A902CF0-782B-438A-AE8F-CFA88F96C364}" id="{F84BDA36-0892-4AE8-A9AF-ED3C50FEE01B}" parentId="{2CDE19F9-8357-41D8-8929-F6D3A2CC3ADC}">
    <text>Wird im Planungswunsch 2.0 berücksichtigt. In Version 1.0 noch nicht</text>
  </threadedComment>
</ThreadedComments>
</file>

<file path=xl/threadedComments/threadedComment2.xml><?xml version="1.0" encoding="utf-8"?>
<ThreadedComments xmlns="http://schemas.microsoft.com/office/spreadsheetml/2018/threadedcomments" xmlns:x="http://schemas.openxmlformats.org/spreadsheetml/2006/main">
  <threadedComment ref="A9" dT="2022-09-13T15:34:47.46" personId="{1950299E-D59F-4C68-B72B-6A8E22276365}" id="{8C38C316-0E5C-42A7-9005-E4D5C956B827}">
    <text>Alltagsmanagement (nur spezifische MA)</text>
  </threadedComment>
</ThreadedComments>
</file>

<file path=xl/threadedComments/threadedComment3.xml><?xml version="1.0" encoding="utf-8"?>
<ThreadedComments xmlns="http://schemas.microsoft.com/office/spreadsheetml/2018/threadedcomments" xmlns:x="http://schemas.openxmlformats.org/spreadsheetml/2006/main">
  <threadedComment ref="J2" dT="2022-09-21T12:17:08.10" personId="{1950299E-D59F-4C68-B72B-6A8E22276365}" id="{368F9C3A-D68C-4FAA-9C10-9AC114584D8A}">
    <text>Nur zur Kontrolle:
Überall Ruhezeit so einstellen, dass früheste Schicht möglich ist = 07:00 (F1, K2)</text>
  </threadedComment>
  <threadedComment ref="A3" dT="2022-09-21T12:14:25.01" personId="{1950299E-D59F-4C68-B72B-6A8E22276365}" id="{01D24022-2A7E-4648-A820-96D68F4FD771}">
    <text>B2: 08:00 - 12:00, 13:00 - 16:00
Doku: ?</text>
  </threadedComment>
  <threadedComment ref="A3" dT="2022-10-28T08:42:28.82" personId="{1950299E-D59F-4C68-B72B-6A8E22276365}" id="{35D9733C-5244-4D0A-A44C-7649671D6D40}" parentId="{01D24022-2A7E-4648-A820-96D68F4FD771}">
    <text>Doku wird immer nachträglich eingeplant, nicht relevant für uns</text>
  </threadedComment>
  <threadedComment ref="A4" dT="2022-09-21T12:14:47.13" personId="{1950299E-D59F-4C68-B72B-6A8E22276365}" id="{B7CEF5A9-64F5-42AC-8692-6BBCCB4EB950}">
    <text>K2: 07:00 - 13:00
-&gt;: ?</text>
  </threadedComment>
  <threadedComment ref="A4" dT="2022-10-28T08:42:00.54" personId="{1950299E-D59F-4C68-B72B-6A8E22276365}" id="{A4509D26-ADA9-4894-BCD6-DBBD410CC68E}" parentId="{B7CEF5A9-64F5-42AC-8692-6BBCCB4EB950}">
    <text>-&gt; meistens so dass insgesamt 8:24 ergibt
Bedarf nur K2</text>
  </threadedComment>
  <threadedComment ref="A5" dT="2022-09-21T12:13:40.11" personId="{1950299E-D59F-4C68-B72B-6A8E22276365}" id="{38A643DB-1C61-48ED-8907-6918B03183AE}">
    <text>K2: 07:00 - 13:00
Doku: ?</text>
  </threadedComment>
  <threadedComment ref="A6" dT="2022-09-21T12:13:17.23" personId="{1950299E-D59F-4C68-B72B-6A8E22276365}" id="{925F4B96-1839-4C77-90E9-89299F558C87}">
    <text>A2: 07:30 - 13:15
Doku: ?</text>
  </threadedComment>
  <threadedComment ref="A7" dT="2022-09-21T12:11:46.70" personId="{1950299E-D59F-4C68-B72B-6A8E22276365}" id="{489A08AF-ACEB-49DB-9A20-57C529744910}">
    <text>Doku: ?
S2: 11:30 - 13:00, 13:45 - 20:30</text>
  </threadedComment>
</ThreadedComments>
</file>

<file path=xl/threadedComments/threadedComment4.xml><?xml version="1.0" encoding="utf-8"?>
<ThreadedComments xmlns="http://schemas.microsoft.com/office/spreadsheetml/2018/threadedcomments" xmlns:x="http://schemas.openxmlformats.org/spreadsheetml/2006/main">
  <threadedComment ref="C12" dT="2022-11-23T06:36:32.07" personId="{3A902CF0-782B-438A-AE8F-CFA88F96C364}" id="{5C45E80F-43C8-4BF7-AC52-1D2BEA69EFDE}">
    <text>40</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2-10-04T13:25:27.61" personId="{1950299E-D59F-4C68-B72B-6A8E22276365}" id="{5BA7B08D-EE5A-46BC-8DF4-3DB1B6B9CC85}">
    <text xml:space="preserve">Leitung, Fachpersonal mit Diplom, Fachpersonal mit Fähigkeitszeugnis </text>
  </threadedComment>
  <threadedComment ref="C3" dT="2022-11-30T16:42:32.81" personId="{1950299E-D59F-4C68-B72B-6A8E22276365}" id="{3DAC995F-A1E5-433C-93D6-9AC564A57C21}">
    <text>Du kannst die Demands nun einfacher eingeben mit: KAT1 KAT2 … - SHIFT_TYPE_GROUP 
siehe KSA</text>
  </threadedComment>
  <threadedComment ref="B10" dT="2022-10-04T13:25:46.87" personId="{1950299E-D59F-4C68-B72B-6A8E22276365}" id="{BD3CA575-D269-453A-92BC-8CAD58705714}">
    <text>Leitung, Fachpersonal mit Diplom, Fachpersonal mit Fähigkeitszeugnis, Mitarbeitende</text>
  </threadedComment>
  <threadedComment ref="C10" dT="2022-09-21T08:37:51.38" personId="{1950299E-D59F-4C68-B72B-6A8E22276365}" id="{650532A6-D6FB-4821-BBA5-63290B4C7AA1}">
    <text>MA dürfen kein G2 machen. Hier trotzdem aufnehmen, da Leitung, Dipl, FaGe diesen machen dürfen und dann einfach den Mitarbeitenden G2 explilzit in MA-Profil verbieten?</text>
  </threadedComment>
  <threadedComment ref="C10" dT="2022-10-10T09:03:06.96" personId="{3A902CF0-782B-438A-AE8F-CFA88F96C364}" id="{F323422B-B931-4BD6-AEBB-F51A65DA216A}" parentId="{650532A6-D6FB-4821-BBA5-63290B4C7AA1}">
    <text>eher MA - G2 hier nicht aufnehmen</text>
  </threadedComment>
  <threadedComment ref="W15" dT="2022-12-02T21:29:13.71" personId="{1950299E-D59F-4C68-B72B-6A8E22276365}" id="{510A080C-1D8F-4CF6-98DE-D4F2A29CD733}">
    <text>max. 2 aus Pflege -&gt; wenn 3. Person, dann Lernende</text>
  </threadedComment>
  <threadedComment ref="W16" dT="2022-12-02T11:16:03.73" personId="{1950299E-D59F-4C68-B72B-6A8E22276365}" id="{F9666DD0-3A94-41F0-A83F-101BB3962996}">
    <text>nicht 2 Leute bis halb 9</text>
  </threadedComment>
  <threadedComment ref="C17" dT="2022-11-30T16:42:32.81" personId="{1950299E-D59F-4C68-B72B-6A8E22276365}" id="{DB58E230-F509-4343-913B-9F41846A0BF0}">
    <text>Du kannst die Demands nun einfacher eingeben mit: KAT1 KAT2 … - SHIFT_TYPE_GROUP 
siehe KSA</text>
  </threadedComment>
  <threadedComment ref="B21" dT="2022-10-04T13:26:20.04" personId="{1950299E-D59F-4C68-B72B-6A8E22276365}" id="{72DC2149-CB1D-485A-98E4-09CC0607A1AD}">
    <text>Mitarbeitende
Bedarf Alma's neu:
entweder A1 oder A3+A5 oder A2+A6</text>
  </threadedComment>
  <threadedComment ref="B25" dT="2022-11-23T11:47:15.70" personId="{1950299E-D59F-4C68-B72B-6A8E22276365}" id="{4524A761-B114-4455-8C29-A19D40225EEE}">
    <text>Bedarfsprofil für WE hat andere Zeiten, nicht nur andere Bedarfe, deshalb hier separat definiert.</text>
  </threadedComment>
</ThreadedComments>
</file>

<file path=xl/threadedComments/threadedComment6.xml><?xml version="1.0" encoding="utf-8"?>
<ThreadedComments xmlns="http://schemas.microsoft.com/office/spreadsheetml/2018/threadedcomments" xmlns:x="http://schemas.openxmlformats.org/spreadsheetml/2006/main">
  <threadedComment ref="T2" dT="2022-10-03T18:05:06.01" personId="{1950299E-D59F-4C68-B72B-6A8E22276365}" id="{B08FAD5B-4D3A-4B50-BE34-5A1EE4398F39}">
    <text>generelle Regel LAK: min. 1, opt. 2 WE frei</text>
  </threadedComment>
  <threadedComment ref="K4" dT="2022-11-22T15:50:37.57" personId="{3A902CF0-782B-438A-AE8F-CFA88F96C364}" id="{21180379-9C6B-4A6B-A6D0-945AF2D9B1B2}">
    <text>24-48</text>
  </threadedComment>
  <threadedComment ref="N4" dT="2022-11-16T16:44:34.56" personId="{3A902CF0-782B-438A-AE8F-CFA88F96C364}" id="{C3BD9067-7224-47E5-9F0D-B6F54BE18CCA}">
    <text>NVF - NULL</text>
  </threadedComment>
  <threadedComment ref="C5" dT="2022-11-15T15:11:46.92" personId="{3A902CF0-782B-438A-AE8F-CFA88F96C364}" id="{ABC12D9C-5704-4BAE-8BD7-6CC517F7CC17}">
    <text>Mi, Do - 13:00 - 24:00</text>
  </threadedComment>
  <threadedComment ref="I5" dT="2022-09-20T16:27:38.73" personId="{1950299E-D59F-4C68-B72B-6A8E22276365}" id="{43A21E61-4C79-44EF-9DBB-033B6485E3CA}">
    <text>Falls nötig, hier pro Monat einstellen, z.B. Januar 23:
B2 : 14 - 9, B2M : 4 - 0
"Büro-Regel Monika" bereits gelöst mittels:
- Bedarfe
- Un-/Beliebte Dienste
- live-daten (Abmachungen)</text>
  </threadedComment>
  <threadedComment ref="T5" dT="2022-09-21T08:21:31.63" personId="{1950299E-D59F-4C68-B72B-6A8E22276365}" id="{AEC3ED95-229D-47A2-8BB7-4D89DD658C6E}">
    <text>Bereit, 2 WE zu arbeiten</text>
  </threadedComment>
  <threadedComment ref="J6" dT="2022-12-02T22:24:33.47" personId="{1950299E-D59F-4C68-B72B-6A8E22276365}" id="{F7195FF4-BA68-47B4-ADE5-140BCB71DECF}">
    <text>war 3 - 5</text>
  </threadedComment>
  <threadedComment ref="K6" dT="2022-12-02T22:28:55.35" personId="{1950299E-D59F-4C68-B72B-6A8E22276365}" id="{8123F641-7B48-4434-8A5C-8A4A5EF870C8}">
    <text>um zu verhindern, dass nach Früh nur 1 Tag frei und dann Spät</text>
  </threadedComment>
  <threadedComment ref="T6" dT="2022-10-03T17:39:41.00" personId="{1950299E-D59F-4C68-B72B-6A8E22276365}" id="{CA7231A0-2C3B-4D23-AB57-57463718009E}">
    <text>Bereit, 2 WE zu arbeiten</text>
  </threadedComment>
  <threadedComment ref="T7" dT="2022-10-03T17:38:22.75" personId="{1950299E-D59F-4C68-B72B-6A8E22276365}" id="{CCD7E3E1-3479-4553-82B7-C577228190E2}">
    <text>Bereit, 2-3 WE zu arbeiten</text>
  </threadedComment>
  <threadedComment ref="G8" dT="2022-11-24T10:36:54.65" personId="{1950299E-D59F-4C68-B72B-6A8E22276365}" id="{C5C3557A-0276-4731-B05E-39AE4CF68AF7}">
    <text>F, S2 von uns hinzugefügt, um G noch unbeliebter zu machen?</text>
  </threadedComment>
  <threadedComment ref="I8" dT="2022-11-24T10:39:00.10" personId="{1950299E-D59F-4C68-B72B-6A8E22276365}" id="{DD10E734-49F5-4450-A328-4EF7A0AD7123}">
    <text>G: 4 - 0 von uns hinzugefügt, um G noch unbeliebter zu machen</text>
  </threadedComment>
  <threadedComment ref="K8" dT="2022-12-02T22:28:55.35" personId="{1950299E-D59F-4C68-B72B-6A8E22276365}" id="{C617703C-6D5F-420C-8513-E86215805237}">
    <text>um zu verhindern, dass nach Früh nur 1 Tag frei und dann Spät</text>
  </threadedComment>
  <threadedComment ref="T8" dT="2022-10-03T17:39:41.00" personId="{1950299E-D59F-4C68-B72B-6A8E22276365}" id="{5B1674BA-FBF1-4B58-B21F-B567600A6AFC}">
    <text>Bereit, 2 WE zu arbeiten</text>
  </threadedComment>
  <threadedComment ref="C9" dT="2022-11-23T17:11:41.16" personId="{1950299E-D59F-4C68-B72B-6A8E22276365}" id="{8BD7A389-6502-4140-8C4B-4C8E3EE9D1FB}">
    <text>war nur "Di"</text>
  </threadedComment>
  <threadedComment ref="H9" dT="2022-10-28T11:05:25.85" personId="{1950299E-D59F-4C68-B72B-6A8E22276365}" id="{D561D6F3-0ABF-407C-A1D5-4AA11CE6E0E8}">
    <text>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text>
  </threadedComment>
  <threadedComment ref="H9" dT="2022-12-01T11:53:50.21" personId="{1950299E-D59F-4C68-B72B-6A8E22276365}" id="{B1BC8DB9-F6C1-42D2-8BFD-8531BB01232D}" parentId="{D561D6F3-0ABF-407C-A1D5-4AA11CE6E0E8}">
    <text>aktuell verbieten wir diese Wochentage -&gt; falls später wieder nötig: PFvor16 - Mo Di Mi Fr</text>
  </threadedComment>
  <threadedComment ref="T9" dT="2022-10-03T17:46:35.95" personId="{1950299E-D59F-4C68-B72B-6A8E22276365}" id="{838B26F5-A664-455E-A199-389121371BA5}">
    <text>Bereit, 2/4 oder 3/5 zu arbeiten</text>
  </threadedComment>
  <threadedComment ref="C10" dT="2022-11-15T15:11:56.23" personId="{3A902CF0-782B-438A-AE8F-CFA88F96C364}" id="{40A3AA59-DCB9-4CF6-A18C-5CB6A5F45378}">
    <text>Mo, Di -16:00 - 24:00, Do - 13:00 - 24:00</text>
  </threadedComment>
  <threadedComment ref="J10" dT="2022-11-23T17:16:28.04" personId="{1950299E-D59F-4C68-B72B-6A8E22276365}" id="{483D1E06-8510-4790-AE61-CD9158A323D6}">
    <text>6 - 4 - 1</text>
  </threadedComment>
  <threadedComment ref="T10" dT="2022-10-03T17:46:35.95" personId="{1950299E-D59F-4C68-B72B-6A8E22276365}" id="{4B33E919-4F0C-44EF-AAF7-9809E5E56633}">
    <text>Bereit, 2/4 oder 3/5 zu arbeiten</text>
  </threadedComment>
  <threadedComment ref="K11" dT="2022-11-22T15:51:13.71" personId="{3A902CF0-782B-438A-AE8F-CFA88F96C364}" id="{48680C23-1B7B-4FFF-97FF-49384702DB99}">
    <text>24-72</text>
  </threadedComment>
  <threadedComment ref="L11" dT="2022-12-02T22:30:51.20" personId="{1950299E-D59F-4C68-B72B-6A8E22276365}" id="{96E644B0-5BFB-41CE-89BA-AC8861065A9F}">
    <text>war S : 5 - 1</text>
  </threadedComment>
  <threadedComment ref="T11" dT="2022-10-03T17:39:41.00" personId="{1950299E-D59F-4C68-B72B-6A8E22276365}" id="{80F256E5-019F-43DF-8C81-7C53B693C7BB}">
    <text>Bereit, 2 WE zu arbeiten</text>
  </threadedComment>
  <threadedComment ref="T12" dT="2022-10-03T17:39:41.00" personId="{1950299E-D59F-4C68-B72B-6A8E22276365}" id="{66953772-5A9C-4F20-8066-A421B7897B8E}">
    <text>Bereit, 2 WE zu arbeiten</text>
  </threadedComment>
  <threadedComment ref="B13" dT="2022-11-22T16:16:27.24" personId="{3A902CF0-782B-438A-AE8F-CFA88F96C364}" id="{416E332C-ACF3-4ED6-AC9D-9C7B5135F805}">
    <text>Arbeitspensum 90% aber nicht verfügbar MO, MI, Do, FR?</text>
  </threadedComment>
  <threadedComment ref="T13" dT="2022-10-03T17:49:52.55" personId="{1950299E-D59F-4C68-B72B-6A8E22276365}" id="{31E657C5-FF84-41A0-9F48-BF5D8FA6F92A}">
    <text>Abgemacht, max. 1 WE zu arbeiten</text>
  </threadedComment>
  <threadedComment ref="B14" dT="2022-12-01T09:09:21.26" personId="{1950299E-D59F-4C68-B72B-6A8E22276365}" id="{E98711E2-373D-411E-98C6-3CF1B7F9E774}">
    <text>nicht einplanen aktuell</text>
  </threadedComment>
  <threadedComment ref="C14" dT="2022-12-01T09:08:58.76" personId="{1950299E-D59F-4C68-B72B-6A8E22276365}" id="{1B5CE2E9-37BF-4A2B-802B-2D785CFBA69C}">
    <text>Mo, Di, Mi, Do - 13:00 - 24:00, Fr - 13:00 - 24:00, Sa - 13:00 - 24:00, So - 13:00 - 24:00</text>
  </threadedComment>
  <threadedComment ref="T14" dT="2022-10-03T17:39:41.00" personId="{1950299E-D59F-4C68-B72B-6A8E22276365}" id="{B9BC73C4-E0EE-40A5-9E7B-80B059EE5922}">
    <text>Bereit, 2 WE zu arbeiten</text>
  </threadedComment>
  <threadedComment ref="T15" dT="2022-10-03T17:39:41.00" personId="{1950299E-D59F-4C68-B72B-6A8E22276365}" id="{0D759DE9-A2AA-4155-94B6-57F582A06573}">
    <text>Bereit, 2 WE zu arbeiten</text>
  </threadedComment>
  <threadedComment ref="T16" dT="2022-10-03T17:39:41.00" personId="{1950299E-D59F-4C68-B72B-6A8E22276365}" id="{D2871115-206F-4808-B1B1-93CC052E1F24}">
    <text>Bereit, 2 WE zu arbeiten</text>
  </threadedComment>
  <threadedComment ref="K17" dT="2022-11-22T15:51:17.02" personId="{3A902CF0-782B-438A-AE8F-CFA88F96C364}" id="{5036F241-5C20-449E-A4BF-335BB72404C6}">
    <text>24-72</text>
  </threadedComment>
  <threadedComment ref="T17" dT="2022-10-03T17:39:41.00" personId="{1950299E-D59F-4C68-B72B-6A8E22276365}" id="{A79610A9-9E2F-4381-8718-768892E7200A}">
    <text>Bereit, 2 WE zu arbeiten</text>
  </threadedComment>
  <threadedComment ref="T18" dT="2022-10-03T17:39:41.00" personId="{1950299E-D59F-4C68-B72B-6A8E22276365}" id="{318FF962-BEBE-4944-9746-910485A41317}">
    <text>Bereit, 2 WE zu arbeiten</text>
  </threadedComment>
</ThreadedComments>
</file>

<file path=xl/threadedComments/threadedComment7.xml><?xml version="1.0" encoding="utf-8"?>
<ThreadedComments xmlns="http://schemas.microsoft.com/office/spreadsheetml/2018/threadedcomments" xmlns:x="http://schemas.openxmlformats.org/spreadsheetml/2006/main">
  <threadedComment ref="AX1" dT="2022-10-04T09:46:28.90" personId="{1950299E-D59F-4C68-B72B-6A8E22276365}" id="{1E092FBD-9478-43FF-B92D-0B158CE89522}">
    <text>Siehe Reglement, bei Niederprozentigen Range vergrössern! Range bis +40 h okay, für alle &lt;= 30% Angestellte MA</text>
  </threadedComment>
  <threadedComment ref="AX2" dT="2022-11-18T10:42:13.59" personId="{1950299E-D59F-4C68-B72B-6A8E22276365}" id="{FC9E9480-3A70-4EC4-BA22-9FF0C4EF2AA6}">
    <text>nach Reglement: -42 , -42 , 0 , 30
Soll aber nicht von 1 Monat auf den anderen von 30 auf -42 gehen, deshalb Rage verkleinern.</text>
  </threadedComment>
  <threadedComment ref="BB3" dT="2022-10-28T11:26:22.42" personId="{1950299E-D59F-4C68-B72B-6A8E22276365}" id="{55598D82-DEB2-40D2-A62F-63C5CAC19E3F}">
    <text>Hier gehts darum, dass Dienstlimiten über mehrere Monaten ausgeglichen werden, oder? Scheint für uns, dass im LAK dies nicht so wichtig ist. Sicherlich nicht für Büro. Was eintragen, wenn nicht darauf geschaut werden soll?</text>
  </threadedComment>
  <threadedComment ref="BB4" dT="2022-10-28T11:33:38.97" personId="{1950299E-D59F-4C68-B72B-6A8E22276365}" id="{2AFA0F1C-765E-4DF0-99B5-52C41F20BEB9}">
    <text>nur für Heidi</text>
  </threadedComment>
  <threadedComment ref="BC4" dT="2022-10-28T11:33:50.62" personId="{1950299E-D59F-4C68-B72B-6A8E22276365}" id="{70756C0D-411A-4846-B966-C6A3F1D4C145}">
    <text>Nur für Roswitha</text>
  </threadedComment>
  <threadedComment ref="AW5" dT="2022-10-05T08:30:45.17" personId="{3A902CF0-782B-438A-AE8F-CFA88F96C364}" id="{384961B6-BD18-4B2C-A96E-F3E5E6315AA1}">
    <text>Büro hier abziehen (-12h)</text>
  </threadedComment>
  <threadedComment ref="Q6" dT="2022-12-02T22:25:26.17" personId="{1950299E-D59F-4C68-B72B-6A8E22276365}" id="{B286B75A-4D8D-40C1-B99F-288382367F36}">
    <text>Dienstwunsch (fixiert)</text>
  </threadedComment>
  <threadedComment ref="O7" dT="2022-11-24T12:52:39.30" personId="{1950299E-D59F-4C68-B72B-6A8E22276365}" id="{31FF244B-57FF-41E7-BDA4-548A774F77DF}">
    <text>kein Spät vor Freiwunsch</text>
  </threadedComment>
  <threadedComment ref="P7" dT="2022-11-24T12:47:51.78" personId="{1950299E-D59F-4C68-B72B-6A8E22276365}" id="{A8D2B5EB-E89B-4C4F-9986-12B9D4FBF113}">
    <text>Freiwunsch</text>
  </threadedComment>
  <threadedComment ref="V7" dT="2022-11-24T12:52:39.30" personId="{1950299E-D59F-4C68-B72B-6A8E22276365}" id="{AAD29E90-3D40-45F1-BC1B-3328BA2B3E9F}">
    <text>kein Spät vor Freiwunsch</text>
  </threadedComment>
  <threadedComment ref="W7" dT="2022-11-24T12:47:51.78" personId="{1950299E-D59F-4C68-B72B-6A8E22276365}" id="{9D07673E-FB49-4696-B2A2-BB94289BAB33}">
    <text>Freiwunsch</text>
  </threadedComment>
  <threadedComment ref="AC7" dT="2022-11-24T12:52:39.30" personId="{1950299E-D59F-4C68-B72B-6A8E22276365}" id="{062B4C15-89C7-43D6-9C3F-B17793B41DDA}">
    <text>kein Spät vor Freiwunsch</text>
  </threadedComment>
  <threadedComment ref="AD7" dT="2022-11-24T12:47:51.78" personId="{1950299E-D59F-4C68-B72B-6A8E22276365}" id="{711DDCC4-EFDB-4195-8A37-33EC159EBF64}">
    <text>Freiwunsch</text>
  </threadedComment>
  <threadedComment ref="AJ7" dT="2022-11-24T12:52:39.30" personId="{1950299E-D59F-4C68-B72B-6A8E22276365}" id="{4B4F8838-7990-4980-AFF0-F3D35A54C524}">
    <text>kein Spät vor Freiwunsch</text>
  </threadedComment>
  <threadedComment ref="AK7" dT="2022-11-24T12:47:51.78" personId="{1950299E-D59F-4C68-B72B-6A8E22276365}" id="{FD3B0756-56E7-494F-B1E8-F6F73848DE01}">
    <text>Freiwunsch</text>
  </threadedComment>
  <threadedComment ref="L8" dT="2022-11-24T12:47:51.78" personId="{1950299E-D59F-4C68-B72B-6A8E22276365}" id="{5DD6E1BC-87E9-4720-822F-A55310F11752}">
    <text>Freiwunsch</text>
  </threadedComment>
  <threadedComment ref="M8" dT="2022-11-24T12:47:51.78" personId="{1950299E-D59F-4C68-B72B-6A8E22276365}" id="{05A295EA-5C18-4FAE-9D4C-7320F6C3C837}">
    <text>Freiwunsch</text>
  </threadedComment>
  <threadedComment ref="P8" dT="2022-11-24T12:52:39.30" personId="{1950299E-D59F-4C68-B72B-6A8E22276365}" id="{2C2F776A-D689-4DB1-B8C9-373D94C16F52}">
    <text>kein Spät vor Freiwunsch</text>
  </threadedComment>
  <threadedComment ref="Q8" dT="2022-11-24T12:47:51.78" personId="{1950299E-D59F-4C68-B72B-6A8E22276365}" id="{370EF8E2-4B07-456E-A51A-2999746B156F}">
    <text>Freiwunsch</text>
  </threadedComment>
  <threadedComment ref="R8" dT="2022-11-24T12:47:51.78" personId="{1950299E-D59F-4C68-B72B-6A8E22276365}" id="{1961CCA4-A86B-49B4-B194-EFDCF51F0590}">
    <text>Freiwunsch</text>
  </threadedComment>
  <threadedComment ref="AX9" dT="2022-11-18T10:16:45.06" personId="{1950299E-D59F-4C68-B72B-6A8E22276365}" id="{C4C0532C-2C44-435F-AA8A-1CEEA9155D24}">
    <text>-42 ,  -10 , 0 , 40</text>
  </threadedComment>
  <threadedComment ref="AK10" dT="2022-11-15T16:47:53.12" personId="{1950299E-D59F-4C68-B72B-6A8E22276365}" id="{A8B4273C-687D-4516-9E27-A0534749BD91}">
    <text>F1 oder frei</text>
  </threadedComment>
  <threadedComment ref="P11" dT="2022-12-02T16:58:06.88" personId="{1950299E-D59F-4C68-B72B-6A8E22276365}" id="{1C6D5DCC-4A67-4815-8481-D8A07961B31E}">
    <text>von uns hinzugefügt, um Bedarf für FEIERTAG nicht zu verletzen (muss F1 F1 G1 G2 sein)</text>
  </threadedComment>
  <threadedComment ref="AN12" dT="2022-11-24T12:52:39.30" personId="{1950299E-D59F-4C68-B72B-6A8E22276365}" id="{AB5D3F60-476F-41D6-905E-489088B12983}">
    <text>kein Spät vor Freiwunsch</text>
  </threadedComment>
  <threadedComment ref="AO12" dT="2022-11-24T12:47:51.78" personId="{1950299E-D59F-4C68-B72B-6A8E22276365}" id="{D896B989-678C-45DF-9DF7-BBCE2A5A4082}">
    <text>Freiwunsch</text>
  </threadedComment>
  <threadedComment ref="B13" dT="2022-11-16T13:38:30.27" personId="{1950299E-D59F-4C68-B72B-6A8E22276365}" id="{0462DECF-CA7A-4FAD-8E1C-55998C8DC972}">
    <text>Ferien vs. Wunschfrei mit Monika anschauen (anrechenbare Stunden!)</text>
  </threadedComment>
  <threadedComment ref="AW14" dT="2022-11-23T09:05:55.04" personId="{1950299E-D59F-4C68-B72B-6A8E22276365}" id="{9192F4F9-86D5-44FA-8673-E5A59B81E9C0}">
    <text>aktuell 50% krankgeschrieben, eigentlicher Wert ist 2x grösser</text>
  </threadedComment>
  <threadedComment ref="O16" dT="2022-11-24T12:52:39.30" personId="{1950299E-D59F-4C68-B72B-6A8E22276365}" id="{2C5546DF-41BF-47E4-932C-8330214ADF58}">
    <text>kein Spät vor Freiwunsch</text>
  </threadedComment>
  <threadedComment ref="P16" dT="2022-11-24T12:47:51.78" personId="{1950299E-D59F-4C68-B72B-6A8E22276365}" id="{6A109248-CD15-4949-805D-EE1319B7B91C}">
    <text>Freiwunsch</text>
  </threadedComment>
  <threadedComment ref="Q16" dT="2022-11-24T12:47:51.78" personId="{1950299E-D59F-4C68-B72B-6A8E22276365}" id="{DAA90C80-98E0-4836-90B1-6E002B5B5A40}">
    <text>Freiwunsch</text>
  </threadedComment>
  <threadedComment ref="S16" dT="2022-11-24T12:52:39.30" personId="{1950299E-D59F-4C68-B72B-6A8E22276365}" id="{5515CC86-B999-4021-B633-C808DF1D03B1}">
    <text>kein Spät vor Freiwunsch</text>
  </threadedComment>
  <threadedComment ref="T16" dT="2022-11-24T12:47:51.78" personId="{1950299E-D59F-4C68-B72B-6A8E22276365}" id="{FD2566B2-36B2-485E-909F-D95BDEB2F54B}">
    <text>Freiwunsch</text>
  </threadedComment>
  <threadedComment ref="AW19" dT="2022-11-30T14:31:34.33" personId="{1950299E-D59F-4C68-B72B-6A8E22276365}" id="{15C02116-085D-4AB2-8B0F-F30A1CD2FFE9}">
    <text>von Monika Plan übernommen</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microsoft.com/office/2017/10/relationships/threadedComment" Target="../threadedComments/threadedComment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D6F9-71F1-442D-8034-4F00563218B5}">
  <sheetPr codeName="Tabelle2"/>
  <dimension ref="A1:C10"/>
  <sheetViews>
    <sheetView zoomScaleNormal="100" workbookViewId="0">
      <selection activeCell="B12" sqref="B12"/>
    </sheetView>
  </sheetViews>
  <sheetFormatPr baseColWidth="10" defaultRowHeight="12.5"/>
  <cols>
    <col min="2" max="2" width="42.6328125" bestFit="1" customWidth="1"/>
  </cols>
  <sheetData>
    <row r="1" spans="1:3" ht="13">
      <c r="A1" s="99" t="s">
        <v>185</v>
      </c>
      <c r="B1" s="100"/>
    </row>
    <row r="2" spans="1:3" ht="13">
      <c r="A2" s="101" t="s">
        <v>1</v>
      </c>
      <c r="B2" s="101" t="s">
        <v>48</v>
      </c>
      <c r="C2" s="99" t="s">
        <v>314</v>
      </c>
    </row>
    <row r="3" spans="1:3">
      <c r="A3" s="102" t="s">
        <v>114</v>
      </c>
      <c r="B3" s="103" t="s">
        <v>186</v>
      </c>
      <c r="C3" t="s">
        <v>315</v>
      </c>
    </row>
    <row r="4" spans="1:3">
      <c r="A4" s="50" t="s">
        <v>286</v>
      </c>
      <c r="B4" s="1" t="s">
        <v>187</v>
      </c>
      <c r="C4" t="s">
        <v>375</v>
      </c>
    </row>
    <row r="5" spans="1:3">
      <c r="A5" s="50" t="s">
        <v>287</v>
      </c>
      <c r="B5" s="1" t="s">
        <v>188</v>
      </c>
      <c r="C5" t="s">
        <v>374</v>
      </c>
    </row>
    <row r="6" spans="1:3">
      <c r="A6" s="50" t="s">
        <v>113</v>
      </c>
      <c r="B6" s="1" t="s">
        <v>189</v>
      </c>
      <c r="C6" t="s">
        <v>371</v>
      </c>
    </row>
    <row r="7" spans="1:3">
      <c r="A7" s="50" t="s">
        <v>401</v>
      </c>
      <c r="B7" s="1" t="s">
        <v>402</v>
      </c>
      <c r="C7" t="s">
        <v>403</v>
      </c>
    </row>
    <row r="8" spans="1:3">
      <c r="A8" s="18"/>
    </row>
    <row r="9" spans="1:3" ht="13">
      <c r="A9" s="18"/>
      <c r="B9" s="51" t="s">
        <v>184</v>
      </c>
    </row>
    <row r="10" spans="1:3">
      <c r="A10" s="18"/>
      <c r="B10" s="18"/>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7391B-0CC6-C94E-BCFC-9E618C4C5A4D}">
  <sheetPr codeName="Tabelle3"/>
  <dimension ref="A1:N37"/>
  <sheetViews>
    <sheetView topLeftCell="A6" zoomScaleNormal="100" workbookViewId="0">
      <selection activeCell="E22" sqref="E22"/>
    </sheetView>
  </sheetViews>
  <sheetFormatPr baseColWidth="10" defaultColWidth="11.453125" defaultRowHeight="12.5"/>
  <cols>
    <col min="1" max="1" width="11.453125" style="42"/>
    <col min="2" max="2" width="23.81640625" style="42" bestFit="1" customWidth="1"/>
    <col min="3" max="3" width="19.81640625" style="42" bestFit="1" customWidth="1"/>
    <col min="4" max="4" width="13.81640625" style="42" bestFit="1" customWidth="1"/>
    <col min="5" max="5" width="15.36328125" style="42" bestFit="1" customWidth="1"/>
    <col min="6" max="6" width="16.08984375" style="42" bestFit="1" customWidth="1"/>
    <col min="7" max="7" width="29.6328125" style="42" bestFit="1" customWidth="1"/>
    <col min="8" max="8" width="14.81640625" style="42" bestFit="1" customWidth="1"/>
    <col min="9" max="9" width="29.81640625" style="42" customWidth="1"/>
    <col min="10" max="16384" width="11.453125" style="42"/>
  </cols>
  <sheetData>
    <row r="1" spans="1:14" customFormat="1" ht="13">
      <c r="A1" s="12" t="s">
        <v>57</v>
      </c>
      <c r="B1" s="31"/>
      <c r="C1" s="31"/>
      <c r="D1" s="31"/>
      <c r="E1" s="31"/>
      <c r="F1" s="32"/>
      <c r="G1" s="16" t="s">
        <v>134</v>
      </c>
      <c r="M1" s="105"/>
    </row>
    <row r="2" spans="1:14" customFormat="1" ht="13">
      <c r="A2" s="33" t="s">
        <v>1</v>
      </c>
      <c r="B2" s="34" t="s">
        <v>48</v>
      </c>
      <c r="C2" s="34" t="s">
        <v>52</v>
      </c>
      <c r="D2" s="34" t="s">
        <v>50</v>
      </c>
      <c r="E2" s="34" t="s">
        <v>51</v>
      </c>
      <c r="F2" s="35" t="s">
        <v>53</v>
      </c>
      <c r="G2" s="16" t="s">
        <v>135</v>
      </c>
      <c r="H2" s="106" t="s">
        <v>13</v>
      </c>
      <c r="M2" s="105"/>
    </row>
    <row r="3" spans="1:14" ht="13">
      <c r="A3" s="61" t="s">
        <v>77</v>
      </c>
      <c r="B3" s="62" t="s">
        <v>90</v>
      </c>
      <c r="C3" s="63">
        <v>0.33333333333333331</v>
      </c>
      <c r="D3" s="63">
        <v>0.33333333333333331</v>
      </c>
      <c r="E3" s="63">
        <v>0.29166666666666669</v>
      </c>
      <c r="F3" s="64">
        <v>0.29166666666666669</v>
      </c>
      <c r="H3" s="43"/>
      <c r="N3" s="58"/>
    </row>
    <row r="4" spans="1:14" s="217" customFormat="1" ht="13">
      <c r="A4" s="218" t="s">
        <v>155</v>
      </c>
      <c r="B4" s="89" t="s">
        <v>156</v>
      </c>
      <c r="C4" s="90">
        <v>0.33333333333333331</v>
      </c>
      <c r="D4" s="90">
        <v>0.16666666666666666</v>
      </c>
      <c r="E4" s="90">
        <v>0.16666666666666666</v>
      </c>
      <c r="F4" s="206">
        <v>0.29166666666666669</v>
      </c>
      <c r="H4" s="217" t="s">
        <v>362</v>
      </c>
      <c r="N4" s="77"/>
    </row>
    <row r="5" spans="1:14" ht="13">
      <c r="A5" s="65" t="s">
        <v>191</v>
      </c>
      <c r="B5" s="66" t="s">
        <v>192</v>
      </c>
      <c r="C5" s="67">
        <v>0.54166666666666663</v>
      </c>
      <c r="D5" s="78">
        <v>0.125</v>
      </c>
      <c r="E5" s="78">
        <v>0.125</v>
      </c>
      <c r="F5" s="97">
        <v>0.29166666666666669</v>
      </c>
      <c r="H5" s="98"/>
      <c r="N5" s="58"/>
    </row>
    <row r="6" spans="1:14">
      <c r="A6" s="69" t="s">
        <v>78</v>
      </c>
      <c r="B6" s="70" t="s">
        <v>91</v>
      </c>
      <c r="C6" s="71">
        <v>0.29166666666666669</v>
      </c>
      <c r="D6" s="71">
        <v>0.38125000000000003</v>
      </c>
      <c r="E6" s="71">
        <v>0.35000000000000003</v>
      </c>
      <c r="F6" s="72">
        <v>0.29166666666666669</v>
      </c>
      <c r="H6" s="43"/>
    </row>
    <row r="7" spans="1:14" s="43" customFormat="1" ht="13">
      <c r="A7" s="73" t="s">
        <v>79</v>
      </c>
      <c r="B7" s="74" t="s">
        <v>92</v>
      </c>
      <c r="C7" s="75">
        <v>0.3125</v>
      </c>
      <c r="D7" s="75">
        <v>0.47500000000000003</v>
      </c>
      <c r="E7" s="75">
        <v>0.35000000000000003</v>
      </c>
      <c r="F7" s="72">
        <v>0.29166666666666669</v>
      </c>
      <c r="G7" s="76" t="s">
        <v>136</v>
      </c>
      <c r="N7" s="77"/>
    </row>
    <row r="8" spans="1:14" s="217" customFormat="1" ht="13">
      <c r="A8" s="218" t="s">
        <v>358</v>
      </c>
      <c r="B8" s="217" t="s">
        <v>359</v>
      </c>
      <c r="C8" s="205">
        <v>0.3125</v>
      </c>
      <c r="D8" s="205">
        <v>0.22916666666666666</v>
      </c>
      <c r="E8" s="205">
        <v>0.22916666666666666</v>
      </c>
      <c r="F8" s="206">
        <v>0.29166666666666669</v>
      </c>
      <c r="H8" s="217" t="s">
        <v>362</v>
      </c>
      <c r="N8" s="77"/>
    </row>
    <row r="9" spans="1:14" s="202" customFormat="1">
      <c r="A9" s="88" t="s">
        <v>162</v>
      </c>
      <c r="B9" s="202" t="s">
        <v>168</v>
      </c>
      <c r="C9" s="205">
        <v>0.66666666666666663</v>
      </c>
      <c r="D9" s="205">
        <v>0.12083333333333333</v>
      </c>
      <c r="E9" s="205">
        <v>0.12083333333333333</v>
      </c>
      <c r="F9" s="206">
        <v>0.29166666666666669</v>
      </c>
      <c r="H9" s="217" t="s">
        <v>362</v>
      </c>
    </row>
    <row r="10" spans="1:14" s="43" customFormat="1" ht="13">
      <c r="A10" s="73" t="s">
        <v>80</v>
      </c>
      <c r="B10" s="74" t="s">
        <v>93</v>
      </c>
      <c r="C10" s="75">
        <v>0.3125</v>
      </c>
      <c r="D10" s="75">
        <v>0.54166666666666663</v>
      </c>
      <c r="E10" s="75">
        <v>0.34375</v>
      </c>
      <c r="F10" s="104">
        <v>0.29166666666666669</v>
      </c>
      <c r="G10" s="76" t="s">
        <v>137</v>
      </c>
      <c r="N10" s="77"/>
    </row>
    <row r="11" spans="1:14" s="217" customFormat="1" ht="13">
      <c r="A11" s="88" t="s">
        <v>360</v>
      </c>
      <c r="B11" s="217" t="s">
        <v>361</v>
      </c>
      <c r="C11" s="205">
        <v>0.3125</v>
      </c>
      <c r="D11" s="205">
        <v>0.15625</v>
      </c>
      <c r="E11" s="205">
        <v>0.15625</v>
      </c>
      <c r="F11" s="206">
        <v>0.29166666666666669</v>
      </c>
      <c r="H11" s="217" t="s">
        <v>362</v>
      </c>
      <c r="N11" s="77"/>
    </row>
    <row r="12" spans="1:14" s="202" customFormat="1" ht="13">
      <c r="A12" s="88" t="s">
        <v>163</v>
      </c>
      <c r="B12" s="202" t="s">
        <v>170</v>
      </c>
      <c r="C12" s="205">
        <v>0.66666666666666663</v>
      </c>
      <c r="D12" s="205">
        <v>0.1875</v>
      </c>
      <c r="E12" s="205">
        <v>0.1875</v>
      </c>
      <c r="F12" s="206">
        <v>0.29166666666666669</v>
      </c>
      <c r="H12" s="217" t="s">
        <v>362</v>
      </c>
      <c r="N12" s="77"/>
    </row>
    <row r="13" spans="1:14">
      <c r="A13" s="73" t="s">
        <v>81</v>
      </c>
      <c r="B13" s="74" t="s">
        <v>94</v>
      </c>
      <c r="C13" s="75">
        <v>0.29166666666666669</v>
      </c>
      <c r="D13" s="75">
        <v>0.25</v>
      </c>
      <c r="E13" s="75">
        <v>0.25</v>
      </c>
      <c r="F13" s="104">
        <v>0.29166666666666669</v>
      </c>
      <c r="G13" s="76"/>
      <c r="H13" s="43"/>
    </row>
    <row r="14" spans="1:14">
      <c r="A14" s="73" t="s">
        <v>82</v>
      </c>
      <c r="B14" s="74" t="s">
        <v>95</v>
      </c>
      <c r="C14" s="75">
        <v>0.47916666666666669</v>
      </c>
      <c r="D14" s="75">
        <v>0.375</v>
      </c>
      <c r="E14" s="75">
        <v>0.34375</v>
      </c>
      <c r="F14" s="104">
        <v>0.29166666666666669</v>
      </c>
      <c r="G14" s="76"/>
      <c r="H14" s="43"/>
    </row>
    <row r="15" spans="1:14" s="43" customFormat="1" ht="13">
      <c r="A15" s="80" t="s">
        <v>84</v>
      </c>
      <c r="B15" s="81" t="s">
        <v>97</v>
      </c>
      <c r="C15" s="82">
        <v>0.3125</v>
      </c>
      <c r="D15" s="82">
        <v>0.46875</v>
      </c>
      <c r="E15" s="82">
        <v>0.34375</v>
      </c>
      <c r="F15" s="64">
        <v>0.29166666666666669</v>
      </c>
      <c r="G15" s="76" t="s">
        <v>138</v>
      </c>
      <c r="N15" s="77"/>
    </row>
    <row r="16" spans="1:14" ht="13">
      <c r="A16" s="73" t="s">
        <v>85</v>
      </c>
      <c r="B16" s="74" t="s">
        <v>98</v>
      </c>
      <c r="C16" s="75">
        <v>0.3125</v>
      </c>
      <c r="D16" s="75">
        <v>0.23958333333333334</v>
      </c>
      <c r="E16" s="75">
        <v>0.23958333333333334</v>
      </c>
      <c r="F16" s="104">
        <v>0.29166666666666669</v>
      </c>
      <c r="G16" s="76"/>
      <c r="H16" s="43"/>
      <c r="N16" s="58"/>
    </row>
    <row r="17" spans="1:14">
      <c r="A17" s="73" t="s">
        <v>86</v>
      </c>
      <c r="B17" s="70" t="s">
        <v>99</v>
      </c>
      <c r="C17" s="71">
        <v>0.3125</v>
      </c>
      <c r="D17" s="71">
        <v>0.35416666666666669</v>
      </c>
      <c r="E17" s="71">
        <v>0.32291666666666669</v>
      </c>
      <c r="F17" s="72">
        <v>0.29166666666666669</v>
      </c>
      <c r="H17" s="43"/>
    </row>
    <row r="18" spans="1:14" ht="13">
      <c r="A18" s="69" t="s">
        <v>87</v>
      </c>
      <c r="B18" s="70" t="s">
        <v>100</v>
      </c>
      <c r="C18" s="71">
        <v>0.42708333333333331</v>
      </c>
      <c r="D18" s="71">
        <v>0.35416666666666669</v>
      </c>
      <c r="E18" s="71">
        <v>0.33333333333333331</v>
      </c>
      <c r="F18" s="72">
        <v>0.29166666666666669</v>
      </c>
      <c r="H18" s="43"/>
      <c r="N18" s="58"/>
    </row>
    <row r="19" spans="1:14" ht="13">
      <c r="A19" s="69" t="s">
        <v>88</v>
      </c>
      <c r="B19" s="70" t="s">
        <v>101</v>
      </c>
      <c r="C19" s="71">
        <v>0.67708333333333337</v>
      </c>
      <c r="D19" s="71">
        <v>0.10416666666666667</v>
      </c>
      <c r="E19" s="71">
        <v>0.10416666666666667</v>
      </c>
      <c r="F19" s="72">
        <v>0.29166666666666669</v>
      </c>
      <c r="H19" s="43"/>
      <c r="N19" s="58"/>
    </row>
    <row r="20" spans="1:14" ht="13">
      <c r="A20" s="65" t="s">
        <v>89</v>
      </c>
      <c r="B20" s="66" t="s">
        <v>102</v>
      </c>
      <c r="C20" s="67">
        <v>0.48958333333333331</v>
      </c>
      <c r="D20" s="67">
        <v>0.29166666666666669</v>
      </c>
      <c r="E20" s="67">
        <v>0.26041666666666669</v>
      </c>
      <c r="F20" s="79">
        <v>0.29166666666666669</v>
      </c>
      <c r="H20" s="43"/>
      <c r="N20" s="58"/>
    </row>
    <row r="21" spans="1:14" s="76" customFormat="1" ht="37.5">
      <c r="A21" s="148" t="s">
        <v>194</v>
      </c>
      <c r="B21" s="149" t="s">
        <v>171</v>
      </c>
      <c r="C21" s="150">
        <v>0.29166666666666669</v>
      </c>
      <c r="D21" s="150">
        <v>0.38125000000000003</v>
      </c>
      <c r="E21" s="150">
        <v>0.35000000000000003</v>
      </c>
      <c r="F21" s="151">
        <v>0.57708333333333328</v>
      </c>
      <c r="H21" s="76" t="s">
        <v>349</v>
      </c>
    </row>
    <row r="22" spans="1:14" s="76" customFormat="1" ht="37.5">
      <c r="A22" s="80" t="s">
        <v>329</v>
      </c>
      <c r="B22" s="81" t="s">
        <v>324</v>
      </c>
      <c r="C22" s="82">
        <v>0.29166666666666669</v>
      </c>
      <c r="D22" s="82">
        <v>0.38125000000000003</v>
      </c>
      <c r="E22" s="82">
        <v>0.35000000000000003</v>
      </c>
      <c r="F22" s="231">
        <v>0.57708333333333328</v>
      </c>
      <c r="H22" s="76" t="s">
        <v>348</v>
      </c>
    </row>
    <row r="23" spans="1:14">
      <c r="A23" s="61" t="s">
        <v>397</v>
      </c>
      <c r="B23" s="62" t="s">
        <v>399</v>
      </c>
      <c r="C23" s="63">
        <v>0.29166666666666669</v>
      </c>
      <c r="D23" s="63">
        <v>0.35416666666666669</v>
      </c>
      <c r="E23" s="63">
        <v>0.33333333333333331</v>
      </c>
      <c r="F23" s="64">
        <v>0.29166666666666669</v>
      </c>
    </row>
    <row r="24" spans="1:14">
      <c r="A24" s="69" t="s">
        <v>398</v>
      </c>
      <c r="B24" s="70" t="s">
        <v>400</v>
      </c>
      <c r="C24" s="71">
        <v>0.4375</v>
      </c>
      <c r="D24" s="71">
        <v>0.35416666666666669</v>
      </c>
      <c r="E24" s="71">
        <v>0.33333333333333331</v>
      </c>
      <c r="F24" s="72">
        <v>0.29166666666666669</v>
      </c>
    </row>
    <row r="25" spans="1:14">
      <c r="A25" s="65" t="s">
        <v>417</v>
      </c>
      <c r="B25" s="66" t="s">
        <v>418</v>
      </c>
      <c r="C25" s="78">
        <v>0.29166666666666669</v>
      </c>
      <c r="D25" s="78">
        <v>0.20833333333333334</v>
      </c>
      <c r="E25" s="78">
        <v>0.20833333333333334</v>
      </c>
      <c r="F25" s="97">
        <v>0.29166666666666669</v>
      </c>
    </row>
    <row r="27" spans="1:14" ht="13">
      <c r="A27" s="95"/>
      <c r="B27" s="76"/>
      <c r="D27" s="96"/>
      <c r="E27" s="96"/>
      <c r="F27" s="96"/>
      <c r="G27" s="96"/>
      <c r="N27" s="58"/>
    </row>
    <row r="35" spans="14:14" ht="13">
      <c r="N35" s="58"/>
    </row>
    <row r="36" spans="14:14" ht="13">
      <c r="N36" s="58"/>
    </row>
    <row r="37" spans="14:14" ht="13">
      <c r="N37" s="58"/>
    </row>
  </sheetData>
  <pageMargins left="0.7" right="0.7" top="0.78740157499999996" bottom="0.78740157499999996" header="0.3" footer="0.3"/>
  <pageSetup paperSize="9" orientation="portrait" horizontalDpi="4294967293"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75D8-143E-5346-AAF3-2C0BDF8C71C4}">
  <sheetPr codeName="Tabelle4"/>
  <dimension ref="A1:N16"/>
  <sheetViews>
    <sheetView zoomScale="115" zoomScaleNormal="115" workbookViewId="0">
      <selection activeCell="C11" sqref="C11"/>
    </sheetView>
  </sheetViews>
  <sheetFormatPr baseColWidth="10" defaultRowHeight="12.5"/>
  <cols>
    <col min="1" max="1" width="8.6328125" customWidth="1"/>
    <col min="2" max="2" width="17.08984375" bestFit="1" customWidth="1"/>
    <col min="8" max="8" width="11.453125" customWidth="1"/>
  </cols>
  <sheetData>
    <row r="1" spans="1:14" ht="13">
      <c r="A1" s="12" t="s">
        <v>69</v>
      </c>
      <c r="B1" s="31"/>
      <c r="C1" s="31"/>
      <c r="D1" s="31"/>
      <c r="E1" s="31"/>
      <c r="F1" s="32"/>
    </row>
    <row r="2" spans="1:14" ht="13">
      <c r="A2" s="33" t="s">
        <v>1</v>
      </c>
      <c r="B2" s="34" t="s">
        <v>48</v>
      </c>
      <c r="C2" s="34" t="s">
        <v>57</v>
      </c>
      <c r="D2" s="34"/>
      <c r="E2" s="34"/>
      <c r="F2" s="35"/>
    </row>
    <row r="3" spans="1:14">
      <c r="A3" s="144" t="s">
        <v>54</v>
      </c>
      <c r="B3" s="144" t="s">
        <v>55</v>
      </c>
      <c r="C3" s="44" t="s">
        <v>77</v>
      </c>
      <c r="D3" s="44" t="s">
        <v>155</v>
      </c>
      <c r="E3" s="44" t="s">
        <v>191</v>
      </c>
      <c r="F3" s="11"/>
      <c r="G3" s="44"/>
      <c r="H3" s="44"/>
      <c r="I3" s="44"/>
      <c r="J3" s="44"/>
      <c r="K3" s="44"/>
      <c r="L3" s="44"/>
      <c r="M3" s="44"/>
      <c r="N3" s="44"/>
    </row>
    <row r="4" spans="1:14">
      <c r="A4" s="144" t="s">
        <v>103</v>
      </c>
      <c r="B4" s="144" t="s">
        <v>106</v>
      </c>
      <c r="C4" s="44" t="s">
        <v>78</v>
      </c>
      <c r="D4" s="44"/>
      <c r="E4" s="44"/>
      <c r="F4" s="44"/>
      <c r="G4" s="44"/>
      <c r="H4" s="44"/>
      <c r="I4" s="44"/>
      <c r="J4" s="44"/>
      <c r="K4" s="44"/>
      <c r="L4" s="44"/>
      <c r="M4" s="44"/>
      <c r="N4" s="44"/>
    </row>
    <row r="5" spans="1:14">
      <c r="A5" s="144" t="s">
        <v>4</v>
      </c>
      <c r="B5" s="144" t="s">
        <v>107</v>
      </c>
      <c r="C5" s="44" t="s">
        <v>79</v>
      </c>
      <c r="D5" s="44" t="s">
        <v>80</v>
      </c>
      <c r="E5" s="11" t="s">
        <v>162</v>
      </c>
      <c r="F5" s="11" t="s">
        <v>163</v>
      </c>
      <c r="G5" s="44"/>
      <c r="H5" s="44"/>
      <c r="J5" s="44"/>
      <c r="K5" s="44"/>
      <c r="L5" s="44"/>
      <c r="M5" s="44"/>
      <c r="N5" s="44"/>
    </row>
    <row r="6" spans="1:14">
      <c r="A6" s="145" t="s">
        <v>104</v>
      </c>
      <c r="B6" s="144" t="s">
        <v>173</v>
      </c>
      <c r="C6" s="44" t="s">
        <v>81</v>
      </c>
      <c r="D6" s="44"/>
      <c r="E6" s="44"/>
      <c r="F6" s="44"/>
      <c r="G6" s="44"/>
      <c r="H6" s="44"/>
      <c r="I6" s="44"/>
      <c r="J6" s="44"/>
      <c r="K6" s="44"/>
      <c r="L6" s="44"/>
      <c r="M6" s="44"/>
      <c r="N6" s="44"/>
    </row>
    <row r="7" spans="1:14">
      <c r="A7" s="145" t="s">
        <v>14</v>
      </c>
      <c r="B7" s="144" t="s">
        <v>108</v>
      </c>
      <c r="C7" s="44" t="s">
        <v>82</v>
      </c>
      <c r="D7" s="44"/>
      <c r="E7" s="44"/>
      <c r="F7" s="44"/>
      <c r="G7" s="44"/>
      <c r="H7" s="44"/>
      <c r="I7" s="44"/>
      <c r="J7" s="44"/>
      <c r="K7" s="44"/>
      <c r="L7" s="44"/>
      <c r="M7" s="44"/>
      <c r="N7" s="44"/>
    </row>
    <row r="8" spans="1:14">
      <c r="A8" s="145" t="s">
        <v>105</v>
      </c>
      <c r="B8" s="144" t="s">
        <v>109</v>
      </c>
      <c r="C8" s="44" t="s">
        <v>84</v>
      </c>
      <c r="D8" s="44" t="s">
        <v>85</v>
      </c>
      <c r="E8" s="44" t="s">
        <v>86</v>
      </c>
      <c r="F8" s="44" t="s">
        <v>87</v>
      </c>
      <c r="G8" s="44" t="s">
        <v>88</v>
      </c>
      <c r="H8" s="44" t="s">
        <v>89</v>
      </c>
      <c r="I8" s="44"/>
      <c r="J8" s="44"/>
      <c r="K8" s="44"/>
      <c r="L8" s="44"/>
      <c r="M8" s="44"/>
      <c r="N8" s="44"/>
    </row>
    <row r="9" spans="1:14">
      <c r="A9" s="145" t="s">
        <v>228</v>
      </c>
      <c r="B9" s="144" t="s">
        <v>154</v>
      </c>
      <c r="C9" s="44" t="s">
        <v>78</v>
      </c>
      <c r="D9" s="44" t="s">
        <v>79</v>
      </c>
      <c r="E9" s="44" t="s">
        <v>80</v>
      </c>
      <c r="F9" s="44" t="s">
        <v>81</v>
      </c>
      <c r="G9" s="44" t="s">
        <v>82</v>
      </c>
      <c r="H9" s="11" t="s">
        <v>358</v>
      </c>
      <c r="I9" s="11" t="s">
        <v>162</v>
      </c>
      <c r="J9" s="11" t="s">
        <v>360</v>
      </c>
      <c r="K9" s="11" t="s">
        <v>163</v>
      </c>
    </row>
    <row r="10" spans="1:14">
      <c r="A10" s="145" t="s">
        <v>301</v>
      </c>
      <c r="B10" s="144" t="s">
        <v>365</v>
      </c>
      <c r="C10" s="44" t="s">
        <v>78</v>
      </c>
      <c r="D10" s="44" t="s">
        <v>79</v>
      </c>
      <c r="E10" s="44" t="s">
        <v>80</v>
      </c>
      <c r="F10" s="44" t="s">
        <v>81</v>
      </c>
      <c r="G10" s="44" t="s">
        <v>82</v>
      </c>
      <c r="H10" s="11" t="s">
        <v>358</v>
      </c>
      <c r="I10" s="11" t="s">
        <v>360</v>
      </c>
      <c r="L10" s="44"/>
      <c r="M10" s="44"/>
      <c r="N10" s="44"/>
    </row>
    <row r="11" spans="1:14">
      <c r="A11" s="145" t="s">
        <v>231</v>
      </c>
      <c r="B11" s="144" t="s">
        <v>232</v>
      </c>
      <c r="C11" s="44" t="s">
        <v>80</v>
      </c>
      <c r="D11" s="44" t="s">
        <v>82</v>
      </c>
      <c r="E11" s="11" t="s">
        <v>163</v>
      </c>
      <c r="I11" s="44"/>
      <c r="J11" s="44"/>
      <c r="K11" s="44"/>
      <c r="L11" s="44"/>
      <c r="M11" s="44"/>
      <c r="N11" s="44"/>
    </row>
    <row r="12" spans="1:14">
      <c r="A12" s="145" t="s">
        <v>322</v>
      </c>
      <c r="B12" s="44" t="s">
        <v>297</v>
      </c>
      <c r="C12" s="44" t="s">
        <v>80</v>
      </c>
      <c r="D12" s="44" t="s">
        <v>82</v>
      </c>
      <c r="E12" s="11" t="s">
        <v>163</v>
      </c>
      <c r="G12" s="44"/>
      <c r="H12" s="44"/>
      <c r="I12" s="44"/>
      <c r="J12" s="44"/>
      <c r="K12" s="44"/>
      <c r="L12" s="44"/>
      <c r="M12" s="44"/>
      <c r="N12" s="44"/>
    </row>
    <row r="13" spans="1:14">
      <c r="A13" s="44" t="s">
        <v>323</v>
      </c>
      <c r="B13" s="44" t="s">
        <v>298</v>
      </c>
      <c r="C13" s="44" t="s">
        <v>78</v>
      </c>
      <c r="D13" s="44" t="s">
        <v>81</v>
      </c>
      <c r="E13" s="44"/>
      <c r="F13" s="44"/>
      <c r="G13" s="44"/>
      <c r="H13" s="44"/>
      <c r="I13" s="44"/>
      <c r="J13" s="44"/>
      <c r="K13" s="44"/>
      <c r="L13" s="44"/>
      <c r="M13" s="44"/>
      <c r="N13" s="44"/>
    </row>
    <row r="14" spans="1:14">
      <c r="A14" s="145" t="s">
        <v>318</v>
      </c>
      <c r="B14" s="144" t="s">
        <v>285</v>
      </c>
      <c r="C14" s="44" t="s">
        <v>78</v>
      </c>
      <c r="D14" s="44" t="s">
        <v>79</v>
      </c>
      <c r="E14" s="44"/>
      <c r="F14" s="44"/>
      <c r="G14" s="44"/>
      <c r="H14" s="44"/>
      <c r="I14" s="44"/>
      <c r="J14" s="44"/>
      <c r="K14" s="44"/>
      <c r="L14" s="44"/>
      <c r="M14" s="44"/>
      <c r="N14" s="44"/>
    </row>
    <row r="15" spans="1:14">
      <c r="A15" s="219" t="s">
        <v>363</v>
      </c>
      <c r="B15" s="10" t="s">
        <v>364</v>
      </c>
      <c r="C15" s="11" t="s">
        <v>358</v>
      </c>
      <c r="D15" s="11" t="s">
        <v>162</v>
      </c>
      <c r="E15" s="11" t="s">
        <v>360</v>
      </c>
      <c r="F15" s="11" t="s">
        <v>163</v>
      </c>
    </row>
    <row r="16" spans="1:14">
      <c r="A16" s="145" t="s">
        <v>420</v>
      </c>
      <c r="B16" t="s">
        <v>421</v>
      </c>
      <c r="C16" s="44" t="s">
        <v>397</v>
      </c>
      <c r="D16" s="44" t="s">
        <v>398</v>
      </c>
      <c r="E16" s="44" t="s">
        <v>417</v>
      </c>
    </row>
  </sheetData>
  <phoneticPr fontId="9" type="noConversion"/>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BB56-E439-4930-AA8E-59002274931C}">
  <sheetPr codeName="Tabelle5">
    <tabColor theme="0" tint="-0.249977111117893"/>
  </sheetPr>
  <dimension ref="A1:D14"/>
  <sheetViews>
    <sheetView workbookViewId="0">
      <selection activeCell="A7" sqref="A7:XFD7"/>
    </sheetView>
  </sheetViews>
  <sheetFormatPr baseColWidth="10" defaultRowHeight="12.5"/>
  <cols>
    <col min="1" max="1" width="8.36328125" bestFit="1" customWidth="1"/>
    <col min="2" max="2" width="13.36328125" bestFit="1" customWidth="1"/>
    <col min="3" max="3" width="24.6328125" bestFit="1" customWidth="1"/>
    <col min="4" max="4" width="13.36328125" bestFit="1" customWidth="1"/>
  </cols>
  <sheetData>
    <row r="1" spans="1:4" ht="26.5" thickBot="1">
      <c r="A1" s="109" t="s">
        <v>48</v>
      </c>
      <c r="B1" s="109" t="s">
        <v>211</v>
      </c>
      <c r="C1" s="109" t="s">
        <v>212</v>
      </c>
      <c r="D1" s="109" t="s">
        <v>213</v>
      </c>
    </row>
    <row r="2" spans="1:4" ht="13">
      <c r="A2" s="110" t="s">
        <v>90</v>
      </c>
      <c r="B2" s="111" t="s">
        <v>214</v>
      </c>
      <c r="C2" s="112" t="s">
        <v>215</v>
      </c>
      <c r="D2" s="112">
        <v>0.29166666666666669</v>
      </c>
    </row>
    <row r="3" spans="1:4" ht="13">
      <c r="A3" s="113" t="s">
        <v>91</v>
      </c>
      <c r="B3" s="114" t="s">
        <v>214</v>
      </c>
      <c r="C3" s="114" t="s">
        <v>216</v>
      </c>
      <c r="D3" s="115">
        <v>0.35000000000000003</v>
      </c>
    </row>
    <row r="4" spans="1:4" ht="13">
      <c r="A4" s="113" t="s">
        <v>92</v>
      </c>
      <c r="B4" s="114" t="s">
        <v>214</v>
      </c>
      <c r="C4" s="114" t="s">
        <v>217</v>
      </c>
      <c r="D4" s="115">
        <v>0.35000000000000003</v>
      </c>
    </row>
    <row r="5" spans="1:4" ht="13">
      <c r="A5" s="113" t="s">
        <v>93</v>
      </c>
      <c r="B5" s="114" t="s">
        <v>214</v>
      </c>
      <c r="C5" s="114" t="s">
        <v>218</v>
      </c>
      <c r="D5" s="115">
        <v>0.34375</v>
      </c>
    </row>
    <row r="6" spans="1:4">
      <c r="A6" s="114" t="s">
        <v>94</v>
      </c>
      <c r="B6" s="114" t="s">
        <v>214</v>
      </c>
      <c r="C6" s="114" t="s">
        <v>219</v>
      </c>
      <c r="D6" s="115">
        <v>0.25</v>
      </c>
    </row>
    <row r="7" spans="1:4">
      <c r="A7" s="114" t="s">
        <v>95</v>
      </c>
      <c r="B7" s="114" t="s">
        <v>214</v>
      </c>
      <c r="C7" s="114" t="s">
        <v>220</v>
      </c>
      <c r="D7" s="115">
        <v>0.34375</v>
      </c>
    </row>
    <row r="8" spans="1:4">
      <c r="A8" s="114" t="s">
        <v>96</v>
      </c>
      <c r="B8" s="114" t="s">
        <v>214</v>
      </c>
      <c r="C8" s="114" t="s">
        <v>221</v>
      </c>
      <c r="D8" s="115">
        <v>0.34375</v>
      </c>
    </row>
    <row r="9" spans="1:4" ht="13">
      <c r="A9" s="113" t="s">
        <v>97</v>
      </c>
      <c r="B9" s="114" t="s">
        <v>214</v>
      </c>
      <c r="C9" s="115" t="s">
        <v>222</v>
      </c>
      <c r="D9" s="115">
        <v>0.34375</v>
      </c>
    </row>
    <row r="10" spans="1:4" ht="13">
      <c r="A10" s="113" t="s">
        <v>98</v>
      </c>
      <c r="B10" s="114" t="s">
        <v>214</v>
      </c>
      <c r="C10" s="114" t="s">
        <v>223</v>
      </c>
      <c r="D10" s="115">
        <v>0.23958333333333334</v>
      </c>
    </row>
    <row r="11" spans="1:4">
      <c r="A11" s="114" t="s">
        <v>99</v>
      </c>
      <c r="B11" s="114" t="s">
        <v>214</v>
      </c>
      <c r="C11" s="114" t="s">
        <v>224</v>
      </c>
      <c r="D11" s="115">
        <v>0.32291666666666669</v>
      </c>
    </row>
    <row r="12" spans="1:4">
      <c r="A12" s="114" t="s">
        <v>100</v>
      </c>
      <c r="B12" s="114" t="s">
        <v>214</v>
      </c>
      <c r="C12" s="114" t="s">
        <v>225</v>
      </c>
      <c r="D12" s="115">
        <v>0.33333333333333331</v>
      </c>
    </row>
    <row r="13" spans="1:4">
      <c r="A13" s="114" t="s">
        <v>101</v>
      </c>
      <c r="B13" s="114" t="s">
        <v>214</v>
      </c>
      <c r="C13" s="114" t="s">
        <v>226</v>
      </c>
      <c r="D13" s="115">
        <v>0.10416666666666667</v>
      </c>
    </row>
    <row r="14" spans="1:4">
      <c r="A14" s="114" t="s">
        <v>102</v>
      </c>
      <c r="B14" s="114" t="s">
        <v>214</v>
      </c>
      <c r="C14" s="114" t="s">
        <v>227</v>
      </c>
      <c r="D14" s="115">
        <v>0.26041666666666669</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7D751-32BA-4D68-A336-0841558500F4}">
  <sheetPr codeName="Tabelle6">
    <tabColor theme="0" tint="-0.249977111117893"/>
  </sheetPr>
  <dimension ref="A1:O13"/>
  <sheetViews>
    <sheetView zoomScale="70" zoomScaleNormal="70" workbookViewId="0">
      <selection activeCell="I10" sqref="I10"/>
    </sheetView>
  </sheetViews>
  <sheetFormatPr baseColWidth="10" defaultRowHeight="12.5"/>
  <cols>
    <col min="1" max="1" width="12.81640625" customWidth="1"/>
    <col min="3" max="3" width="22.81640625" bestFit="1" customWidth="1"/>
    <col min="9" max="9" width="20.08984375" customWidth="1"/>
  </cols>
  <sheetData>
    <row r="1" spans="1:15" s="42" customFormat="1" ht="39">
      <c r="A1" s="53" t="s">
        <v>68</v>
      </c>
      <c r="B1" s="54"/>
      <c r="C1" s="54"/>
      <c r="D1" s="54"/>
      <c r="E1" s="54"/>
      <c r="F1" s="54"/>
      <c r="G1" s="55"/>
      <c r="H1" s="56" t="s">
        <v>134</v>
      </c>
      <c r="J1" s="57"/>
      <c r="O1" s="58"/>
    </row>
    <row r="2" spans="1:15" s="42" customFormat="1" ht="52">
      <c r="A2" s="53" t="s">
        <v>1</v>
      </c>
      <c r="B2" s="54" t="s">
        <v>49</v>
      </c>
      <c r="C2" s="54" t="s">
        <v>48</v>
      </c>
      <c r="D2" s="54" t="s">
        <v>52</v>
      </c>
      <c r="E2" s="54" t="s">
        <v>50</v>
      </c>
      <c r="F2" s="54" t="s">
        <v>51</v>
      </c>
      <c r="G2" s="55" t="s">
        <v>53</v>
      </c>
      <c r="H2" s="56" t="s">
        <v>135</v>
      </c>
      <c r="I2" s="59" t="s">
        <v>13</v>
      </c>
      <c r="J2" s="60" t="s">
        <v>164</v>
      </c>
      <c r="O2" s="58"/>
    </row>
    <row r="3" spans="1:15" s="43" customFormat="1" ht="25.5">
      <c r="A3" s="83" t="s">
        <v>158</v>
      </c>
      <c r="B3" s="84" t="s">
        <v>158</v>
      </c>
      <c r="C3" s="84" t="s">
        <v>166</v>
      </c>
      <c r="D3" s="85">
        <v>0.33333333333333331</v>
      </c>
      <c r="E3" s="84"/>
      <c r="F3" s="84"/>
      <c r="G3" s="86"/>
      <c r="I3" s="368" t="s">
        <v>174</v>
      </c>
      <c r="J3" s="87"/>
      <c r="O3" s="77"/>
    </row>
    <row r="4" spans="1:15" s="43" customFormat="1" ht="25.5">
      <c r="A4" s="88" t="s">
        <v>157</v>
      </c>
      <c r="B4" s="89" t="s">
        <v>157</v>
      </c>
      <c r="C4" s="89" t="s">
        <v>165</v>
      </c>
      <c r="D4" s="90">
        <v>0.29166666666666669</v>
      </c>
      <c r="E4" s="89"/>
      <c r="F4" s="89"/>
      <c r="G4" s="91"/>
      <c r="I4" s="368"/>
      <c r="J4" s="87"/>
      <c r="O4" s="77"/>
    </row>
    <row r="5" spans="1:15" s="43" customFormat="1" ht="25.5">
      <c r="A5" s="88" t="s">
        <v>159</v>
      </c>
      <c r="B5" s="89" t="s">
        <v>159</v>
      </c>
      <c r="C5" s="89" t="s">
        <v>167</v>
      </c>
      <c r="D5" s="90">
        <v>0.29166666666666669</v>
      </c>
      <c r="E5" s="89"/>
      <c r="F5" s="89"/>
      <c r="G5" s="91"/>
      <c r="I5" s="368"/>
      <c r="J5" s="87"/>
      <c r="O5" s="77"/>
    </row>
    <row r="6" spans="1:15" s="43" customFormat="1" ht="25.5">
      <c r="A6" s="88" t="s">
        <v>160</v>
      </c>
      <c r="B6" s="89" t="s">
        <v>160</v>
      </c>
      <c r="C6" s="89" t="s">
        <v>169</v>
      </c>
      <c r="D6" s="90">
        <v>0.3125</v>
      </c>
      <c r="E6" s="89"/>
      <c r="F6" s="89"/>
      <c r="G6" s="91"/>
      <c r="I6" s="368"/>
      <c r="J6" s="87"/>
      <c r="O6" s="77"/>
    </row>
    <row r="7" spans="1:15" s="43" customFormat="1" ht="25.5">
      <c r="A7" s="92" t="s">
        <v>161</v>
      </c>
      <c r="B7" s="93" t="s">
        <v>161</v>
      </c>
      <c r="C7" s="93" t="s">
        <v>172</v>
      </c>
      <c r="D7" s="68" t="s">
        <v>111</v>
      </c>
      <c r="E7" s="68"/>
      <c r="F7" s="93"/>
      <c r="G7" s="94"/>
      <c r="I7" s="368"/>
      <c r="J7" s="87"/>
      <c r="O7" s="77"/>
    </row>
    <row r="11" spans="1:15" ht="13">
      <c r="A11" s="51" t="s">
        <v>193</v>
      </c>
    </row>
    <row r="13" spans="1:15">
      <c r="A13" s="147" t="s">
        <v>299</v>
      </c>
    </row>
  </sheetData>
  <mergeCells count="1">
    <mergeCell ref="I3:I7"/>
  </mergeCells>
  <pageMargins left="0.7" right="0.7" top="0.78740157499999996" bottom="0.78740157499999996" header="0.3" footer="0.3"/>
  <pageSetup paperSize="9"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23"/>
  <sheetViews>
    <sheetView zoomScale="115" zoomScaleNormal="115" workbookViewId="0">
      <selection activeCell="C14" sqref="C14"/>
    </sheetView>
  </sheetViews>
  <sheetFormatPr baseColWidth="10" defaultColWidth="11.453125" defaultRowHeight="12.5"/>
  <cols>
    <col min="1" max="1" width="9.36328125" bestFit="1" customWidth="1"/>
    <col min="2" max="2" width="24.453125" bestFit="1" customWidth="1"/>
    <col min="3" max="3" width="13.36328125" bestFit="1" customWidth="1"/>
    <col min="4" max="4" width="10.6328125" bestFit="1" customWidth="1"/>
    <col min="5" max="5" width="22.81640625" bestFit="1" customWidth="1"/>
    <col min="6" max="6" width="5.08984375" bestFit="1" customWidth="1"/>
    <col min="7" max="7" width="6.36328125" bestFit="1" customWidth="1"/>
    <col min="8" max="8" width="8.36328125" style="11" customWidth="1"/>
    <col min="9" max="9" width="68.6328125" style="42" customWidth="1"/>
  </cols>
  <sheetData>
    <row r="1" spans="1:10" ht="13">
      <c r="A1" s="12" t="s">
        <v>0</v>
      </c>
      <c r="B1" s="13"/>
      <c r="C1" s="14"/>
      <c r="D1" s="14"/>
      <c r="E1" s="14"/>
      <c r="F1" s="369" t="s">
        <v>115</v>
      </c>
      <c r="G1" s="370"/>
      <c r="H1" s="371"/>
      <c r="I1" s="369" t="s">
        <v>133</v>
      </c>
      <c r="J1" s="371"/>
    </row>
    <row r="2" spans="1:10" ht="13">
      <c r="A2" s="15" t="s">
        <v>1</v>
      </c>
      <c r="B2" s="16" t="s">
        <v>116</v>
      </c>
      <c r="C2" s="14" t="s">
        <v>2</v>
      </c>
      <c r="D2" s="14" t="s">
        <v>58</v>
      </c>
      <c r="E2" s="33" t="s">
        <v>117</v>
      </c>
      <c r="F2" s="41" t="s">
        <v>109</v>
      </c>
      <c r="G2" s="41" t="s">
        <v>154</v>
      </c>
      <c r="H2" s="201" t="s">
        <v>55</v>
      </c>
    </row>
    <row r="3" spans="1:10">
      <c r="A3" s="142" t="s">
        <v>3</v>
      </c>
      <c r="B3" s="38" t="s">
        <v>118</v>
      </c>
      <c r="C3" s="6">
        <v>70</v>
      </c>
      <c r="D3" s="36" t="s">
        <v>114</v>
      </c>
      <c r="E3">
        <v>1</v>
      </c>
      <c r="F3" s="50"/>
      <c r="G3" s="18" t="s">
        <v>132</v>
      </c>
      <c r="H3" s="200" t="s">
        <v>132</v>
      </c>
      <c r="I3" s="43" t="s">
        <v>190</v>
      </c>
    </row>
    <row r="4" spans="1:10">
      <c r="A4" s="143" t="s">
        <v>5</v>
      </c>
      <c r="B4" s="39" t="s">
        <v>119</v>
      </c>
      <c r="C4" s="18">
        <v>90</v>
      </c>
      <c r="D4" s="37" t="s">
        <v>114</v>
      </c>
      <c r="E4">
        <v>2</v>
      </c>
      <c r="F4" s="50"/>
      <c r="G4" s="18" t="s">
        <v>132</v>
      </c>
      <c r="H4" s="52"/>
      <c r="I4" s="43" t="s">
        <v>335</v>
      </c>
    </row>
    <row r="5" spans="1:10">
      <c r="A5" s="143" t="s">
        <v>6</v>
      </c>
      <c r="B5" s="39" t="s">
        <v>120</v>
      </c>
      <c r="C5" s="18">
        <v>80</v>
      </c>
      <c r="D5" s="37" t="s">
        <v>286</v>
      </c>
      <c r="E5">
        <v>3</v>
      </c>
      <c r="F5" s="50"/>
      <c r="G5" s="18" t="s">
        <v>132</v>
      </c>
      <c r="H5" s="52"/>
    </row>
    <row r="6" spans="1:10">
      <c r="A6" s="143" t="s">
        <v>7</v>
      </c>
      <c r="B6" s="39" t="s">
        <v>121</v>
      </c>
      <c r="C6" s="18">
        <v>90</v>
      </c>
      <c r="D6" s="37" t="s">
        <v>286</v>
      </c>
      <c r="E6">
        <v>4</v>
      </c>
      <c r="F6" s="50"/>
      <c r="G6" s="18" t="s">
        <v>132</v>
      </c>
      <c r="H6" s="52"/>
    </row>
    <row r="7" spans="1:10">
      <c r="A7" s="143" t="s">
        <v>8</v>
      </c>
      <c r="B7" s="39" t="s">
        <v>122</v>
      </c>
      <c r="C7" s="18">
        <v>30</v>
      </c>
      <c r="D7" s="37" t="s">
        <v>286</v>
      </c>
      <c r="E7">
        <v>5</v>
      </c>
      <c r="F7" s="50"/>
      <c r="G7" s="18" t="s">
        <v>132</v>
      </c>
      <c r="H7" s="52"/>
    </row>
    <row r="8" spans="1:10">
      <c r="A8" s="143" t="s">
        <v>9</v>
      </c>
      <c r="B8" s="39" t="s">
        <v>123</v>
      </c>
      <c r="C8" s="18">
        <v>70</v>
      </c>
      <c r="D8" s="37" t="s">
        <v>287</v>
      </c>
      <c r="E8">
        <v>6</v>
      </c>
      <c r="F8" s="50"/>
      <c r="G8" s="18" t="s">
        <v>132</v>
      </c>
      <c r="H8" s="52"/>
    </row>
    <row r="9" spans="1:10">
      <c r="A9" s="143" t="s">
        <v>10</v>
      </c>
      <c r="B9" s="39" t="s">
        <v>124</v>
      </c>
      <c r="C9" s="18">
        <v>80</v>
      </c>
      <c r="D9" s="37" t="s">
        <v>287</v>
      </c>
      <c r="E9">
        <v>7</v>
      </c>
      <c r="F9" s="50"/>
      <c r="G9" s="18" t="s">
        <v>132</v>
      </c>
      <c r="H9" s="52"/>
    </row>
    <row r="10" spans="1:10">
      <c r="A10" s="143" t="s">
        <v>11</v>
      </c>
      <c r="B10" s="39" t="s">
        <v>125</v>
      </c>
      <c r="C10" s="18">
        <v>50</v>
      </c>
      <c r="D10" s="37" t="s">
        <v>113</v>
      </c>
      <c r="E10">
        <v>8</v>
      </c>
      <c r="F10" s="50"/>
      <c r="G10" s="18" t="s">
        <v>132</v>
      </c>
      <c r="H10" s="52"/>
    </row>
    <row r="11" spans="1:10">
      <c r="A11" s="143" t="s">
        <v>12</v>
      </c>
      <c r="B11" s="39" t="s">
        <v>126</v>
      </c>
      <c r="C11" s="18">
        <v>90</v>
      </c>
      <c r="D11" s="37" t="s">
        <v>113</v>
      </c>
      <c r="E11">
        <v>9</v>
      </c>
      <c r="F11" s="50"/>
      <c r="G11" s="18" t="s">
        <v>132</v>
      </c>
      <c r="H11" s="52"/>
    </row>
    <row r="12" spans="1:10">
      <c r="A12" s="143" t="s">
        <v>16</v>
      </c>
      <c r="B12" s="208" t="s">
        <v>127</v>
      </c>
      <c r="C12" s="209">
        <v>0</v>
      </c>
      <c r="D12" s="37" t="s">
        <v>113</v>
      </c>
      <c r="E12">
        <v>10</v>
      </c>
      <c r="F12" s="50"/>
      <c r="G12" s="18" t="s">
        <v>132</v>
      </c>
      <c r="H12" s="52"/>
      <c r="I12" s="204" t="s">
        <v>419</v>
      </c>
    </row>
    <row r="13" spans="1:10">
      <c r="A13" s="143" t="s">
        <v>17</v>
      </c>
      <c r="B13" s="39" t="s">
        <v>128</v>
      </c>
      <c r="C13" s="18">
        <v>80</v>
      </c>
      <c r="D13" s="37" t="s">
        <v>113</v>
      </c>
      <c r="E13">
        <v>11</v>
      </c>
      <c r="F13" s="50"/>
      <c r="G13" s="40" t="s">
        <v>132</v>
      </c>
      <c r="H13" s="52"/>
      <c r="I13" s="43" t="s">
        <v>175</v>
      </c>
    </row>
    <row r="14" spans="1:10">
      <c r="A14" s="143" t="s">
        <v>18</v>
      </c>
      <c r="B14" s="39" t="s">
        <v>129</v>
      </c>
      <c r="C14" s="18">
        <v>90</v>
      </c>
      <c r="D14" s="37" t="s">
        <v>113</v>
      </c>
      <c r="E14">
        <v>12</v>
      </c>
      <c r="F14" s="50" t="s">
        <v>132</v>
      </c>
      <c r="G14" s="18"/>
      <c r="H14" s="52"/>
    </row>
    <row r="15" spans="1:10">
      <c r="A15" s="143" t="s">
        <v>19</v>
      </c>
      <c r="B15" s="39" t="s">
        <v>130</v>
      </c>
      <c r="C15" s="18">
        <v>50</v>
      </c>
      <c r="D15" s="37" t="s">
        <v>113</v>
      </c>
      <c r="E15">
        <v>13</v>
      </c>
      <c r="F15" s="50" t="s">
        <v>132</v>
      </c>
      <c r="G15" s="18"/>
      <c r="H15" s="52"/>
    </row>
    <row r="16" spans="1:10">
      <c r="A16" s="143" t="s">
        <v>20</v>
      </c>
      <c r="B16" s="39" t="s">
        <v>131</v>
      </c>
      <c r="C16" s="18">
        <v>60</v>
      </c>
      <c r="D16" s="37" t="s">
        <v>113</v>
      </c>
      <c r="E16">
        <v>14</v>
      </c>
      <c r="F16" s="50" t="s">
        <v>132</v>
      </c>
      <c r="G16" s="18"/>
      <c r="H16" s="52"/>
    </row>
    <row r="17" spans="1:9">
      <c r="A17" s="5">
        <v>15</v>
      </c>
      <c r="B17" s="203" t="s">
        <v>406</v>
      </c>
      <c r="C17" s="209">
        <v>100</v>
      </c>
      <c r="D17" s="227" t="s">
        <v>401</v>
      </c>
      <c r="E17" s="11">
        <v>15</v>
      </c>
      <c r="F17" s="228"/>
      <c r="G17" s="11" t="s">
        <v>132</v>
      </c>
      <c r="H17" s="52"/>
      <c r="I17" s="42" t="s">
        <v>409</v>
      </c>
    </row>
    <row r="18" spans="1:9">
      <c r="A18" s="4" t="s">
        <v>404</v>
      </c>
      <c r="B18" s="203" t="s">
        <v>407</v>
      </c>
      <c r="C18" s="229">
        <v>100</v>
      </c>
      <c r="D18" s="227" t="s">
        <v>401</v>
      </c>
      <c r="E18" s="11">
        <v>16</v>
      </c>
      <c r="F18" s="228"/>
      <c r="G18" s="11" t="s">
        <v>132</v>
      </c>
      <c r="H18" s="52"/>
      <c r="I18" s="42" t="s">
        <v>411</v>
      </c>
    </row>
    <row r="19" spans="1:9">
      <c r="A19" s="4" t="s">
        <v>405</v>
      </c>
      <c r="B19" s="203" t="s">
        <v>408</v>
      </c>
      <c r="C19" s="229">
        <v>100</v>
      </c>
      <c r="D19" s="227" t="s">
        <v>401</v>
      </c>
      <c r="E19" s="11">
        <v>17</v>
      </c>
      <c r="F19" s="228"/>
      <c r="G19" s="11" t="s">
        <v>132</v>
      </c>
      <c r="H19" s="52"/>
      <c r="I19" s="42" t="s">
        <v>411</v>
      </c>
    </row>
    <row r="23" spans="1:9">
      <c r="E23" s="11"/>
    </row>
  </sheetData>
  <sortState xmlns:xlrd2="http://schemas.microsoft.com/office/spreadsheetml/2017/richdata2" ref="A3:F16">
    <sortCondition ref="A3:A16"/>
  </sortState>
  <mergeCells count="2">
    <mergeCell ref="F1:H1"/>
    <mergeCell ref="I1:J1"/>
  </mergeCells>
  <conditionalFormatting sqref="D3:D19">
    <cfRule type="expression" dxfId="217" priority="1" stopIfTrue="1">
      <formula>D$3="So"</formula>
    </cfRule>
    <cfRule type="expression" dxfId="216" priority="2">
      <formula>D$3="Sa"</formula>
    </cfRule>
  </conditionalFormatting>
  <pageMargins left="0.7" right="0.7" top="0.78740157499999996" bottom="0.78740157499999996" header="0.3" footer="0.3"/>
  <pageSetup paperSize="9" orientation="portrait" horizontalDpi="4294967293" verticalDpi="3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0EB6F-3EFB-47DD-9FEF-6A79C721DA74}">
  <sheetPr codeName="Tabelle9"/>
  <dimension ref="A1:X33"/>
  <sheetViews>
    <sheetView zoomScale="70" zoomScaleNormal="70" workbookViewId="0">
      <selection activeCell="L15" sqref="L15"/>
    </sheetView>
  </sheetViews>
  <sheetFormatPr baseColWidth="10" defaultRowHeight="12.5"/>
  <cols>
    <col min="1" max="1" width="9.08984375" customWidth="1"/>
    <col min="2" max="2" width="28.6328125" customWidth="1"/>
    <col min="3" max="3" width="52.6328125" customWidth="1"/>
    <col min="4" max="4" width="21.6328125" style="44" customWidth="1"/>
    <col min="5" max="5" width="14.81640625" customWidth="1"/>
    <col min="6" max="6" width="4.08984375" bestFit="1" customWidth="1"/>
    <col min="7" max="7" width="3.81640625" bestFit="1" customWidth="1"/>
    <col min="8" max="8" width="4.08984375" customWidth="1"/>
    <col min="9" max="9" width="3.81640625" bestFit="1" customWidth="1"/>
    <col min="10" max="10" width="4.08984375" bestFit="1" customWidth="1"/>
    <col min="11" max="11" width="3.81640625" bestFit="1" customWidth="1"/>
    <col min="12" max="12" width="4.08984375" bestFit="1" customWidth="1"/>
    <col min="13" max="13" width="3.81640625" bestFit="1" customWidth="1"/>
    <col min="14" max="14" width="4.08984375" bestFit="1" customWidth="1"/>
    <col min="15" max="15" width="3.81640625" bestFit="1" customWidth="1"/>
    <col min="16" max="16" width="4.08984375" bestFit="1" customWidth="1"/>
    <col min="17" max="17" width="3.81640625" bestFit="1" customWidth="1"/>
    <col min="18" max="18" width="4.08984375" bestFit="1" customWidth="1"/>
    <col min="19" max="19" width="3.81640625" bestFit="1" customWidth="1"/>
    <col min="20" max="21" width="4.08984375" customWidth="1"/>
    <col min="22" max="22" width="24.6328125" bestFit="1" customWidth="1"/>
    <col min="23" max="23" width="14.81640625" customWidth="1"/>
    <col min="24" max="24" width="17.453125" customWidth="1"/>
    <col min="25" max="25" width="34" bestFit="1" customWidth="1"/>
  </cols>
  <sheetData>
    <row r="1" spans="1:24" ht="13">
      <c r="A1" s="107" t="s">
        <v>56</v>
      </c>
      <c r="B1" s="108"/>
      <c r="C1" s="234" t="s">
        <v>289</v>
      </c>
      <c r="D1" s="154"/>
      <c r="E1" s="31" t="s">
        <v>279</v>
      </c>
      <c r="F1" s="237" t="s">
        <v>59</v>
      </c>
      <c r="G1" s="238"/>
      <c r="H1" s="239" t="s">
        <v>41</v>
      </c>
      <c r="I1" s="239"/>
      <c r="J1" s="240" t="s">
        <v>39</v>
      </c>
      <c r="K1" s="238"/>
      <c r="L1" s="239" t="s">
        <v>40</v>
      </c>
      <c r="M1" s="239"/>
      <c r="N1" s="240" t="s">
        <v>62</v>
      </c>
      <c r="O1" s="241"/>
      <c r="P1" s="237" t="s">
        <v>63</v>
      </c>
      <c r="Q1" s="239"/>
      <c r="R1" s="240" t="s">
        <v>64</v>
      </c>
      <c r="S1" s="238"/>
      <c r="T1" s="240" t="s">
        <v>151</v>
      </c>
      <c r="U1" s="241"/>
      <c r="V1" s="317" t="s">
        <v>65</v>
      </c>
      <c r="W1" s="318" t="s">
        <v>306</v>
      </c>
    </row>
    <row r="2" spans="1:24" s="236" customFormat="1" ht="13.5" thickBot="1">
      <c r="A2" s="232" t="s">
        <v>280</v>
      </c>
      <c r="B2" s="261" t="s">
        <v>67</v>
      </c>
      <c r="C2" s="261" t="s">
        <v>290</v>
      </c>
      <c r="D2" s="312" t="s">
        <v>304</v>
      </c>
      <c r="E2" s="261" t="s">
        <v>152</v>
      </c>
      <c r="F2" s="242" t="s">
        <v>60</v>
      </c>
      <c r="G2" s="49" t="s">
        <v>61</v>
      </c>
      <c r="H2" s="48" t="s">
        <v>60</v>
      </c>
      <c r="I2" s="48" t="s">
        <v>61</v>
      </c>
      <c r="J2" s="47" t="s">
        <v>60</v>
      </c>
      <c r="K2" s="49" t="s">
        <v>61</v>
      </c>
      <c r="L2" s="48" t="s">
        <v>60</v>
      </c>
      <c r="M2" s="48" t="s">
        <v>61</v>
      </c>
      <c r="N2" s="47" t="s">
        <v>60</v>
      </c>
      <c r="O2" s="243" t="s">
        <v>61</v>
      </c>
      <c r="P2" s="242" t="s">
        <v>60</v>
      </c>
      <c r="Q2" s="48" t="s">
        <v>61</v>
      </c>
      <c r="R2" s="47" t="s">
        <v>60</v>
      </c>
      <c r="S2" s="49" t="s">
        <v>61</v>
      </c>
      <c r="T2" s="47" t="s">
        <v>60</v>
      </c>
      <c r="U2" s="243" t="s">
        <v>61</v>
      </c>
      <c r="V2" s="319" t="s">
        <v>66</v>
      </c>
      <c r="W2" s="320" t="s">
        <v>307</v>
      </c>
      <c r="X2" s="235" t="s">
        <v>153</v>
      </c>
    </row>
    <row r="3" spans="1:24" s="233" customFormat="1" ht="13">
      <c r="A3" s="298">
        <v>1</v>
      </c>
      <c r="B3" s="299" t="s">
        <v>453</v>
      </c>
      <c r="C3" s="300" t="s">
        <v>440</v>
      </c>
      <c r="D3" s="300" t="s">
        <v>330</v>
      </c>
      <c r="E3" s="309"/>
      <c r="F3" s="164">
        <v>1</v>
      </c>
      <c r="G3" s="164">
        <v>1</v>
      </c>
      <c r="H3" s="164">
        <v>1</v>
      </c>
      <c r="I3" s="164">
        <v>1</v>
      </c>
      <c r="J3" s="164">
        <v>1</v>
      </c>
      <c r="K3" s="164">
        <v>1</v>
      </c>
      <c r="L3" s="164">
        <v>1</v>
      </c>
      <c r="M3" s="164">
        <v>1</v>
      </c>
      <c r="N3" s="164">
        <v>1</v>
      </c>
      <c r="O3" s="245">
        <v>1</v>
      </c>
      <c r="P3" s="267">
        <v>0</v>
      </c>
      <c r="Q3" s="268">
        <v>0</v>
      </c>
      <c r="R3" s="268">
        <v>0</v>
      </c>
      <c r="S3" s="268">
        <v>0</v>
      </c>
      <c r="T3" s="268">
        <v>0</v>
      </c>
      <c r="U3" s="281">
        <v>0</v>
      </c>
      <c r="V3" s="321" t="s">
        <v>148</v>
      </c>
      <c r="W3" s="322">
        <v>0</v>
      </c>
    </row>
    <row r="4" spans="1:24" s="233" customFormat="1" ht="13">
      <c r="A4" s="316">
        <v>2</v>
      </c>
      <c r="B4" s="173" t="s">
        <v>452</v>
      </c>
      <c r="C4" s="158" t="s">
        <v>454</v>
      </c>
      <c r="D4" s="158"/>
      <c r="E4" s="310"/>
      <c r="F4" s="164">
        <v>1</v>
      </c>
      <c r="G4" s="164">
        <v>1</v>
      </c>
      <c r="H4" s="164">
        <v>1</v>
      </c>
      <c r="I4" s="164">
        <v>1</v>
      </c>
      <c r="J4" s="164">
        <v>1</v>
      </c>
      <c r="K4" s="164">
        <v>1</v>
      </c>
      <c r="L4" s="164">
        <v>1</v>
      </c>
      <c r="M4" s="164">
        <v>1</v>
      </c>
      <c r="N4" s="164">
        <v>1</v>
      </c>
      <c r="O4" s="245">
        <v>1</v>
      </c>
      <c r="P4" s="262">
        <v>0</v>
      </c>
      <c r="Q4" s="264">
        <v>0</v>
      </c>
      <c r="R4" s="264">
        <v>0</v>
      </c>
      <c r="S4" s="264"/>
      <c r="T4" s="264">
        <v>0</v>
      </c>
      <c r="U4" s="266">
        <v>0</v>
      </c>
      <c r="V4" s="321" t="s">
        <v>148</v>
      </c>
      <c r="W4" s="322">
        <v>0</v>
      </c>
    </row>
    <row r="5" spans="1:24" ht="13">
      <c r="A5" s="302">
        <v>3</v>
      </c>
      <c r="B5" s="156" t="s">
        <v>441</v>
      </c>
      <c r="C5" s="157" t="s">
        <v>465</v>
      </c>
      <c r="D5" s="157" t="s">
        <v>330</v>
      </c>
      <c r="E5" s="313"/>
      <c r="F5" s="161">
        <v>2</v>
      </c>
      <c r="G5" s="160">
        <v>2</v>
      </c>
      <c r="H5" s="161">
        <v>2</v>
      </c>
      <c r="I5" s="161">
        <v>2</v>
      </c>
      <c r="J5" s="159">
        <v>2</v>
      </c>
      <c r="K5" s="160">
        <v>2</v>
      </c>
      <c r="L5" s="161">
        <v>2</v>
      </c>
      <c r="M5" s="161">
        <v>2</v>
      </c>
      <c r="N5" s="159">
        <v>2</v>
      </c>
      <c r="O5" s="253">
        <v>2</v>
      </c>
      <c r="P5" s="267">
        <v>0</v>
      </c>
      <c r="Q5" s="268">
        <v>0</v>
      </c>
      <c r="R5" s="268">
        <v>0</v>
      </c>
      <c r="S5" s="268">
        <v>0</v>
      </c>
      <c r="T5" s="268">
        <v>0</v>
      </c>
      <c r="U5" s="281">
        <v>0</v>
      </c>
      <c r="V5" s="325" t="s">
        <v>150</v>
      </c>
      <c r="W5" s="326"/>
      <c r="X5" s="30"/>
    </row>
    <row r="6" spans="1:24" ht="13">
      <c r="A6" s="302">
        <v>4</v>
      </c>
      <c r="B6" s="156" t="s">
        <v>442</v>
      </c>
      <c r="C6" s="157" t="s">
        <v>466</v>
      </c>
      <c r="D6" s="157"/>
      <c r="E6" s="310"/>
      <c r="F6" s="164">
        <v>1</v>
      </c>
      <c r="G6" s="163">
        <v>1</v>
      </c>
      <c r="H6" s="164">
        <v>1</v>
      </c>
      <c r="I6" s="164">
        <v>1</v>
      </c>
      <c r="J6" s="162">
        <v>1</v>
      </c>
      <c r="K6" s="163">
        <v>1</v>
      </c>
      <c r="L6" s="164">
        <v>1</v>
      </c>
      <c r="M6" s="164">
        <v>1</v>
      </c>
      <c r="N6" s="162">
        <v>1</v>
      </c>
      <c r="O6" s="245">
        <v>1</v>
      </c>
      <c r="P6" s="262">
        <v>0</v>
      </c>
      <c r="Q6" s="264">
        <v>0</v>
      </c>
      <c r="R6" s="264">
        <v>0</v>
      </c>
      <c r="S6" s="264">
        <v>0</v>
      </c>
      <c r="T6" s="264">
        <v>0</v>
      </c>
      <c r="U6" s="266">
        <v>0</v>
      </c>
      <c r="V6" s="321" t="s">
        <v>150</v>
      </c>
      <c r="W6" s="322"/>
      <c r="X6" s="30"/>
    </row>
    <row r="7" spans="1:24" ht="13">
      <c r="A7" s="302">
        <v>5</v>
      </c>
      <c r="B7" s="156" t="s">
        <v>343</v>
      </c>
      <c r="C7" s="157" t="s">
        <v>432</v>
      </c>
      <c r="D7" s="157"/>
      <c r="E7" s="310"/>
      <c r="F7" s="164">
        <v>1</v>
      </c>
      <c r="G7" s="163">
        <v>1</v>
      </c>
      <c r="H7" s="164">
        <v>1</v>
      </c>
      <c r="I7" s="164">
        <v>1</v>
      </c>
      <c r="J7" s="162">
        <v>1</v>
      </c>
      <c r="K7" s="163">
        <v>1</v>
      </c>
      <c r="L7" s="164">
        <v>1</v>
      </c>
      <c r="M7" s="164">
        <v>1</v>
      </c>
      <c r="N7" s="162">
        <v>1</v>
      </c>
      <c r="O7" s="245">
        <v>1</v>
      </c>
      <c r="P7" s="262">
        <v>0</v>
      </c>
      <c r="Q7" s="264">
        <v>0</v>
      </c>
      <c r="R7" s="264">
        <v>0</v>
      </c>
      <c r="S7" s="264">
        <v>0</v>
      </c>
      <c r="T7" s="264">
        <v>0</v>
      </c>
      <c r="U7" s="266">
        <v>0</v>
      </c>
      <c r="V7" s="321" t="s">
        <v>150</v>
      </c>
      <c r="W7" s="322"/>
      <c r="X7" s="30"/>
    </row>
    <row r="8" spans="1:24" ht="13">
      <c r="A8" s="302">
        <v>6</v>
      </c>
      <c r="B8" s="157" t="s">
        <v>336</v>
      </c>
      <c r="C8" s="157" t="s">
        <v>467</v>
      </c>
      <c r="D8" s="157"/>
      <c r="E8" s="310"/>
      <c r="F8" s="164">
        <v>2</v>
      </c>
      <c r="G8" s="163">
        <v>2</v>
      </c>
      <c r="H8" s="164">
        <v>2</v>
      </c>
      <c r="I8" s="164">
        <v>2</v>
      </c>
      <c r="J8" s="162">
        <v>2</v>
      </c>
      <c r="K8" s="163">
        <v>2</v>
      </c>
      <c r="L8" s="164">
        <v>2</v>
      </c>
      <c r="M8" s="164">
        <v>2</v>
      </c>
      <c r="N8" s="162">
        <v>2</v>
      </c>
      <c r="O8" s="245">
        <v>2</v>
      </c>
      <c r="P8" s="262">
        <v>0</v>
      </c>
      <c r="Q8" s="264">
        <v>0</v>
      </c>
      <c r="R8" s="264">
        <v>0</v>
      </c>
      <c r="S8" s="264">
        <v>0</v>
      </c>
      <c r="T8" s="264">
        <v>0</v>
      </c>
      <c r="U8" s="266">
        <v>0</v>
      </c>
      <c r="V8" s="321" t="s">
        <v>150</v>
      </c>
      <c r="W8" s="322"/>
      <c r="X8" s="30"/>
    </row>
    <row r="9" spans="1:24" ht="13">
      <c r="A9" s="302">
        <v>7</v>
      </c>
      <c r="B9" s="156" t="s">
        <v>344</v>
      </c>
      <c r="C9" s="157" t="s">
        <v>468</v>
      </c>
      <c r="D9" s="157"/>
      <c r="E9" s="314"/>
      <c r="F9" s="176">
        <v>1</v>
      </c>
      <c r="G9" s="175">
        <v>1</v>
      </c>
      <c r="H9" s="176">
        <v>1</v>
      </c>
      <c r="I9" s="176">
        <v>1</v>
      </c>
      <c r="J9" s="174">
        <v>1</v>
      </c>
      <c r="K9" s="175">
        <v>1</v>
      </c>
      <c r="L9" s="176">
        <v>1</v>
      </c>
      <c r="M9" s="176">
        <v>1</v>
      </c>
      <c r="N9" s="174">
        <v>1</v>
      </c>
      <c r="O9" s="251">
        <v>1</v>
      </c>
      <c r="P9" s="275">
        <v>0</v>
      </c>
      <c r="Q9" s="276">
        <v>0</v>
      </c>
      <c r="R9" s="276">
        <v>0</v>
      </c>
      <c r="S9" s="276">
        <v>0</v>
      </c>
      <c r="T9" s="276">
        <v>0</v>
      </c>
      <c r="U9" s="282">
        <v>0</v>
      </c>
      <c r="V9" s="327" t="s">
        <v>150</v>
      </c>
      <c r="W9" s="328"/>
      <c r="X9" s="30"/>
    </row>
    <row r="10" spans="1:24" ht="13">
      <c r="A10" s="315">
        <v>8</v>
      </c>
      <c r="B10" s="155" t="s">
        <v>337</v>
      </c>
      <c r="C10" s="172" t="s">
        <v>469</v>
      </c>
      <c r="D10" s="172"/>
      <c r="E10" s="313" t="s">
        <v>154</v>
      </c>
      <c r="F10" s="180">
        <v>2</v>
      </c>
      <c r="G10" s="179">
        <v>2</v>
      </c>
      <c r="H10" s="178">
        <v>2</v>
      </c>
      <c r="I10" s="179">
        <v>2</v>
      </c>
      <c r="J10" s="180">
        <v>2</v>
      </c>
      <c r="K10" s="179">
        <v>2</v>
      </c>
      <c r="L10" s="178">
        <v>2</v>
      </c>
      <c r="M10" s="179">
        <v>2</v>
      </c>
      <c r="N10" s="180">
        <v>2</v>
      </c>
      <c r="O10" s="247">
        <v>2</v>
      </c>
      <c r="P10" s="267">
        <v>0</v>
      </c>
      <c r="Q10" s="268">
        <v>0</v>
      </c>
      <c r="R10" s="268">
        <v>0</v>
      </c>
      <c r="S10" s="268">
        <v>0</v>
      </c>
      <c r="T10" s="268">
        <v>0</v>
      </c>
      <c r="U10" s="281">
        <v>0</v>
      </c>
      <c r="V10" s="325" t="s">
        <v>150</v>
      </c>
      <c r="W10" s="326"/>
      <c r="X10" s="30"/>
    </row>
    <row r="11" spans="1:24" ht="13">
      <c r="A11" s="302">
        <v>9</v>
      </c>
      <c r="B11" s="156" t="s">
        <v>338</v>
      </c>
      <c r="C11" s="157" t="s">
        <v>470</v>
      </c>
      <c r="D11" s="157"/>
      <c r="E11" s="310" t="s">
        <v>154</v>
      </c>
      <c r="F11" s="168">
        <v>4</v>
      </c>
      <c r="G11" s="167">
        <v>4</v>
      </c>
      <c r="H11" s="166">
        <v>4</v>
      </c>
      <c r="I11" s="167">
        <v>4</v>
      </c>
      <c r="J11" s="168">
        <v>4</v>
      </c>
      <c r="K11" s="167">
        <v>4</v>
      </c>
      <c r="L11" s="166">
        <v>4</v>
      </c>
      <c r="M11" s="167">
        <v>4</v>
      </c>
      <c r="N11" s="168">
        <v>4</v>
      </c>
      <c r="O11" s="249">
        <v>4</v>
      </c>
      <c r="P11" s="262">
        <v>0</v>
      </c>
      <c r="Q11" s="264">
        <v>0</v>
      </c>
      <c r="R11" s="264">
        <v>0</v>
      </c>
      <c r="S11" s="264">
        <v>0</v>
      </c>
      <c r="T11" s="264">
        <v>0</v>
      </c>
      <c r="U11" s="266">
        <v>0</v>
      </c>
      <c r="V11" s="321" t="s">
        <v>150</v>
      </c>
      <c r="W11" s="322"/>
      <c r="X11" s="30"/>
    </row>
    <row r="12" spans="1:24" ht="13">
      <c r="A12" s="302">
        <v>10</v>
      </c>
      <c r="B12" s="156" t="s">
        <v>443</v>
      </c>
      <c r="C12" s="157" t="s">
        <v>471</v>
      </c>
      <c r="D12" s="157"/>
      <c r="E12" s="310" t="s">
        <v>154</v>
      </c>
      <c r="F12" s="168">
        <v>3</v>
      </c>
      <c r="G12" s="167">
        <v>3</v>
      </c>
      <c r="H12" s="166">
        <v>3</v>
      </c>
      <c r="I12" s="167">
        <v>3</v>
      </c>
      <c r="J12" s="168">
        <v>3</v>
      </c>
      <c r="K12" s="167">
        <v>3</v>
      </c>
      <c r="L12" s="166">
        <v>3</v>
      </c>
      <c r="M12" s="167">
        <v>3</v>
      </c>
      <c r="N12" s="168">
        <v>3</v>
      </c>
      <c r="O12" s="249">
        <v>3</v>
      </c>
      <c r="P12" s="262">
        <v>0</v>
      </c>
      <c r="Q12" s="264">
        <v>0</v>
      </c>
      <c r="R12" s="264">
        <v>0</v>
      </c>
      <c r="S12" s="264">
        <v>0</v>
      </c>
      <c r="T12" s="264">
        <v>0</v>
      </c>
      <c r="U12" s="266">
        <v>0</v>
      </c>
      <c r="V12" s="321" t="s">
        <v>150</v>
      </c>
      <c r="W12" s="322"/>
      <c r="X12" s="30"/>
    </row>
    <row r="13" spans="1:24" ht="13">
      <c r="A13" s="302">
        <v>11</v>
      </c>
      <c r="B13" s="156" t="s">
        <v>339</v>
      </c>
      <c r="C13" s="157" t="s">
        <v>463</v>
      </c>
      <c r="D13" s="157"/>
      <c r="E13" s="310" t="s">
        <v>154</v>
      </c>
      <c r="F13" s="168">
        <v>2</v>
      </c>
      <c r="G13" s="167">
        <v>2</v>
      </c>
      <c r="H13" s="166">
        <v>2</v>
      </c>
      <c r="I13" s="167">
        <v>2</v>
      </c>
      <c r="J13" s="168">
        <v>2</v>
      </c>
      <c r="K13" s="167">
        <v>2</v>
      </c>
      <c r="L13" s="166">
        <v>2</v>
      </c>
      <c r="M13" s="167">
        <v>2</v>
      </c>
      <c r="N13" s="168">
        <v>2</v>
      </c>
      <c r="O13" s="249">
        <v>2</v>
      </c>
      <c r="P13" s="262">
        <v>0</v>
      </c>
      <c r="Q13" s="264">
        <v>0</v>
      </c>
      <c r="R13" s="264">
        <v>0</v>
      </c>
      <c r="S13" s="264">
        <v>0</v>
      </c>
      <c r="T13" s="264">
        <v>0</v>
      </c>
      <c r="U13" s="266">
        <v>0</v>
      </c>
      <c r="V13" s="321" t="s">
        <v>150</v>
      </c>
      <c r="W13" s="322"/>
      <c r="X13" s="30"/>
    </row>
    <row r="14" spans="1:24" ht="13">
      <c r="A14" s="302">
        <v>12</v>
      </c>
      <c r="B14" s="156" t="s">
        <v>340</v>
      </c>
      <c r="C14" s="157" t="s">
        <v>472</v>
      </c>
      <c r="D14" s="157"/>
      <c r="E14" s="310" t="s">
        <v>154</v>
      </c>
      <c r="F14" s="168">
        <v>4</v>
      </c>
      <c r="G14" s="167">
        <v>4</v>
      </c>
      <c r="H14" s="166">
        <v>4</v>
      </c>
      <c r="I14" s="167">
        <v>4</v>
      </c>
      <c r="J14" s="168">
        <v>4</v>
      </c>
      <c r="K14" s="167">
        <v>4</v>
      </c>
      <c r="L14" s="166">
        <v>4</v>
      </c>
      <c r="M14" s="167">
        <v>4</v>
      </c>
      <c r="N14" s="168">
        <v>4</v>
      </c>
      <c r="O14" s="249">
        <v>4</v>
      </c>
      <c r="P14" s="262">
        <v>0</v>
      </c>
      <c r="Q14" s="264">
        <v>0</v>
      </c>
      <c r="R14" s="264">
        <v>0</v>
      </c>
      <c r="S14" s="264">
        <v>0</v>
      </c>
      <c r="T14" s="264">
        <v>0</v>
      </c>
      <c r="U14" s="266">
        <v>0</v>
      </c>
      <c r="V14" s="321" t="s">
        <v>150</v>
      </c>
      <c r="W14" s="322"/>
      <c r="X14" s="30"/>
    </row>
    <row r="15" spans="1:24" ht="13">
      <c r="A15" s="302">
        <v>13</v>
      </c>
      <c r="B15" s="156" t="s">
        <v>341</v>
      </c>
      <c r="C15" s="157" t="s">
        <v>473</v>
      </c>
      <c r="D15" s="157"/>
      <c r="E15" s="310" t="s">
        <v>154</v>
      </c>
      <c r="F15" s="168">
        <v>2</v>
      </c>
      <c r="G15" s="167">
        <v>2</v>
      </c>
      <c r="H15" s="166">
        <v>2</v>
      </c>
      <c r="I15" s="167">
        <v>2</v>
      </c>
      <c r="J15" s="168">
        <v>2</v>
      </c>
      <c r="K15" s="167">
        <v>2</v>
      </c>
      <c r="L15" s="166">
        <v>2</v>
      </c>
      <c r="M15" s="167">
        <v>2</v>
      </c>
      <c r="N15" s="168">
        <v>2</v>
      </c>
      <c r="O15" s="249">
        <v>2</v>
      </c>
      <c r="P15" s="262">
        <v>0</v>
      </c>
      <c r="Q15" s="264">
        <v>0</v>
      </c>
      <c r="R15" s="264">
        <v>0</v>
      </c>
      <c r="S15" s="264">
        <v>0</v>
      </c>
      <c r="T15" s="264">
        <v>0</v>
      </c>
      <c r="U15" s="266">
        <v>0</v>
      </c>
      <c r="V15" s="321" t="s">
        <v>150</v>
      </c>
      <c r="W15" s="322">
        <v>0</v>
      </c>
      <c r="X15" s="30"/>
    </row>
    <row r="16" spans="1:24" ht="13">
      <c r="A16" s="316">
        <v>14</v>
      </c>
      <c r="B16" s="173" t="s">
        <v>342</v>
      </c>
      <c r="C16" s="158" t="s">
        <v>474</v>
      </c>
      <c r="D16" s="158"/>
      <c r="E16" s="314" t="s">
        <v>154</v>
      </c>
      <c r="F16" s="176">
        <v>1</v>
      </c>
      <c r="G16" s="171">
        <v>1</v>
      </c>
      <c r="H16" s="169">
        <v>1</v>
      </c>
      <c r="I16" s="171">
        <v>1</v>
      </c>
      <c r="J16" s="170">
        <v>1</v>
      </c>
      <c r="K16" s="175">
        <v>1</v>
      </c>
      <c r="L16" s="174">
        <v>1</v>
      </c>
      <c r="M16" s="175">
        <v>1</v>
      </c>
      <c r="N16" s="176">
        <v>1</v>
      </c>
      <c r="O16" s="251">
        <v>1</v>
      </c>
      <c r="P16" s="275">
        <v>0</v>
      </c>
      <c r="Q16" s="276">
        <v>0</v>
      </c>
      <c r="R16" s="276">
        <v>0</v>
      </c>
      <c r="S16" s="276">
        <v>0</v>
      </c>
      <c r="T16" s="276">
        <v>0</v>
      </c>
      <c r="U16" s="282">
        <v>0</v>
      </c>
      <c r="V16" s="327" t="s">
        <v>150</v>
      </c>
      <c r="W16" s="329">
        <v>0</v>
      </c>
      <c r="X16" s="30"/>
    </row>
    <row r="17" spans="1:24" s="30" customFormat="1" ht="13">
      <c r="A17" s="302">
        <v>15</v>
      </c>
      <c r="B17" s="156" t="s">
        <v>446</v>
      </c>
      <c r="C17" s="157" t="s">
        <v>439</v>
      </c>
      <c r="D17" s="157"/>
      <c r="E17" s="310" t="s">
        <v>154</v>
      </c>
      <c r="F17" s="264">
        <v>0</v>
      </c>
      <c r="G17" s="263">
        <v>0</v>
      </c>
      <c r="H17" s="264">
        <v>0</v>
      </c>
      <c r="I17" s="264">
        <v>0</v>
      </c>
      <c r="J17" s="265">
        <v>0</v>
      </c>
      <c r="K17" s="263">
        <v>0</v>
      </c>
      <c r="L17" s="264">
        <v>0</v>
      </c>
      <c r="M17" s="264">
        <v>0</v>
      </c>
      <c r="N17" s="265">
        <v>0</v>
      </c>
      <c r="O17" s="266">
        <v>0</v>
      </c>
      <c r="P17" s="244">
        <v>1</v>
      </c>
      <c r="Q17" s="164">
        <v>1</v>
      </c>
      <c r="R17" s="162">
        <v>1</v>
      </c>
      <c r="S17" s="163">
        <v>1</v>
      </c>
      <c r="T17" s="165">
        <v>1</v>
      </c>
      <c r="U17" s="259">
        <v>1</v>
      </c>
      <c r="V17" s="321" t="s">
        <v>142</v>
      </c>
      <c r="W17" s="322">
        <v>0</v>
      </c>
    </row>
    <row r="18" spans="1:24" s="30" customFormat="1" ht="13">
      <c r="A18" s="302">
        <v>16</v>
      </c>
      <c r="B18" s="226" t="s">
        <v>447</v>
      </c>
      <c r="C18" s="157" t="s">
        <v>464</v>
      </c>
      <c r="D18" s="157"/>
      <c r="E18" s="310" t="s">
        <v>154</v>
      </c>
      <c r="F18" s="264">
        <v>0</v>
      </c>
      <c r="G18" s="263">
        <v>0</v>
      </c>
      <c r="H18" s="264">
        <v>0</v>
      </c>
      <c r="I18" s="264">
        <v>0</v>
      </c>
      <c r="J18" s="265">
        <v>0</v>
      </c>
      <c r="K18" s="263">
        <v>0</v>
      </c>
      <c r="L18" s="264">
        <v>0</v>
      </c>
      <c r="M18" s="264">
        <v>0</v>
      </c>
      <c r="N18" s="265">
        <v>0</v>
      </c>
      <c r="O18" s="266">
        <v>0</v>
      </c>
      <c r="P18" s="244">
        <v>2</v>
      </c>
      <c r="Q18" s="164">
        <v>2</v>
      </c>
      <c r="R18" s="162">
        <v>2</v>
      </c>
      <c r="S18" s="163">
        <v>2</v>
      </c>
      <c r="T18" s="165">
        <v>2</v>
      </c>
      <c r="U18" s="259">
        <v>2</v>
      </c>
      <c r="V18" s="321" t="s">
        <v>142</v>
      </c>
      <c r="W18" s="322">
        <v>0</v>
      </c>
    </row>
    <row r="19" spans="1:24" s="30" customFormat="1" ht="13">
      <c r="A19" s="302">
        <v>17</v>
      </c>
      <c r="B19" s="226" t="s">
        <v>448</v>
      </c>
      <c r="C19" s="157" t="s">
        <v>444</v>
      </c>
      <c r="D19" s="157"/>
      <c r="E19" s="310" t="s">
        <v>154</v>
      </c>
      <c r="F19" s="264">
        <v>0</v>
      </c>
      <c r="G19" s="263">
        <v>0</v>
      </c>
      <c r="H19" s="264">
        <v>0</v>
      </c>
      <c r="I19" s="264">
        <v>0</v>
      </c>
      <c r="J19" s="265">
        <v>0</v>
      </c>
      <c r="K19" s="263">
        <v>0</v>
      </c>
      <c r="L19" s="264">
        <v>0</v>
      </c>
      <c r="M19" s="264">
        <v>0</v>
      </c>
      <c r="N19" s="265">
        <v>0</v>
      </c>
      <c r="O19" s="266">
        <v>0</v>
      </c>
      <c r="P19" s="244">
        <v>1</v>
      </c>
      <c r="Q19" s="164">
        <v>1</v>
      </c>
      <c r="R19" s="162">
        <v>1</v>
      </c>
      <c r="S19" s="163">
        <v>1</v>
      </c>
      <c r="T19" s="165">
        <v>1</v>
      </c>
      <c r="U19" s="259">
        <v>1</v>
      </c>
      <c r="V19" s="321" t="s">
        <v>142</v>
      </c>
      <c r="W19" s="322">
        <v>0</v>
      </c>
    </row>
    <row r="20" spans="1:24" s="30" customFormat="1" ht="13.5" thickBot="1">
      <c r="A20" s="305">
        <v>18</v>
      </c>
      <c r="B20" s="306" t="s">
        <v>449</v>
      </c>
      <c r="C20" s="307" t="s">
        <v>445</v>
      </c>
      <c r="D20" s="307"/>
      <c r="E20" s="311" t="s">
        <v>154</v>
      </c>
      <c r="F20" s="264">
        <v>0</v>
      </c>
      <c r="G20" s="263">
        <v>0</v>
      </c>
      <c r="H20" s="264">
        <v>0</v>
      </c>
      <c r="I20" s="264">
        <v>0</v>
      </c>
      <c r="J20" s="265">
        <v>0</v>
      </c>
      <c r="K20" s="263">
        <v>0</v>
      </c>
      <c r="L20" s="264">
        <v>0</v>
      </c>
      <c r="M20" s="264">
        <v>0</v>
      </c>
      <c r="N20" s="265">
        <v>0</v>
      </c>
      <c r="O20" s="266">
        <v>0</v>
      </c>
      <c r="P20" s="244">
        <v>1</v>
      </c>
      <c r="Q20" s="164">
        <v>1</v>
      </c>
      <c r="R20" s="162">
        <v>1</v>
      </c>
      <c r="S20" s="163">
        <v>1</v>
      </c>
      <c r="T20" s="165">
        <v>1</v>
      </c>
      <c r="U20" s="259">
        <v>1</v>
      </c>
      <c r="V20" s="321" t="s">
        <v>142</v>
      </c>
      <c r="W20" s="322">
        <v>0</v>
      </c>
    </row>
    <row r="21" spans="1:24" ht="13">
      <c r="A21" s="298">
        <v>19</v>
      </c>
      <c r="B21" s="299" t="s">
        <v>384</v>
      </c>
      <c r="C21" s="300" t="s">
        <v>292</v>
      </c>
      <c r="D21" s="300"/>
      <c r="E21" s="301" t="s">
        <v>109</v>
      </c>
      <c r="F21" s="252">
        <v>1</v>
      </c>
      <c r="G21" s="160">
        <v>1</v>
      </c>
      <c r="H21" s="161">
        <v>1</v>
      </c>
      <c r="I21" s="161">
        <v>1</v>
      </c>
      <c r="J21" s="159">
        <v>1</v>
      </c>
      <c r="K21" s="160">
        <v>1</v>
      </c>
      <c r="L21" s="161">
        <v>1</v>
      </c>
      <c r="M21" s="161">
        <v>1</v>
      </c>
      <c r="N21" s="159">
        <v>1</v>
      </c>
      <c r="O21" s="253">
        <v>1</v>
      </c>
      <c r="P21" s="267">
        <v>0</v>
      </c>
      <c r="Q21" s="268">
        <v>0</v>
      </c>
      <c r="R21" s="269">
        <v>0</v>
      </c>
      <c r="S21" s="270">
        <v>0</v>
      </c>
      <c r="T21" s="271">
        <v>0</v>
      </c>
      <c r="U21" s="272">
        <v>0</v>
      </c>
      <c r="V21" s="325" t="s">
        <v>142</v>
      </c>
      <c r="W21" s="326">
        <v>0</v>
      </c>
      <c r="X21" s="30"/>
    </row>
    <row r="22" spans="1:24" ht="13">
      <c r="A22" s="302">
        <v>20</v>
      </c>
      <c r="B22" s="156" t="s">
        <v>385</v>
      </c>
      <c r="C22" s="157" t="s">
        <v>388</v>
      </c>
      <c r="D22" s="157"/>
      <c r="E22" s="303" t="s">
        <v>109</v>
      </c>
      <c r="F22" s="244">
        <v>1</v>
      </c>
      <c r="G22" s="163">
        <v>1</v>
      </c>
      <c r="H22" s="164">
        <v>1</v>
      </c>
      <c r="I22" s="164">
        <v>1</v>
      </c>
      <c r="J22" s="162">
        <v>1</v>
      </c>
      <c r="K22" s="163">
        <v>1</v>
      </c>
      <c r="L22" s="164">
        <v>1</v>
      </c>
      <c r="M22" s="164">
        <v>1</v>
      </c>
      <c r="N22" s="162">
        <v>1</v>
      </c>
      <c r="O22" s="245">
        <v>1</v>
      </c>
      <c r="P22" s="262">
        <v>0</v>
      </c>
      <c r="Q22" s="264">
        <v>0</v>
      </c>
      <c r="R22" s="265">
        <v>0</v>
      </c>
      <c r="S22" s="263">
        <v>0</v>
      </c>
      <c r="T22" s="273">
        <v>0</v>
      </c>
      <c r="U22" s="274">
        <v>0</v>
      </c>
      <c r="V22" s="321" t="s">
        <v>142</v>
      </c>
      <c r="W22" s="322">
        <v>0</v>
      </c>
      <c r="X22" s="30"/>
    </row>
    <row r="23" spans="1:24" ht="13">
      <c r="A23" s="302">
        <v>21</v>
      </c>
      <c r="B23" s="226" t="s">
        <v>386</v>
      </c>
      <c r="C23" s="157" t="s">
        <v>458</v>
      </c>
      <c r="D23" s="157"/>
      <c r="E23" s="303" t="s">
        <v>109</v>
      </c>
      <c r="F23" s="244">
        <v>1</v>
      </c>
      <c r="G23" s="163">
        <v>1</v>
      </c>
      <c r="H23" s="164">
        <v>1</v>
      </c>
      <c r="I23" s="164">
        <v>1</v>
      </c>
      <c r="J23" s="162">
        <v>1</v>
      </c>
      <c r="K23" s="163">
        <v>1</v>
      </c>
      <c r="L23" s="164">
        <v>1</v>
      </c>
      <c r="M23" s="164">
        <v>1</v>
      </c>
      <c r="N23" s="162">
        <v>1</v>
      </c>
      <c r="O23" s="245">
        <v>1</v>
      </c>
      <c r="P23" s="262">
        <v>0</v>
      </c>
      <c r="Q23" s="264">
        <v>0</v>
      </c>
      <c r="R23" s="265">
        <v>0</v>
      </c>
      <c r="S23" s="263">
        <v>0</v>
      </c>
      <c r="T23" s="273">
        <v>0</v>
      </c>
      <c r="U23" s="274">
        <v>0</v>
      </c>
      <c r="V23" s="321" t="s">
        <v>142</v>
      </c>
      <c r="W23" s="322">
        <v>0</v>
      </c>
      <c r="X23" s="30"/>
    </row>
    <row r="24" spans="1:24" ht="13">
      <c r="A24" s="302">
        <v>22</v>
      </c>
      <c r="B24" s="220" t="s">
        <v>387</v>
      </c>
      <c r="C24" s="158" t="s">
        <v>459</v>
      </c>
      <c r="D24" s="158"/>
      <c r="E24" s="304" t="s">
        <v>109</v>
      </c>
      <c r="F24" s="250">
        <v>1</v>
      </c>
      <c r="G24" s="175">
        <v>1</v>
      </c>
      <c r="H24" s="176">
        <v>1</v>
      </c>
      <c r="I24" s="176">
        <v>1</v>
      </c>
      <c r="J24" s="174">
        <v>1</v>
      </c>
      <c r="K24" s="175">
        <v>1</v>
      </c>
      <c r="L24" s="176">
        <v>1</v>
      </c>
      <c r="M24" s="176">
        <v>1</v>
      </c>
      <c r="N24" s="174">
        <v>1</v>
      </c>
      <c r="O24" s="251">
        <v>1</v>
      </c>
      <c r="P24" s="275">
        <v>0</v>
      </c>
      <c r="Q24" s="276">
        <v>0</v>
      </c>
      <c r="R24" s="277">
        <v>0</v>
      </c>
      <c r="S24" s="278">
        <v>0</v>
      </c>
      <c r="T24" s="279">
        <v>0</v>
      </c>
      <c r="U24" s="280">
        <v>0</v>
      </c>
      <c r="V24" s="327" t="s">
        <v>142</v>
      </c>
      <c r="W24" s="328">
        <v>0</v>
      </c>
      <c r="X24" s="30"/>
    </row>
    <row r="25" spans="1:24" ht="13.75" customHeight="1">
      <c r="A25" s="315">
        <v>23</v>
      </c>
      <c r="B25" s="156" t="s">
        <v>366</v>
      </c>
      <c r="C25" s="157" t="s">
        <v>292</v>
      </c>
      <c r="D25" s="157"/>
      <c r="E25" s="303" t="s">
        <v>109</v>
      </c>
      <c r="F25" s="262">
        <v>0</v>
      </c>
      <c r="G25" s="263">
        <v>0</v>
      </c>
      <c r="H25" s="264">
        <v>0</v>
      </c>
      <c r="I25" s="264">
        <v>0</v>
      </c>
      <c r="J25" s="265">
        <v>0</v>
      </c>
      <c r="K25" s="263">
        <v>0</v>
      </c>
      <c r="L25" s="264">
        <v>0</v>
      </c>
      <c r="M25" s="264">
        <v>0</v>
      </c>
      <c r="N25" s="265">
        <v>0</v>
      </c>
      <c r="O25" s="266">
        <v>0</v>
      </c>
      <c r="P25" s="244">
        <v>1</v>
      </c>
      <c r="Q25" s="164">
        <v>1</v>
      </c>
      <c r="R25" s="162">
        <v>1</v>
      </c>
      <c r="S25" s="163">
        <v>1</v>
      </c>
      <c r="T25" s="165">
        <v>1</v>
      </c>
      <c r="U25" s="259">
        <v>1</v>
      </c>
      <c r="V25" s="321" t="s">
        <v>150</v>
      </c>
      <c r="W25" s="322">
        <v>0</v>
      </c>
      <c r="X25" s="30"/>
    </row>
    <row r="26" spans="1:24" ht="13.5" thickBot="1">
      <c r="A26" s="305">
        <v>24</v>
      </c>
      <c r="B26" s="306" t="s">
        <v>367</v>
      </c>
      <c r="C26" s="307" t="s">
        <v>368</v>
      </c>
      <c r="D26" s="307"/>
      <c r="E26" s="308" t="s">
        <v>109</v>
      </c>
      <c r="F26" s="275">
        <v>0</v>
      </c>
      <c r="G26" s="278">
        <v>0</v>
      </c>
      <c r="H26" s="276">
        <v>0</v>
      </c>
      <c r="I26" s="276">
        <v>0</v>
      </c>
      <c r="J26" s="277">
        <v>0</v>
      </c>
      <c r="K26" s="278">
        <v>0</v>
      </c>
      <c r="L26" s="276">
        <v>0</v>
      </c>
      <c r="M26" s="276">
        <v>0</v>
      </c>
      <c r="N26" s="277">
        <v>0</v>
      </c>
      <c r="O26" s="282">
        <v>0</v>
      </c>
      <c r="P26" s="250">
        <v>1</v>
      </c>
      <c r="Q26" s="176">
        <v>1</v>
      </c>
      <c r="R26" s="174">
        <v>1</v>
      </c>
      <c r="S26" s="175">
        <v>1</v>
      </c>
      <c r="T26" s="177">
        <v>1</v>
      </c>
      <c r="U26" s="260">
        <v>1</v>
      </c>
      <c r="V26" s="321" t="s">
        <v>150</v>
      </c>
      <c r="W26" s="322">
        <v>0</v>
      </c>
      <c r="X26" s="30"/>
    </row>
    <row r="27" spans="1:24" ht="13">
      <c r="A27" s="298">
        <v>25</v>
      </c>
      <c r="B27" s="300" t="s">
        <v>288</v>
      </c>
      <c r="C27" s="300" t="s">
        <v>291</v>
      </c>
      <c r="D27" s="300"/>
      <c r="E27" s="309" t="s">
        <v>55</v>
      </c>
      <c r="F27" s="246">
        <v>0</v>
      </c>
      <c r="G27" s="179">
        <v>1</v>
      </c>
      <c r="H27" s="180">
        <v>1</v>
      </c>
      <c r="I27" s="180">
        <v>1</v>
      </c>
      <c r="J27" s="178">
        <v>0</v>
      </c>
      <c r="K27" s="179">
        <v>0</v>
      </c>
      <c r="L27" s="180">
        <v>0</v>
      </c>
      <c r="M27" s="180">
        <v>0</v>
      </c>
      <c r="N27" s="178">
        <v>1</v>
      </c>
      <c r="O27" s="247">
        <v>1</v>
      </c>
      <c r="P27" s="283">
        <v>0</v>
      </c>
      <c r="Q27" s="284">
        <v>0</v>
      </c>
      <c r="R27" s="285">
        <v>0</v>
      </c>
      <c r="S27" s="286">
        <v>0</v>
      </c>
      <c r="T27" s="284">
        <v>0</v>
      </c>
      <c r="U27" s="287">
        <v>0</v>
      </c>
      <c r="V27" s="325" t="s">
        <v>150</v>
      </c>
      <c r="W27" s="326"/>
      <c r="X27" s="30"/>
    </row>
    <row r="28" spans="1:24">
      <c r="A28" s="302">
        <v>26</v>
      </c>
      <c r="B28" s="157" t="s">
        <v>309</v>
      </c>
      <c r="C28" s="157" t="s">
        <v>311</v>
      </c>
      <c r="D28" s="157"/>
      <c r="E28" s="310" t="s">
        <v>55</v>
      </c>
      <c r="F28" s="248">
        <v>0</v>
      </c>
      <c r="G28" s="167">
        <v>1</v>
      </c>
      <c r="H28" s="168">
        <v>1</v>
      </c>
      <c r="I28" s="168">
        <v>1</v>
      </c>
      <c r="J28" s="166">
        <v>0</v>
      </c>
      <c r="K28" s="167">
        <v>0</v>
      </c>
      <c r="L28" s="168">
        <v>1</v>
      </c>
      <c r="M28" s="168">
        <v>1</v>
      </c>
      <c r="N28" s="166">
        <v>1</v>
      </c>
      <c r="O28" s="249">
        <v>1</v>
      </c>
      <c r="P28" s="288">
        <v>0</v>
      </c>
      <c r="Q28" s="289">
        <v>0</v>
      </c>
      <c r="R28" s="290">
        <v>0</v>
      </c>
      <c r="S28" s="291">
        <v>0</v>
      </c>
      <c r="T28" s="289">
        <v>0</v>
      </c>
      <c r="U28" s="292">
        <v>0</v>
      </c>
      <c r="V28" s="321" t="s">
        <v>150</v>
      </c>
      <c r="W28" s="322"/>
    </row>
    <row r="29" spans="1:24" ht="13" thickBot="1">
      <c r="A29" s="305">
        <v>27</v>
      </c>
      <c r="B29" s="307" t="s">
        <v>310</v>
      </c>
      <c r="C29" s="307" t="s">
        <v>312</v>
      </c>
      <c r="D29" s="307" t="s">
        <v>305</v>
      </c>
      <c r="E29" s="311" t="s">
        <v>55</v>
      </c>
      <c r="F29" s="254">
        <v>0</v>
      </c>
      <c r="G29" s="255">
        <v>1</v>
      </c>
      <c r="H29" s="256">
        <v>1</v>
      </c>
      <c r="I29" s="256">
        <v>1</v>
      </c>
      <c r="J29" s="257">
        <v>0</v>
      </c>
      <c r="K29" s="255">
        <v>0</v>
      </c>
      <c r="L29" s="256">
        <v>0</v>
      </c>
      <c r="M29" s="256">
        <v>0</v>
      </c>
      <c r="N29" s="257">
        <v>1</v>
      </c>
      <c r="O29" s="258">
        <v>1</v>
      </c>
      <c r="P29" s="293">
        <v>0</v>
      </c>
      <c r="Q29" s="294">
        <v>0</v>
      </c>
      <c r="R29" s="295">
        <v>0</v>
      </c>
      <c r="S29" s="296">
        <v>0</v>
      </c>
      <c r="T29" s="294">
        <v>0</v>
      </c>
      <c r="U29" s="297">
        <v>0</v>
      </c>
      <c r="V29" s="323" t="s">
        <v>150</v>
      </c>
      <c r="W29" s="324"/>
    </row>
    <row r="30" spans="1:24" ht="13">
      <c r="W30" s="146" t="s">
        <v>308</v>
      </c>
    </row>
    <row r="32" spans="1:24">
      <c r="D32"/>
    </row>
    <row r="33" spans="4:4">
      <c r="D33"/>
    </row>
  </sheetData>
  <phoneticPr fontId="9" type="noConversion"/>
  <pageMargins left="0.7" right="0.7" top="0.78740157499999996" bottom="0.78740157499999996" header="0.3" footer="0.3"/>
  <pageSetup paperSize="9" orientation="portrait" horizontalDpi="4294967293"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BDA9A99-BA92-48DB-AE26-76A6E8AE4E18}">
          <x14:formula1>
            <xm:f>qualitativeGewichte!$A$2:$A$9</xm:f>
          </x14:formula1>
          <xm:sqref>X3:X27 V3:V29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B0DAE-D38A-2046-8298-D27E79A5D7A2}">
  <sheetPr codeName="Tabelle8"/>
  <dimension ref="A1:Y28"/>
  <sheetViews>
    <sheetView tabSelected="1" zoomScale="85" zoomScaleNormal="85" workbookViewId="0">
      <pane xSplit="2" ySplit="3" topLeftCell="R4" activePane="bottomRight" state="frozen"/>
      <selection pane="topRight" activeCell="C1" sqref="C1"/>
      <selection pane="bottomLeft" activeCell="A4" sqref="A4"/>
      <selection pane="bottomRight" activeCell="A6" sqref="A6:XFD6"/>
    </sheetView>
  </sheetViews>
  <sheetFormatPr baseColWidth="10" defaultRowHeight="13"/>
  <cols>
    <col min="1" max="1" width="13.08984375" style="117" bestFit="1" customWidth="1"/>
    <col min="2" max="2" width="28" style="117" bestFit="1" customWidth="1"/>
    <col min="3" max="3" width="34.90625" style="117" bestFit="1" customWidth="1"/>
    <col min="4" max="4" width="19.08984375" style="343" customWidth="1"/>
    <col min="5" max="5" width="19.81640625" style="343" bestFit="1" customWidth="1"/>
    <col min="6" max="6" width="27.08984375" style="343" bestFit="1" customWidth="1"/>
    <col min="7" max="7" width="41.81640625" style="342" customWidth="1"/>
    <col min="8" max="8" width="23.6328125" style="342" bestFit="1" customWidth="1"/>
    <col min="9" max="9" width="38.453125" style="117" bestFit="1" customWidth="1"/>
    <col min="10" max="10" width="38.08984375" style="342" bestFit="1" customWidth="1"/>
    <col min="11" max="11" width="28.6328125" style="342" customWidth="1"/>
    <col min="12" max="12" width="30.08984375" style="342" bestFit="1" customWidth="1"/>
    <col min="13" max="13" width="32.08984375" style="343" bestFit="1" customWidth="1"/>
    <col min="14" max="14" width="47.6328125" style="336" bestFit="1" customWidth="1"/>
    <col min="15" max="15" width="18.453125" style="343" customWidth="1"/>
    <col min="16" max="16" width="18.453125" style="365" customWidth="1"/>
    <col min="17" max="17" width="19.81640625" style="343" customWidth="1"/>
    <col min="18" max="18" width="18.81640625" style="343" customWidth="1"/>
    <col min="19" max="19" width="38.36328125" style="117" customWidth="1"/>
    <col min="20" max="20" width="25" style="342" bestFit="1" customWidth="1"/>
    <col min="21" max="21" width="34.453125" style="342" bestFit="1" customWidth="1"/>
    <col min="22" max="22" width="13.6328125" style="343" customWidth="1"/>
    <col min="23" max="23" width="17" style="117" bestFit="1" customWidth="1"/>
    <col min="24" max="24" width="22.08984375" style="117" customWidth="1"/>
    <col min="25" max="16384" width="10.90625" style="117"/>
  </cols>
  <sheetData>
    <row r="1" spans="1:25">
      <c r="A1" s="14"/>
      <c r="B1" s="330"/>
      <c r="C1" s="372" t="s">
        <v>23</v>
      </c>
      <c r="D1" s="372"/>
      <c r="E1" s="372"/>
      <c r="F1" s="331" t="s">
        <v>430</v>
      </c>
      <c r="G1" s="373" t="s">
        <v>431</v>
      </c>
      <c r="H1" s="373"/>
      <c r="I1" s="331" t="s">
        <v>37</v>
      </c>
      <c r="J1" s="374" t="s">
        <v>27</v>
      </c>
      <c r="K1" s="374"/>
      <c r="L1" s="374"/>
      <c r="M1" s="374"/>
      <c r="N1" s="374"/>
      <c r="O1" s="331" t="s">
        <v>195</v>
      </c>
      <c r="P1" s="332"/>
      <c r="Q1" s="333" t="s">
        <v>196</v>
      </c>
      <c r="R1" s="331"/>
      <c r="S1" s="331"/>
      <c r="T1" s="372" t="s">
        <v>33</v>
      </c>
      <c r="U1" s="372"/>
      <c r="V1" s="334"/>
      <c r="X1" s="181"/>
    </row>
    <row r="2" spans="1:25">
      <c r="A2" s="14"/>
      <c r="B2" s="14"/>
      <c r="C2" s="335" t="s">
        <v>21</v>
      </c>
      <c r="D2" s="335" t="s">
        <v>22</v>
      </c>
      <c r="E2" s="335" t="s">
        <v>35</v>
      </c>
      <c r="F2" s="335" t="s">
        <v>197</v>
      </c>
      <c r="G2" s="336" t="s">
        <v>25</v>
      </c>
      <c r="H2" s="336" t="s">
        <v>26</v>
      </c>
      <c r="I2" s="335" t="s">
        <v>28</v>
      </c>
      <c r="J2" s="337" t="s">
        <v>36</v>
      </c>
      <c r="K2" s="336" t="s">
        <v>29</v>
      </c>
      <c r="L2" s="336" t="s">
        <v>198</v>
      </c>
      <c r="M2" s="335" t="s">
        <v>30</v>
      </c>
      <c r="N2" s="336" t="s">
        <v>293</v>
      </c>
      <c r="O2" s="335" t="s">
        <v>31</v>
      </c>
      <c r="P2" s="335" t="s">
        <v>199</v>
      </c>
      <c r="Q2" s="335" t="s">
        <v>200</v>
      </c>
      <c r="R2" s="335" t="s">
        <v>38</v>
      </c>
      <c r="S2" s="338" t="s">
        <v>32</v>
      </c>
      <c r="T2" s="339" t="s">
        <v>201</v>
      </c>
      <c r="U2" s="336" t="s">
        <v>34</v>
      </c>
      <c r="V2" s="340"/>
      <c r="X2" s="181" t="s">
        <v>202</v>
      </c>
    </row>
    <row r="3" spans="1:25">
      <c r="A3" s="14" t="s">
        <v>45</v>
      </c>
      <c r="B3" s="341" t="s">
        <v>24</v>
      </c>
      <c r="C3" s="117" t="s">
        <v>43</v>
      </c>
      <c r="D3" s="117" t="s">
        <v>139</v>
      </c>
      <c r="E3" s="117" t="s">
        <v>140</v>
      </c>
      <c r="F3" s="117" t="s">
        <v>43</v>
      </c>
      <c r="G3" s="342" t="s">
        <v>142</v>
      </c>
      <c r="H3" s="342" t="s">
        <v>150</v>
      </c>
      <c r="I3" s="117" t="s">
        <v>140</v>
      </c>
      <c r="J3" s="342" t="s">
        <v>390</v>
      </c>
      <c r="K3" s="342" t="s">
        <v>142</v>
      </c>
      <c r="L3" s="342" t="s">
        <v>140</v>
      </c>
      <c r="M3" s="117" t="s">
        <v>143</v>
      </c>
      <c r="N3" s="342" t="s">
        <v>150</v>
      </c>
      <c r="O3" s="117" t="s">
        <v>142</v>
      </c>
      <c r="P3" s="117" t="s">
        <v>143</v>
      </c>
      <c r="Q3" s="117" t="s">
        <v>139</v>
      </c>
      <c r="R3" s="117" t="s">
        <v>143</v>
      </c>
      <c r="S3" s="117" t="s">
        <v>143</v>
      </c>
      <c r="T3" s="342" t="s">
        <v>142</v>
      </c>
      <c r="U3" s="342" t="s">
        <v>142</v>
      </c>
      <c r="W3" s="117" t="s">
        <v>13</v>
      </c>
      <c r="X3" s="181" t="s">
        <v>203</v>
      </c>
      <c r="Y3" s="117" t="s">
        <v>316</v>
      </c>
    </row>
    <row r="4" spans="1:25">
      <c r="A4" s="14" t="s">
        <v>1</v>
      </c>
      <c r="B4" s="14" t="s">
        <v>144</v>
      </c>
      <c r="C4" s="344" t="s">
        <v>204</v>
      </c>
      <c r="D4" s="344" t="s">
        <v>204</v>
      </c>
      <c r="E4" s="344" t="s">
        <v>205</v>
      </c>
      <c r="F4" s="344" t="s">
        <v>206</v>
      </c>
      <c r="G4" s="345" t="s">
        <v>205</v>
      </c>
      <c r="H4" s="345" t="s">
        <v>207</v>
      </c>
      <c r="I4" s="346" t="s">
        <v>434</v>
      </c>
      <c r="J4" s="345" t="s">
        <v>392</v>
      </c>
      <c r="K4" s="347" t="s">
        <v>345</v>
      </c>
      <c r="L4" s="347" t="s">
        <v>436</v>
      </c>
      <c r="M4" s="348"/>
      <c r="O4" s="348"/>
      <c r="P4" s="348"/>
      <c r="Q4" s="348" t="s">
        <v>112</v>
      </c>
      <c r="R4" s="348"/>
      <c r="S4" s="348"/>
      <c r="T4" s="345" t="s">
        <v>208</v>
      </c>
      <c r="U4" s="345" t="s">
        <v>15</v>
      </c>
      <c r="V4" s="349"/>
      <c r="X4" s="181" t="s">
        <v>209</v>
      </c>
      <c r="Y4" s="117" t="s">
        <v>43</v>
      </c>
    </row>
    <row r="5" spans="1:25" ht="12.5">
      <c r="A5" s="350" t="s">
        <v>3</v>
      </c>
      <c r="B5" s="351" t="s">
        <v>118</v>
      </c>
      <c r="C5" s="348" t="s">
        <v>331</v>
      </c>
      <c r="D5" s="344"/>
      <c r="E5" s="344"/>
      <c r="F5" s="349" t="s">
        <v>427</v>
      </c>
      <c r="G5" s="345" t="s">
        <v>320</v>
      </c>
      <c r="H5" s="352" t="s">
        <v>423</v>
      </c>
      <c r="I5" s="353"/>
      <c r="J5" s="345" t="s">
        <v>281</v>
      </c>
      <c r="K5" s="347"/>
      <c r="L5" s="347"/>
      <c r="M5" s="344"/>
      <c r="N5" s="347"/>
      <c r="O5" s="344"/>
      <c r="P5" s="354"/>
      <c r="Q5" s="344"/>
      <c r="R5" s="344"/>
      <c r="S5" s="343"/>
      <c r="T5" s="352" t="s">
        <v>476</v>
      </c>
      <c r="U5" s="352"/>
      <c r="V5" s="355"/>
      <c r="W5" s="356"/>
      <c r="X5" s="181" t="s">
        <v>209</v>
      </c>
      <c r="Y5" s="357"/>
    </row>
    <row r="6" spans="1:25" ht="12.5">
      <c r="A6" s="350" t="s">
        <v>5</v>
      </c>
      <c r="B6" s="351" t="s">
        <v>119</v>
      </c>
      <c r="C6" s="348"/>
      <c r="D6" s="344"/>
      <c r="E6" s="344"/>
      <c r="F6" s="349" t="s">
        <v>428</v>
      </c>
      <c r="G6" s="345" t="s">
        <v>433</v>
      </c>
      <c r="H6" s="345" t="s">
        <v>425</v>
      </c>
      <c r="I6" s="353" t="s">
        <v>435</v>
      </c>
      <c r="J6" s="347" t="s">
        <v>281</v>
      </c>
      <c r="K6" s="347" t="s">
        <v>480</v>
      </c>
      <c r="L6" s="347" t="s">
        <v>393</v>
      </c>
      <c r="M6" s="344"/>
      <c r="N6" s="352" t="s">
        <v>389</v>
      </c>
      <c r="O6" s="344"/>
      <c r="P6" s="354"/>
      <c r="Q6" s="344"/>
      <c r="R6" s="344"/>
      <c r="S6" s="343"/>
      <c r="T6" s="352"/>
      <c r="U6" s="352"/>
      <c r="V6" s="355"/>
      <c r="W6" s="358" t="s">
        <v>182</v>
      </c>
      <c r="X6" s="181" t="s">
        <v>209</v>
      </c>
      <c r="Y6" s="357"/>
    </row>
    <row r="7" spans="1:25" ht="12.5">
      <c r="A7" s="350" t="s">
        <v>6</v>
      </c>
      <c r="B7" s="351" t="s">
        <v>120</v>
      </c>
      <c r="C7" s="348" t="s">
        <v>62</v>
      </c>
      <c r="D7" s="181"/>
      <c r="E7" s="344"/>
      <c r="F7" s="349" t="s">
        <v>428</v>
      </c>
      <c r="G7" s="347"/>
      <c r="H7" s="345" t="s">
        <v>424</v>
      </c>
      <c r="I7" s="353"/>
      <c r="J7" s="345" t="s">
        <v>391</v>
      </c>
      <c r="K7" s="347"/>
      <c r="L7" s="345"/>
      <c r="M7" s="344"/>
      <c r="N7" s="347"/>
      <c r="O7" s="344"/>
      <c r="P7" s="354"/>
      <c r="Q7" s="344"/>
      <c r="R7" s="344"/>
      <c r="S7" s="343"/>
      <c r="T7" s="352" t="s">
        <v>230</v>
      </c>
      <c r="U7" s="352" t="s">
        <v>302</v>
      </c>
      <c r="V7" s="355"/>
      <c r="W7" s="356" t="s">
        <v>176</v>
      </c>
      <c r="X7" s="181" t="s">
        <v>209</v>
      </c>
      <c r="Y7" s="357"/>
    </row>
    <row r="8" spans="1:25" ht="13.75" customHeight="1">
      <c r="A8" s="350" t="s">
        <v>7</v>
      </c>
      <c r="B8" s="351" t="s">
        <v>121</v>
      </c>
      <c r="C8" s="348"/>
      <c r="D8" s="344"/>
      <c r="E8" s="344"/>
      <c r="F8" s="349" t="s">
        <v>428</v>
      </c>
      <c r="G8" s="352" t="s">
        <v>433</v>
      </c>
      <c r="H8" s="352" t="s">
        <v>425</v>
      </c>
      <c r="I8" s="353" t="s">
        <v>435</v>
      </c>
      <c r="J8" s="345"/>
      <c r="K8" s="347" t="s">
        <v>480</v>
      </c>
      <c r="L8" s="347" t="s">
        <v>482</v>
      </c>
      <c r="M8" s="344"/>
      <c r="N8" s="352" t="s">
        <v>389</v>
      </c>
      <c r="O8" s="344"/>
      <c r="P8" s="354"/>
      <c r="Q8" s="344"/>
      <c r="R8" s="344"/>
      <c r="S8" s="343"/>
      <c r="T8" s="352"/>
      <c r="U8" s="352" t="s">
        <v>303</v>
      </c>
      <c r="V8" s="355"/>
      <c r="W8" s="358"/>
      <c r="X8" s="181" t="s">
        <v>209</v>
      </c>
      <c r="Y8" s="357"/>
    </row>
    <row r="9" spans="1:25" ht="12.5">
      <c r="A9" s="350" t="s">
        <v>8</v>
      </c>
      <c r="B9" s="351" t="s">
        <v>122</v>
      </c>
      <c r="C9" s="348" t="s">
        <v>372</v>
      </c>
      <c r="D9" s="344"/>
      <c r="E9" s="344"/>
      <c r="F9" s="349" t="s">
        <v>428</v>
      </c>
      <c r="G9" s="352" t="s">
        <v>229</v>
      </c>
      <c r="H9" s="352" t="s">
        <v>82</v>
      </c>
      <c r="I9" s="353" t="s">
        <v>437</v>
      </c>
      <c r="J9" s="345" t="s">
        <v>282</v>
      </c>
      <c r="K9" s="347"/>
      <c r="L9" s="347"/>
      <c r="M9" s="344"/>
      <c r="N9" s="347"/>
      <c r="O9" s="344"/>
      <c r="P9" s="354"/>
      <c r="Q9" s="344"/>
      <c r="R9" s="344"/>
      <c r="S9" s="343"/>
      <c r="T9" s="352"/>
      <c r="U9" s="352" t="s">
        <v>300</v>
      </c>
      <c r="V9" s="355"/>
      <c r="W9" s="358"/>
      <c r="X9" s="181" t="s">
        <v>209</v>
      </c>
      <c r="Y9" s="357"/>
    </row>
    <row r="10" spans="1:25" ht="12.5">
      <c r="A10" s="350" t="s">
        <v>9</v>
      </c>
      <c r="B10" s="351" t="s">
        <v>123</v>
      </c>
      <c r="C10" s="348" t="s">
        <v>347</v>
      </c>
      <c r="D10" s="344"/>
      <c r="E10" s="344"/>
      <c r="F10" s="349" t="s">
        <v>428</v>
      </c>
      <c r="G10" s="345"/>
      <c r="H10" s="345" t="s">
        <v>424</v>
      </c>
      <c r="I10" s="353"/>
      <c r="J10" s="347" t="s">
        <v>284</v>
      </c>
      <c r="K10" s="347"/>
      <c r="L10" s="347" t="s">
        <v>394</v>
      </c>
      <c r="M10" s="344"/>
      <c r="N10" s="347"/>
      <c r="O10" s="344"/>
      <c r="P10" s="354"/>
      <c r="Q10" s="344"/>
      <c r="R10" s="344"/>
      <c r="S10" s="343"/>
      <c r="T10" s="352"/>
      <c r="U10" s="352"/>
      <c r="V10" s="355"/>
      <c r="W10" s="358" t="s">
        <v>180</v>
      </c>
      <c r="X10" s="181" t="s">
        <v>209</v>
      </c>
      <c r="Y10" s="357"/>
    </row>
    <row r="11" spans="1:25" ht="12.5">
      <c r="A11" s="350" t="s">
        <v>10</v>
      </c>
      <c r="B11" s="351" t="s">
        <v>124</v>
      </c>
      <c r="C11" s="348"/>
      <c r="D11" s="344"/>
      <c r="E11" s="344"/>
      <c r="F11" s="349" t="s">
        <v>428</v>
      </c>
      <c r="G11" s="345"/>
      <c r="H11" s="345" t="s">
        <v>424</v>
      </c>
      <c r="I11" s="353"/>
      <c r="J11" s="345" t="s">
        <v>283</v>
      </c>
      <c r="K11" s="347" t="s">
        <v>346</v>
      </c>
      <c r="L11" s="347"/>
      <c r="M11" s="344"/>
      <c r="N11" s="347"/>
      <c r="O11" s="344"/>
      <c r="P11" s="354"/>
      <c r="Q11" s="344"/>
      <c r="R11" s="344"/>
      <c r="S11" s="343"/>
      <c r="T11" s="352"/>
      <c r="U11" s="352" t="s">
        <v>302</v>
      </c>
      <c r="V11" s="355"/>
      <c r="W11" s="358" t="s">
        <v>179</v>
      </c>
      <c r="X11" s="181" t="s">
        <v>209</v>
      </c>
      <c r="Y11" s="357"/>
    </row>
    <row r="12" spans="1:25" ht="12.5">
      <c r="A12" s="350" t="s">
        <v>11</v>
      </c>
      <c r="B12" s="351" t="s">
        <v>125</v>
      </c>
      <c r="C12" s="348"/>
      <c r="D12" s="344"/>
      <c r="E12" s="344"/>
      <c r="F12" s="349" t="s">
        <v>429</v>
      </c>
      <c r="G12" s="345"/>
      <c r="H12" s="345" t="s">
        <v>363</v>
      </c>
      <c r="I12" s="353" t="s">
        <v>438</v>
      </c>
      <c r="J12" s="345" t="s">
        <v>284</v>
      </c>
      <c r="K12" s="347"/>
      <c r="L12" s="347"/>
      <c r="M12" s="344"/>
      <c r="N12" s="347"/>
      <c r="O12" s="344"/>
      <c r="P12" s="354"/>
      <c r="Q12" s="344"/>
      <c r="R12" s="344"/>
      <c r="S12" s="343"/>
      <c r="T12" s="352"/>
      <c r="U12" s="352"/>
      <c r="V12" s="355"/>
      <c r="W12" s="358"/>
      <c r="X12" s="181" t="s">
        <v>209</v>
      </c>
      <c r="Y12" s="357"/>
    </row>
    <row r="13" spans="1:25" ht="12.5">
      <c r="A13" s="350" t="s">
        <v>12</v>
      </c>
      <c r="B13" s="359" t="s">
        <v>126</v>
      </c>
      <c r="C13" s="348" t="s">
        <v>110</v>
      </c>
      <c r="D13" s="344"/>
      <c r="E13" s="344"/>
      <c r="F13" s="349" t="s">
        <v>429</v>
      </c>
      <c r="G13" s="345"/>
      <c r="H13" s="345" t="s">
        <v>426</v>
      </c>
      <c r="I13" s="353"/>
      <c r="J13" s="345"/>
      <c r="K13" s="347"/>
      <c r="L13" s="347"/>
      <c r="M13" s="344"/>
      <c r="N13" s="347"/>
      <c r="O13" s="344"/>
      <c r="P13" s="354"/>
      <c r="Q13" s="344"/>
      <c r="R13" s="344"/>
      <c r="S13" s="343"/>
      <c r="T13" s="352" t="s">
        <v>383</v>
      </c>
      <c r="U13" s="352" t="s">
        <v>302</v>
      </c>
      <c r="V13" s="355"/>
      <c r="W13" s="358"/>
      <c r="X13" s="181" t="s">
        <v>209</v>
      </c>
      <c r="Y13" s="357"/>
    </row>
    <row r="14" spans="1:25" ht="12.5">
      <c r="A14" s="350" t="s">
        <v>16</v>
      </c>
      <c r="B14" s="359" t="s">
        <v>127</v>
      </c>
      <c r="C14" s="360"/>
      <c r="D14" s="344"/>
      <c r="E14" s="344"/>
      <c r="F14" s="349" t="s">
        <v>429</v>
      </c>
      <c r="G14" s="345"/>
      <c r="H14" s="345" t="s">
        <v>363</v>
      </c>
      <c r="I14" s="353"/>
      <c r="J14" s="345" t="s">
        <v>282</v>
      </c>
      <c r="K14" s="347"/>
      <c r="L14" s="347" t="s">
        <v>395</v>
      </c>
      <c r="M14" s="344"/>
      <c r="N14" s="347"/>
      <c r="O14" s="344"/>
      <c r="P14" s="354"/>
      <c r="Q14" s="344"/>
      <c r="R14" s="344"/>
      <c r="S14" s="343"/>
      <c r="T14" s="352"/>
      <c r="U14" s="352" t="s">
        <v>303</v>
      </c>
      <c r="V14" s="355"/>
      <c r="W14" s="358" t="s">
        <v>181</v>
      </c>
      <c r="X14" s="181" t="s">
        <v>209</v>
      </c>
      <c r="Y14" s="357"/>
    </row>
    <row r="15" spans="1:25" ht="12.5">
      <c r="A15" s="350" t="s">
        <v>17</v>
      </c>
      <c r="B15" s="351" t="s">
        <v>128</v>
      </c>
      <c r="C15" s="348"/>
      <c r="D15" s="344"/>
      <c r="E15" s="344"/>
      <c r="F15" s="349" t="s">
        <v>429</v>
      </c>
      <c r="G15" s="345"/>
      <c r="H15" s="345" t="s">
        <v>451</v>
      </c>
      <c r="I15" s="353"/>
      <c r="J15" s="345" t="s">
        <v>283</v>
      </c>
      <c r="K15" s="347"/>
      <c r="L15" s="347"/>
      <c r="M15" s="344"/>
      <c r="N15" s="347"/>
      <c r="O15" s="344"/>
      <c r="P15" s="354"/>
      <c r="Q15" s="344"/>
      <c r="R15" s="344"/>
      <c r="S15" s="343"/>
      <c r="T15" s="352"/>
      <c r="U15" s="352" t="s">
        <v>302</v>
      </c>
      <c r="V15" s="355"/>
      <c r="W15" s="358"/>
      <c r="X15" s="181" t="s">
        <v>209</v>
      </c>
      <c r="Y15" s="357"/>
    </row>
    <row r="16" spans="1:25" ht="12.5">
      <c r="A16" s="350" t="s">
        <v>18</v>
      </c>
      <c r="B16" s="351" t="s">
        <v>129</v>
      </c>
      <c r="C16" s="348"/>
      <c r="D16" s="344"/>
      <c r="E16" s="344"/>
      <c r="F16" s="349" t="s">
        <v>428</v>
      </c>
      <c r="G16" s="345" t="s">
        <v>183</v>
      </c>
      <c r="H16" s="345" t="s">
        <v>363</v>
      </c>
      <c r="I16" s="353"/>
      <c r="J16" s="345" t="s">
        <v>283</v>
      </c>
      <c r="K16" s="347"/>
      <c r="L16" s="347"/>
      <c r="M16" s="344"/>
      <c r="N16" s="347"/>
      <c r="O16" s="344"/>
      <c r="P16" s="354"/>
      <c r="Q16" s="344"/>
      <c r="R16" s="344"/>
      <c r="S16" s="343"/>
      <c r="T16" s="352" t="s">
        <v>383</v>
      </c>
      <c r="U16" s="352"/>
      <c r="V16" s="355"/>
      <c r="W16" s="358"/>
      <c r="X16" s="181" t="s">
        <v>209</v>
      </c>
      <c r="Y16" s="357"/>
    </row>
    <row r="17" spans="1:25" ht="12.5">
      <c r="A17" s="350" t="s">
        <v>19</v>
      </c>
      <c r="B17" s="351" t="s">
        <v>130</v>
      </c>
      <c r="C17" s="348"/>
      <c r="D17" s="344"/>
      <c r="E17" s="344"/>
      <c r="F17" s="361" t="s">
        <v>428</v>
      </c>
      <c r="G17" s="345"/>
      <c r="H17" s="345" t="s">
        <v>363</v>
      </c>
      <c r="I17" s="355" t="s">
        <v>178</v>
      </c>
      <c r="J17" s="345" t="s">
        <v>283</v>
      </c>
      <c r="K17" s="347" t="s">
        <v>346</v>
      </c>
      <c r="L17" s="347" t="s">
        <v>370</v>
      </c>
      <c r="M17" s="344"/>
      <c r="N17" s="347"/>
      <c r="O17" s="344"/>
      <c r="P17" s="354"/>
      <c r="Q17" s="344"/>
      <c r="R17" s="344"/>
      <c r="S17" s="343"/>
      <c r="T17" s="352"/>
      <c r="U17" s="352"/>
      <c r="V17" s="355"/>
      <c r="W17" s="358"/>
      <c r="X17" s="181" t="s">
        <v>209</v>
      </c>
      <c r="Y17" s="357"/>
    </row>
    <row r="18" spans="1:25" ht="12.5">
      <c r="A18" s="350" t="s">
        <v>20</v>
      </c>
      <c r="B18" s="351" t="s">
        <v>131</v>
      </c>
      <c r="C18" s="348"/>
      <c r="D18" s="181"/>
      <c r="E18" s="344"/>
      <c r="F18" s="349" t="s">
        <v>428</v>
      </c>
      <c r="G18" s="352" t="s">
        <v>210</v>
      </c>
      <c r="H18" s="345" t="s">
        <v>363</v>
      </c>
      <c r="I18" s="349" t="s">
        <v>177</v>
      </c>
      <c r="J18" s="345"/>
      <c r="K18" s="352"/>
      <c r="L18" s="347" t="s">
        <v>396</v>
      </c>
      <c r="M18" s="344"/>
      <c r="N18" s="347"/>
      <c r="O18" s="344"/>
      <c r="P18" s="354"/>
      <c r="Q18" s="344"/>
      <c r="R18" s="344"/>
      <c r="S18" s="343"/>
      <c r="T18" s="352" t="s">
        <v>477</v>
      </c>
      <c r="U18" s="352" t="s">
        <v>302</v>
      </c>
      <c r="V18" s="355"/>
      <c r="W18" s="362"/>
      <c r="X18" s="181" t="s">
        <v>209</v>
      </c>
      <c r="Y18" s="357"/>
    </row>
    <row r="19" spans="1:25">
      <c r="A19" s="350" t="s">
        <v>410</v>
      </c>
      <c r="B19" s="363" t="s">
        <v>406</v>
      </c>
      <c r="C19" s="117" t="s">
        <v>461</v>
      </c>
      <c r="D19" s="181"/>
      <c r="E19" s="344"/>
      <c r="F19" s="343" t="s">
        <v>422</v>
      </c>
      <c r="H19" s="342" t="s">
        <v>460</v>
      </c>
      <c r="I19" s="117" t="s">
        <v>455</v>
      </c>
      <c r="J19" s="345" t="s">
        <v>413</v>
      </c>
      <c r="K19" s="364" t="s">
        <v>414</v>
      </c>
      <c r="L19" s="347"/>
      <c r="M19" s="344"/>
      <c r="O19" s="344"/>
      <c r="P19" s="354"/>
      <c r="Q19" s="344"/>
      <c r="R19" s="344"/>
      <c r="T19" s="352" t="s">
        <v>475</v>
      </c>
      <c r="U19" s="352" t="s">
        <v>415</v>
      </c>
      <c r="X19" s="181" t="s">
        <v>209</v>
      </c>
      <c r="Y19" s="357"/>
    </row>
    <row r="20" spans="1:25">
      <c r="A20" s="350" t="s">
        <v>404</v>
      </c>
      <c r="B20" s="363" t="s">
        <v>407</v>
      </c>
      <c r="C20" s="117" t="s">
        <v>462</v>
      </c>
      <c r="D20" s="181"/>
      <c r="E20" s="344"/>
      <c r="F20" s="343" t="s">
        <v>412</v>
      </c>
      <c r="G20" s="345"/>
      <c r="H20" s="342" t="s">
        <v>460</v>
      </c>
      <c r="I20" s="117" t="s">
        <v>456</v>
      </c>
      <c r="J20" s="345" t="s">
        <v>413</v>
      </c>
      <c r="M20" s="344"/>
      <c r="O20" s="344"/>
      <c r="P20" s="354"/>
      <c r="Q20" s="344"/>
      <c r="R20" s="344"/>
      <c r="T20" s="352" t="s">
        <v>475</v>
      </c>
      <c r="U20" s="352" t="s">
        <v>415</v>
      </c>
      <c r="X20" s="181" t="s">
        <v>209</v>
      </c>
      <c r="Y20" s="357"/>
    </row>
    <row r="21" spans="1:25">
      <c r="A21" s="350" t="s">
        <v>405</v>
      </c>
      <c r="B21" s="363" t="s">
        <v>408</v>
      </c>
      <c r="C21" s="117" t="s">
        <v>462</v>
      </c>
      <c r="D21" s="181"/>
      <c r="E21" s="344"/>
      <c r="F21" s="343" t="s">
        <v>412</v>
      </c>
      <c r="G21" s="345"/>
      <c r="H21" s="342" t="s">
        <v>460</v>
      </c>
      <c r="I21" s="117" t="s">
        <v>456</v>
      </c>
      <c r="J21" s="345" t="s">
        <v>413</v>
      </c>
      <c r="M21" s="344"/>
      <c r="O21" s="344"/>
      <c r="P21" s="354"/>
      <c r="Q21" s="344"/>
      <c r="R21" s="344"/>
      <c r="T21" s="352" t="s">
        <v>475</v>
      </c>
      <c r="U21" s="352" t="s">
        <v>415</v>
      </c>
      <c r="X21" s="181" t="s">
        <v>209</v>
      </c>
      <c r="Y21" s="357"/>
    </row>
    <row r="22" spans="1:25">
      <c r="J22" s="345"/>
    </row>
    <row r="23" spans="1:25">
      <c r="C23" s="117" t="s">
        <v>70</v>
      </c>
    </row>
    <row r="24" spans="1:25" ht="12.5">
      <c r="C24" s="117" t="s">
        <v>71</v>
      </c>
      <c r="I24" s="343" t="s">
        <v>74</v>
      </c>
      <c r="N24" s="342" t="s">
        <v>294</v>
      </c>
    </row>
    <row r="25" spans="1:25" ht="14">
      <c r="C25" s="117" t="s">
        <v>72</v>
      </c>
      <c r="I25" s="366" t="s">
        <v>313</v>
      </c>
      <c r="N25" s="342" t="s">
        <v>295</v>
      </c>
    </row>
    <row r="26" spans="1:25" ht="12.5">
      <c r="N26" s="342" t="s">
        <v>296</v>
      </c>
    </row>
    <row r="27" spans="1:25" ht="12.5">
      <c r="D27" s="367" t="s">
        <v>73</v>
      </c>
      <c r="E27" s="367" t="s">
        <v>73</v>
      </c>
      <c r="G27" s="342" t="s">
        <v>73</v>
      </c>
      <c r="H27" s="342" t="s">
        <v>73</v>
      </c>
      <c r="N27" s="342"/>
    </row>
    <row r="28" spans="1:25" ht="12.5">
      <c r="N28" s="364" t="s">
        <v>73</v>
      </c>
    </row>
  </sheetData>
  <mergeCells count="4">
    <mergeCell ref="C1:E1"/>
    <mergeCell ref="G1:H1"/>
    <mergeCell ref="T1:U1"/>
    <mergeCell ref="J1:N1"/>
  </mergeCells>
  <phoneticPr fontId="9" type="noConversion"/>
  <pageMargins left="0.7" right="0.7" top="0.78740157499999996" bottom="0.78740157499999996" header="0.3" footer="0.3"/>
  <pageSetup paperSize="9" orientation="portrait" horizontalDpi="4294967293" verticalDpi="300"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0FB9A41-B4BF-489E-858A-AB15FEF815B6}">
          <x14:formula1>
            <xm:f>qualitativeGewichte!$A$2:$A$9</xm:f>
          </x14:formula1>
          <xm:sqref>C3:I3 K3:U3</xm:sqref>
        </x14:dataValidation>
        <x14:dataValidation type="list" allowBlank="1" showInputMessage="1" showErrorMessage="1" xr:uid="{0D76A1BF-DD06-4C6E-9884-B514B0BADDDC}">
          <x14:formula1>
            <xm:f>qualitativeGewichte!$C$2:$C$7</xm:f>
          </x14:formula1>
          <xm:sqref>J3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61B71-473B-48F2-A272-A3C354A6899F}">
  <sheetPr codeName="Tabelle7"/>
  <dimension ref="A1:BE42"/>
  <sheetViews>
    <sheetView zoomScale="85" zoomScaleNormal="85" workbookViewId="0">
      <pane xSplit="2" ySplit="7" topLeftCell="AS8" activePane="bottomRight" state="frozen"/>
      <selection pane="topRight" activeCell="C1" sqref="C1"/>
      <selection pane="bottomLeft" activeCell="A8" sqref="A8"/>
      <selection pane="bottomRight" activeCell="AX6" sqref="AX6"/>
    </sheetView>
  </sheetViews>
  <sheetFormatPr baseColWidth="10" defaultRowHeight="12.5"/>
  <cols>
    <col min="2" max="2" width="27.81640625" customWidth="1"/>
    <col min="3" max="3" width="18" bestFit="1" customWidth="1"/>
    <col min="4" max="45" width="6.08984375" customWidth="1"/>
    <col min="46" max="47" width="4" customWidth="1"/>
    <col min="48" max="48" width="11.81640625" customWidth="1"/>
    <col min="49" max="49" width="10" customWidth="1"/>
    <col min="50" max="50" width="31.36328125" customWidth="1"/>
    <col min="51" max="51" width="18.36328125" customWidth="1"/>
    <col min="52" max="52" width="15.453125" customWidth="1"/>
    <col min="53" max="53" width="13.6328125" customWidth="1"/>
    <col min="54" max="54" width="43.08984375" customWidth="1"/>
    <col min="55" max="55" width="10" customWidth="1"/>
    <col min="56" max="57" width="6" customWidth="1"/>
  </cols>
  <sheetData>
    <row r="1" spans="1:57" ht="13">
      <c r="A1" s="2" t="s">
        <v>42</v>
      </c>
      <c r="B1" s="8"/>
      <c r="C1" s="3"/>
      <c r="D1" s="20" t="s">
        <v>47</v>
      </c>
      <c r="E1" s="20"/>
      <c r="F1" s="375">
        <v>44927</v>
      </c>
      <c r="G1" s="376"/>
      <c r="H1" s="116" t="s">
        <v>233</v>
      </c>
      <c r="I1" s="116"/>
      <c r="J1" s="116"/>
      <c r="K1" s="116"/>
      <c r="L1" s="17" t="s">
        <v>234</v>
      </c>
      <c r="M1" s="17"/>
      <c r="N1" s="117">
        <v>7</v>
      </c>
      <c r="O1" s="116" t="s">
        <v>235</v>
      </c>
      <c r="P1" s="116"/>
      <c r="Q1" s="116"/>
      <c r="R1" s="116"/>
      <c r="S1" s="116"/>
      <c r="T1" s="116"/>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8" t="s">
        <v>236</v>
      </c>
      <c r="AW1" s="119">
        <v>31</v>
      </c>
      <c r="AX1" s="120" t="s">
        <v>237</v>
      </c>
      <c r="AY1" s="116"/>
      <c r="AZ1" s="116"/>
      <c r="BA1" s="116"/>
      <c r="BB1" s="121"/>
      <c r="BC1" s="116"/>
      <c r="BD1" s="116"/>
      <c r="BE1" s="116"/>
    </row>
    <row r="2" spans="1:57" ht="13">
      <c r="A2" s="7" t="s">
        <v>44</v>
      </c>
      <c r="B2" s="9"/>
      <c r="C2" s="122"/>
      <c r="D2" s="3" t="s">
        <v>46</v>
      </c>
      <c r="E2" s="17"/>
      <c r="F2" s="375">
        <v>44958</v>
      </c>
      <c r="G2" s="376"/>
      <c r="H2" s="116" t="s">
        <v>238</v>
      </c>
      <c r="I2" s="116"/>
      <c r="J2" s="116"/>
      <c r="K2" s="116"/>
      <c r="L2" s="17" t="s">
        <v>239</v>
      </c>
      <c r="M2" s="17"/>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6"/>
      <c r="AN2" s="116"/>
      <c r="AO2" s="116"/>
      <c r="AP2" s="116"/>
      <c r="AQ2" s="116"/>
      <c r="AR2" s="116"/>
      <c r="AS2" s="116"/>
      <c r="AT2" s="116"/>
      <c r="AU2" s="116"/>
      <c r="AV2" s="123" t="s">
        <v>240</v>
      </c>
      <c r="AW2" s="124">
        <v>11</v>
      </c>
      <c r="AX2" s="125" t="s">
        <v>332</v>
      </c>
      <c r="AY2" s="116"/>
      <c r="AZ2" s="116"/>
      <c r="BA2" s="116"/>
      <c r="BB2" s="126" t="s">
        <v>241</v>
      </c>
    </row>
    <row r="3" spans="1:57" ht="13">
      <c r="A3" s="7"/>
      <c r="B3" s="122"/>
      <c r="C3" s="122"/>
      <c r="D3" s="127" t="str">
        <f>LEFT(TEXT(WEEKDAY(D4),"TTTT"),2)</f>
        <v>So</v>
      </c>
      <c r="E3" s="23" t="str">
        <f t="shared" ref="E3:AS3" si="0">LEFT(TEXT(WEEKDAY(E4),"TTTT"),2)</f>
        <v>Mo</v>
      </c>
      <c r="F3" s="23" t="str">
        <f t="shared" si="0"/>
        <v>Di</v>
      </c>
      <c r="G3" s="23" t="str">
        <f t="shared" si="0"/>
        <v>Mi</v>
      </c>
      <c r="H3" s="128" t="str">
        <f t="shared" si="0"/>
        <v>Do</v>
      </c>
      <c r="I3" s="128" t="str">
        <f t="shared" si="0"/>
        <v>Fr</v>
      </c>
      <c r="J3" s="23" t="str">
        <f t="shared" si="0"/>
        <v>Sa</v>
      </c>
      <c r="K3" s="23" t="str">
        <f t="shared" si="0"/>
        <v>So</v>
      </c>
      <c r="L3" s="23" t="str">
        <f t="shared" si="0"/>
        <v>Mo</v>
      </c>
      <c r="M3" s="23" t="str">
        <f t="shared" si="0"/>
        <v>Di</v>
      </c>
      <c r="N3" s="23" t="str">
        <f t="shared" si="0"/>
        <v>Mi</v>
      </c>
      <c r="O3" s="23" t="str">
        <f t="shared" si="0"/>
        <v>Do</v>
      </c>
      <c r="P3" s="23" t="str">
        <f t="shared" si="0"/>
        <v>Fr</v>
      </c>
      <c r="Q3" s="23" t="str">
        <f t="shared" si="0"/>
        <v>Sa</v>
      </c>
      <c r="R3" s="23" t="str">
        <f t="shared" si="0"/>
        <v>So</v>
      </c>
      <c r="S3" s="23" t="str">
        <f t="shared" si="0"/>
        <v>Mo</v>
      </c>
      <c r="T3" s="23" t="str">
        <f t="shared" si="0"/>
        <v>Di</v>
      </c>
      <c r="U3" s="23" t="str">
        <f t="shared" si="0"/>
        <v>Mi</v>
      </c>
      <c r="V3" s="23" t="str">
        <f t="shared" si="0"/>
        <v>Do</v>
      </c>
      <c r="W3" s="23" t="str">
        <f t="shared" si="0"/>
        <v>Fr</v>
      </c>
      <c r="X3" s="23" t="str">
        <f t="shared" si="0"/>
        <v>Sa</v>
      </c>
      <c r="Y3" s="23" t="str">
        <f t="shared" si="0"/>
        <v>So</v>
      </c>
      <c r="Z3" s="23" t="str">
        <f t="shared" si="0"/>
        <v>Mo</v>
      </c>
      <c r="AA3" s="23" t="str">
        <f t="shared" si="0"/>
        <v>Di</v>
      </c>
      <c r="AB3" s="23" t="str">
        <f t="shared" si="0"/>
        <v>Mi</v>
      </c>
      <c r="AC3" s="23" t="str">
        <f t="shared" si="0"/>
        <v>Do</v>
      </c>
      <c r="AD3" s="23" t="str">
        <f t="shared" si="0"/>
        <v>Fr</v>
      </c>
      <c r="AE3" s="23" t="str">
        <f t="shared" si="0"/>
        <v>Sa</v>
      </c>
      <c r="AF3" s="23" t="str">
        <f t="shared" si="0"/>
        <v>So</v>
      </c>
      <c r="AG3" s="23" t="str">
        <f t="shared" si="0"/>
        <v>Mo</v>
      </c>
      <c r="AH3" s="23" t="str">
        <f t="shared" si="0"/>
        <v>Di</v>
      </c>
      <c r="AI3" s="23" t="str">
        <f t="shared" si="0"/>
        <v>Mi</v>
      </c>
      <c r="AJ3" s="23" t="str">
        <f t="shared" si="0"/>
        <v>Do</v>
      </c>
      <c r="AK3" s="23" t="str">
        <f t="shared" si="0"/>
        <v>Fr</v>
      </c>
      <c r="AL3" s="23" t="str">
        <f t="shared" si="0"/>
        <v>Sa</v>
      </c>
      <c r="AM3" s="23" t="str">
        <f t="shared" si="0"/>
        <v>So</v>
      </c>
      <c r="AN3" s="23" t="str">
        <f t="shared" si="0"/>
        <v>Mo</v>
      </c>
      <c r="AO3" s="23" t="str">
        <f t="shared" si="0"/>
        <v>Di</v>
      </c>
      <c r="AP3" s="23" t="str">
        <f t="shared" si="0"/>
        <v>Mi</v>
      </c>
      <c r="AQ3" s="23" t="str">
        <f t="shared" si="0"/>
        <v>Do</v>
      </c>
      <c r="AR3" s="23" t="str">
        <f t="shared" si="0"/>
        <v>Fr</v>
      </c>
      <c r="AS3" s="24" t="str">
        <f t="shared" si="0"/>
        <v>Sa</v>
      </c>
      <c r="AT3" s="116"/>
      <c r="AU3" s="116"/>
      <c r="AV3" s="17"/>
      <c r="AW3" s="129" t="s">
        <v>242</v>
      </c>
      <c r="AX3" s="125" t="s">
        <v>243</v>
      </c>
      <c r="AY3" s="28" t="s">
        <v>244</v>
      </c>
      <c r="AZ3" s="28" t="s">
        <v>75</v>
      </c>
      <c r="BA3" s="116"/>
      <c r="BB3" s="153"/>
      <c r="BC3" s="130"/>
      <c r="BD3" s="130"/>
    </row>
    <row r="4" spans="1:57" ht="13">
      <c r="A4" s="7" t="s">
        <v>1</v>
      </c>
      <c r="B4" s="122" t="s">
        <v>116</v>
      </c>
      <c r="C4" s="122" t="s">
        <v>245</v>
      </c>
      <c r="D4" s="25">
        <f>$F$1-N1</f>
        <v>44920</v>
      </c>
      <c r="E4" s="26">
        <f>IF(D4+1&gt;=$F$2,"",D4+1)</f>
        <v>44921</v>
      </c>
      <c r="F4" s="26">
        <f t="shared" ref="F4:AS4" si="1">E4+1</f>
        <v>44922</v>
      </c>
      <c r="G4" s="26">
        <f t="shared" si="1"/>
        <v>44923</v>
      </c>
      <c r="H4" s="131">
        <f t="shared" si="1"/>
        <v>44924</v>
      </c>
      <c r="I4" s="131">
        <f t="shared" si="1"/>
        <v>44925</v>
      </c>
      <c r="J4" s="26">
        <f t="shared" si="1"/>
        <v>44926</v>
      </c>
      <c r="K4" s="26">
        <f t="shared" si="1"/>
        <v>44927</v>
      </c>
      <c r="L4" s="26">
        <f t="shared" si="1"/>
        <v>44928</v>
      </c>
      <c r="M4" s="26">
        <f t="shared" si="1"/>
        <v>44929</v>
      </c>
      <c r="N4" s="26">
        <f t="shared" si="1"/>
        <v>44930</v>
      </c>
      <c r="O4" s="26">
        <f t="shared" si="1"/>
        <v>44931</v>
      </c>
      <c r="P4" s="26">
        <f t="shared" si="1"/>
        <v>44932</v>
      </c>
      <c r="Q4" s="26">
        <f t="shared" si="1"/>
        <v>44933</v>
      </c>
      <c r="R4" s="26">
        <f t="shared" si="1"/>
        <v>44934</v>
      </c>
      <c r="S4" s="26">
        <f t="shared" si="1"/>
        <v>44935</v>
      </c>
      <c r="T4" s="26">
        <f t="shared" si="1"/>
        <v>44936</v>
      </c>
      <c r="U4" s="26">
        <f t="shared" si="1"/>
        <v>44937</v>
      </c>
      <c r="V4" s="26">
        <f t="shared" si="1"/>
        <v>44938</v>
      </c>
      <c r="W4" s="26">
        <f t="shared" si="1"/>
        <v>44939</v>
      </c>
      <c r="X4" s="26">
        <f t="shared" si="1"/>
        <v>44940</v>
      </c>
      <c r="Y4" s="26">
        <f t="shared" si="1"/>
        <v>44941</v>
      </c>
      <c r="Z4" s="26">
        <f t="shared" si="1"/>
        <v>44942</v>
      </c>
      <c r="AA4" s="26">
        <f t="shared" si="1"/>
        <v>44943</v>
      </c>
      <c r="AB4" s="26">
        <f t="shared" si="1"/>
        <v>44944</v>
      </c>
      <c r="AC4" s="26">
        <f t="shared" si="1"/>
        <v>44945</v>
      </c>
      <c r="AD4" s="26">
        <f t="shared" si="1"/>
        <v>44946</v>
      </c>
      <c r="AE4" s="26">
        <f t="shared" si="1"/>
        <v>44947</v>
      </c>
      <c r="AF4" s="26">
        <f t="shared" si="1"/>
        <v>44948</v>
      </c>
      <c r="AG4" s="26">
        <f t="shared" si="1"/>
        <v>44949</v>
      </c>
      <c r="AH4" s="26">
        <f t="shared" si="1"/>
        <v>44950</v>
      </c>
      <c r="AI4" s="26">
        <f t="shared" si="1"/>
        <v>44951</v>
      </c>
      <c r="AJ4" s="26">
        <f t="shared" si="1"/>
        <v>44952</v>
      </c>
      <c r="AK4" s="26">
        <f t="shared" si="1"/>
        <v>44953</v>
      </c>
      <c r="AL4" s="26">
        <f t="shared" si="1"/>
        <v>44954</v>
      </c>
      <c r="AM4" s="26">
        <f t="shared" si="1"/>
        <v>44955</v>
      </c>
      <c r="AN4" s="26">
        <f t="shared" si="1"/>
        <v>44956</v>
      </c>
      <c r="AO4" s="26">
        <f t="shared" si="1"/>
        <v>44957</v>
      </c>
      <c r="AP4" s="26">
        <f t="shared" si="1"/>
        <v>44958</v>
      </c>
      <c r="AQ4" s="26">
        <f t="shared" si="1"/>
        <v>44959</v>
      </c>
      <c r="AR4" s="26">
        <f t="shared" si="1"/>
        <v>44960</v>
      </c>
      <c r="AS4" s="27">
        <f t="shared" si="1"/>
        <v>44961</v>
      </c>
      <c r="AT4" s="116"/>
      <c r="AU4" s="116"/>
      <c r="AV4" s="132" t="s">
        <v>246</v>
      </c>
      <c r="AW4" s="132" t="s">
        <v>247</v>
      </c>
      <c r="AX4" s="29" t="s">
        <v>248</v>
      </c>
      <c r="AY4" s="29" t="s">
        <v>249</v>
      </c>
      <c r="AZ4" s="29" t="s">
        <v>76</v>
      </c>
      <c r="BA4" s="133" t="s">
        <v>250</v>
      </c>
      <c r="BB4" s="134"/>
      <c r="BC4" s="134"/>
      <c r="BD4" s="134"/>
    </row>
    <row r="5" spans="1:57">
      <c r="A5" s="135" t="s">
        <v>3</v>
      </c>
      <c r="B5" s="21" t="s">
        <v>118</v>
      </c>
      <c r="C5" s="36" t="s">
        <v>114</v>
      </c>
      <c r="D5" s="183" t="s">
        <v>319</v>
      </c>
      <c r="E5" s="183" t="s">
        <v>319</v>
      </c>
      <c r="F5" s="183" t="s">
        <v>77</v>
      </c>
      <c r="G5" s="183" t="s">
        <v>319</v>
      </c>
      <c r="H5" s="184" t="s">
        <v>81</v>
      </c>
      <c r="I5" s="184" t="s">
        <v>77</v>
      </c>
      <c r="J5" s="183" t="s">
        <v>319</v>
      </c>
      <c r="K5" s="183" t="s">
        <v>319</v>
      </c>
      <c r="L5" s="183" t="s">
        <v>319</v>
      </c>
      <c r="M5" s="183" t="s">
        <v>319</v>
      </c>
      <c r="N5" s="183" t="s">
        <v>319</v>
      </c>
      <c r="O5" s="183" t="s">
        <v>319</v>
      </c>
      <c r="P5" s="183" t="s">
        <v>319</v>
      </c>
      <c r="Q5" s="183" t="s">
        <v>319</v>
      </c>
      <c r="R5" s="183" t="s">
        <v>319</v>
      </c>
      <c r="S5" s="183"/>
      <c r="T5" s="183" t="s">
        <v>77</v>
      </c>
      <c r="U5" s="183"/>
      <c r="V5" s="183" t="s">
        <v>317</v>
      </c>
      <c r="W5" s="183" t="s">
        <v>77</v>
      </c>
      <c r="X5" s="183"/>
      <c r="Y5" s="183"/>
      <c r="Z5" s="183"/>
      <c r="AA5" s="183" t="s">
        <v>77</v>
      </c>
      <c r="AB5" s="183"/>
      <c r="AC5" s="183" t="s">
        <v>317</v>
      </c>
      <c r="AD5" s="183" t="s">
        <v>77</v>
      </c>
      <c r="AE5" s="183"/>
      <c r="AF5" s="183"/>
      <c r="AG5" s="183"/>
      <c r="AH5" s="183" t="s">
        <v>77</v>
      </c>
      <c r="AI5" s="183"/>
      <c r="AJ5" s="183" t="s">
        <v>317</v>
      </c>
      <c r="AK5" s="183" t="s">
        <v>77</v>
      </c>
      <c r="AL5" s="183"/>
      <c r="AM5" s="183"/>
      <c r="AN5" s="183"/>
      <c r="AO5" s="185" t="s">
        <v>77</v>
      </c>
      <c r="AP5" s="183"/>
      <c r="AQ5" s="183" t="s">
        <v>317</v>
      </c>
      <c r="AR5" s="183" t="s">
        <v>77</v>
      </c>
      <c r="AS5" s="186"/>
      <c r="AT5" s="116"/>
      <c r="AU5" s="116"/>
      <c r="AV5" s="191">
        <v>1</v>
      </c>
      <c r="AW5" s="191">
        <f>ROUND((AW$1-AW$2)*(_xlfn.XLOOKUP(A5,'ma-basisdaten'!A3:A16,'ma-basisdaten'!C3:C16)*8.4)/100,0)</f>
        <v>118</v>
      </c>
      <c r="AX5" s="141" t="s">
        <v>478</v>
      </c>
      <c r="AY5" s="194">
        <v>4</v>
      </c>
      <c r="AZ5" s="194">
        <v>0</v>
      </c>
      <c r="BA5" s="116"/>
      <c r="BB5" s="152">
        <v>0</v>
      </c>
      <c r="BC5" s="152">
        <v>0</v>
      </c>
      <c r="BD5" s="136"/>
    </row>
    <row r="6" spans="1:57">
      <c r="A6" s="137" t="s">
        <v>5</v>
      </c>
      <c r="B6" s="22" t="s">
        <v>119</v>
      </c>
      <c r="C6" s="37" t="s">
        <v>114</v>
      </c>
      <c r="D6" s="183" t="s">
        <v>319</v>
      </c>
      <c r="E6" s="183" t="s">
        <v>319</v>
      </c>
      <c r="F6" s="183" t="s">
        <v>319</v>
      </c>
      <c r="G6" s="183" t="s">
        <v>319</v>
      </c>
      <c r="H6" s="184" t="s">
        <v>319</v>
      </c>
      <c r="I6" s="184" t="s">
        <v>82</v>
      </c>
      <c r="J6" s="183" t="s">
        <v>80</v>
      </c>
      <c r="K6" s="183" t="s">
        <v>78</v>
      </c>
      <c r="L6" s="188" t="s">
        <v>78</v>
      </c>
      <c r="M6" s="183"/>
      <c r="N6" s="183"/>
      <c r="O6" s="183"/>
      <c r="P6" s="183"/>
      <c r="Q6" s="188" t="s">
        <v>78</v>
      </c>
      <c r="R6" s="183"/>
      <c r="S6" s="183"/>
      <c r="T6" s="183"/>
      <c r="U6" s="183"/>
      <c r="V6" s="183" t="s">
        <v>326</v>
      </c>
      <c r="W6" s="183" t="s">
        <v>43</v>
      </c>
      <c r="X6" s="183" t="s">
        <v>43</v>
      </c>
      <c r="Y6" s="183" t="s">
        <v>43</v>
      </c>
      <c r="Z6" s="183" t="s">
        <v>43</v>
      </c>
      <c r="AA6" s="183" t="s">
        <v>43</v>
      </c>
      <c r="AB6" s="183" t="s">
        <v>43</v>
      </c>
      <c r="AC6" s="183" t="s">
        <v>43</v>
      </c>
      <c r="AD6" s="183" t="s">
        <v>43</v>
      </c>
      <c r="AE6" s="183" t="s">
        <v>43</v>
      </c>
      <c r="AF6" s="183" t="s">
        <v>251</v>
      </c>
      <c r="AG6" s="183"/>
      <c r="AH6" s="183"/>
      <c r="AI6" s="183"/>
      <c r="AJ6" s="183"/>
      <c r="AK6" s="183"/>
      <c r="AL6" s="183"/>
      <c r="AM6" s="183"/>
      <c r="AN6" s="183"/>
      <c r="AO6" s="183"/>
      <c r="AP6" s="183"/>
      <c r="AQ6" s="183"/>
      <c r="AR6" s="183"/>
      <c r="AS6" s="186"/>
      <c r="AT6" s="116"/>
      <c r="AU6" s="116"/>
      <c r="AV6" s="193">
        <v>-28</v>
      </c>
      <c r="AW6" s="191">
        <f>ROUND((AW$1-AW$2)*(_xlfn.XLOOKUP(A6,'ma-basisdaten'!A4:A17,'ma-basisdaten'!C4:C17)*8.4)/100,0)</f>
        <v>151</v>
      </c>
      <c r="AX6" s="193" t="s">
        <v>481</v>
      </c>
      <c r="AY6" s="195">
        <v>2</v>
      </c>
      <c r="AZ6" s="195">
        <v>1</v>
      </c>
      <c r="BA6" s="116"/>
      <c r="BB6" s="152">
        <v>0</v>
      </c>
      <c r="BC6" s="152">
        <v>0</v>
      </c>
      <c r="BD6" s="136"/>
    </row>
    <row r="7" spans="1:57">
      <c r="A7" s="137" t="s">
        <v>6</v>
      </c>
      <c r="B7" s="22" t="s">
        <v>120</v>
      </c>
      <c r="C7" s="37" t="s">
        <v>286</v>
      </c>
      <c r="D7" s="182" t="s">
        <v>78</v>
      </c>
      <c r="E7" s="183" t="s">
        <v>80</v>
      </c>
      <c r="F7" s="187" t="s">
        <v>78</v>
      </c>
      <c r="G7" s="183" t="s">
        <v>80</v>
      </c>
      <c r="H7" s="184" t="s">
        <v>319</v>
      </c>
      <c r="I7" s="184" t="s">
        <v>319</v>
      </c>
      <c r="J7" s="184" t="s">
        <v>319</v>
      </c>
      <c r="K7" s="183" t="s">
        <v>319</v>
      </c>
      <c r="L7" s="188" t="s">
        <v>79</v>
      </c>
      <c r="M7" s="183"/>
      <c r="N7" s="183"/>
      <c r="O7" s="188" t="s">
        <v>328</v>
      </c>
      <c r="P7" s="188" t="s">
        <v>319</v>
      </c>
      <c r="Q7" s="183"/>
      <c r="R7" s="183"/>
      <c r="S7" s="183"/>
      <c r="T7" s="183"/>
      <c r="U7" s="183"/>
      <c r="V7" s="188" t="s">
        <v>328</v>
      </c>
      <c r="W7" s="188" t="s">
        <v>319</v>
      </c>
      <c r="X7" s="183"/>
      <c r="Y7" s="183"/>
      <c r="Z7" s="183"/>
      <c r="AA7" s="183"/>
      <c r="AB7" s="183"/>
      <c r="AC7" s="188" t="s">
        <v>328</v>
      </c>
      <c r="AD7" s="188" t="s">
        <v>319</v>
      </c>
      <c r="AE7" s="183"/>
      <c r="AF7" s="183"/>
      <c r="AG7" s="183"/>
      <c r="AH7" s="183"/>
      <c r="AI7" s="183"/>
      <c r="AJ7" s="188" t="s">
        <v>328</v>
      </c>
      <c r="AK7" s="188" t="s">
        <v>319</v>
      </c>
      <c r="AL7" s="183"/>
      <c r="AM7" s="183"/>
      <c r="AN7" s="183"/>
      <c r="AO7" s="183"/>
      <c r="AP7" s="183"/>
      <c r="AQ7" s="183"/>
      <c r="AR7" s="183"/>
      <c r="AS7" s="183"/>
      <c r="AT7" s="116"/>
      <c r="AU7" s="116"/>
      <c r="AV7" s="193">
        <v>-31</v>
      </c>
      <c r="AW7" s="191">
        <f>ROUND((AW$1-AW$2)*(_xlfn.XLOOKUP(A7,'ma-basisdaten'!A5:A18,'ma-basisdaten'!C5:C18)*8.4)/100,0)</f>
        <v>134</v>
      </c>
      <c r="AX7" s="37" t="s">
        <v>356</v>
      </c>
      <c r="AY7" s="195">
        <v>3</v>
      </c>
      <c r="AZ7" s="195">
        <v>0</v>
      </c>
      <c r="BA7" s="116"/>
      <c r="BB7" s="152">
        <v>0</v>
      </c>
      <c r="BC7" s="152">
        <v>0</v>
      </c>
      <c r="BD7" s="136"/>
    </row>
    <row r="8" spans="1:57">
      <c r="A8" s="137" t="s">
        <v>7</v>
      </c>
      <c r="B8" s="22" t="s">
        <v>121</v>
      </c>
      <c r="C8" s="37" t="s">
        <v>286</v>
      </c>
      <c r="D8" s="183" t="s">
        <v>319</v>
      </c>
      <c r="E8" s="183" t="s">
        <v>319</v>
      </c>
      <c r="F8" s="188" t="s">
        <v>163</v>
      </c>
      <c r="G8" s="183" t="s">
        <v>78</v>
      </c>
      <c r="H8" s="184" t="s">
        <v>78</v>
      </c>
      <c r="I8" s="184" t="s">
        <v>78</v>
      </c>
      <c r="J8" s="184" t="s">
        <v>319</v>
      </c>
      <c r="K8" s="183" t="s">
        <v>319</v>
      </c>
      <c r="L8" s="188" t="s">
        <v>319</v>
      </c>
      <c r="M8" s="188" t="s">
        <v>319</v>
      </c>
      <c r="N8" s="183"/>
      <c r="O8" s="183"/>
      <c r="P8" s="188" t="s">
        <v>328</v>
      </c>
      <c r="Q8" s="188" t="s">
        <v>319</v>
      </c>
      <c r="R8" s="188" t="s">
        <v>319</v>
      </c>
      <c r="V8" s="183"/>
      <c r="W8" s="183"/>
      <c r="X8" s="183"/>
      <c r="Y8" s="183"/>
      <c r="Z8" s="183"/>
      <c r="AA8" s="183"/>
      <c r="AB8" s="183"/>
      <c r="AC8" s="183"/>
      <c r="AD8" s="183"/>
      <c r="AE8" s="183"/>
      <c r="AF8" s="183"/>
      <c r="AG8" s="183"/>
      <c r="AH8" s="183"/>
      <c r="AI8" s="183"/>
      <c r="AJ8" s="183"/>
      <c r="AK8" s="183"/>
      <c r="AL8" s="183"/>
      <c r="AM8" s="183"/>
      <c r="AN8" s="183"/>
      <c r="AO8" s="183"/>
      <c r="AP8" s="183"/>
      <c r="AQ8" s="183"/>
      <c r="AR8" s="183"/>
      <c r="AS8" s="183"/>
      <c r="AT8" s="116"/>
      <c r="AU8" s="116"/>
      <c r="AV8" s="193">
        <v>-17</v>
      </c>
      <c r="AW8" s="191">
        <f>ROUND((AW$1-AW$2)*(_xlfn.XLOOKUP(A8,'ma-basisdaten'!A6:A19,'ma-basisdaten'!C6:C19)*8.4)/100,0)</f>
        <v>151</v>
      </c>
      <c r="AX8" s="37" t="s">
        <v>381</v>
      </c>
      <c r="AY8" s="195">
        <v>2</v>
      </c>
      <c r="AZ8" s="195">
        <v>0</v>
      </c>
      <c r="BA8" s="116"/>
      <c r="BB8" s="152">
        <v>0</v>
      </c>
      <c r="BC8" s="152">
        <v>0</v>
      </c>
      <c r="BD8" s="136"/>
    </row>
    <row r="9" spans="1:57">
      <c r="A9" s="137" t="s">
        <v>8</v>
      </c>
      <c r="B9" s="22" t="s">
        <v>122</v>
      </c>
      <c r="C9" s="37" t="s">
        <v>286</v>
      </c>
      <c r="D9" s="183" t="s">
        <v>319</v>
      </c>
      <c r="E9" s="183" t="s">
        <v>319</v>
      </c>
      <c r="F9" s="183" t="s">
        <v>319</v>
      </c>
      <c r="G9" s="183" t="s">
        <v>325</v>
      </c>
      <c r="H9" s="184" t="s">
        <v>43</v>
      </c>
      <c r="I9" s="184" t="s">
        <v>251</v>
      </c>
      <c r="J9" s="183" t="s">
        <v>78</v>
      </c>
      <c r="K9" s="189" t="s">
        <v>79</v>
      </c>
      <c r="L9" s="183" t="s">
        <v>327</v>
      </c>
      <c r="M9" s="183" t="s">
        <v>43</v>
      </c>
      <c r="N9" s="183" t="s">
        <v>43</v>
      </c>
      <c r="O9" s="183" t="s">
        <v>43</v>
      </c>
      <c r="P9" s="183" t="s">
        <v>43</v>
      </c>
      <c r="Q9" s="183" t="s">
        <v>43</v>
      </c>
      <c r="R9" s="183" t="s">
        <v>251</v>
      </c>
      <c r="S9" s="183"/>
      <c r="T9" s="183"/>
      <c r="U9" s="183"/>
      <c r="V9" s="183"/>
      <c r="W9" s="183"/>
      <c r="X9" s="183"/>
      <c r="Y9" s="183"/>
      <c r="Z9" s="183"/>
      <c r="AA9" s="183"/>
      <c r="AB9" s="183"/>
      <c r="AC9" s="183"/>
      <c r="AD9" s="183"/>
      <c r="AE9" s="183"/>
      <c r="AF9" s="183"/>
      <c r="AG9" s="183"/>
      <c r="AH9" s="183"/>
      <c r="AI9" s="183"/>
      <c r="AJ9" s="183"/>
      <c r="AK9" s="183"/>
      <c r="AL9" s="183"/>
      <c r="AM9" s="183"/>
      <c r="AN9" s="183"/>
      <c r="AO9" s="183"/>
      <c r="AP9" s="183"/>
      <c r="AQ9" s="183"/>
      <c r="AR9" s="183"/>
      <c r="AS9" s="183"/>
      <c r="AT9" s="116"/>
      <c r="AU9" s="116"/>
      <c r="AV9" s="193">
        <v>6</v>
      </c>
      <c r="AW9" s="191">
        <f>ROUND((AW$1-AW$2)*(_xlfn.XLOOKUP(A9,'ma-basisdaten'!A7:A20,'ma-basisdaten'!C7:C20)*8.4)/100,0)</f>
        <v>50</v>
      </c>
      <c r="AX9" s="37" t="s">
        <v>373</v>
      </c>
      <c r="AY9" s="195">
        <v>3</v>
      </c>
      <c r="AZ9" s="195">
        <v>1</v>
      </c>
      <c r="BA9" s="116"/>
      <c r="BB9" s="152">
        <v>0</v>
      </c>
      <c r="BC9" s="152">
        <v>0</v>
      </c>
      <c r="BD9" s="136"/>
    </row>
    <row r="10" spans="1:57">
      <c r="A10" s="137" t="s">
        <v>9</v>
      </c>
      <c r="B10" s="22" t="s">
        <v>123</v>
      </c>
      <c r="C10" s="37" t="s">
        <v>287</v>
      </c>
      <c r="D10" s="182" t="s">
        <v>80</v>
      </c>
      <c r="E10" s="183" t="s">
        <v>78</v>
      </c>
      <c r="F10" s="183" t="s">
        <v>81</v>
      </c>
      <c r="G10" s="183" t="s">
        <v>319</v>
      </c>
      <c r="H10" s="184" t="s">
        <v>319</v>
      </c>
      <c r="I10" s="184" t="s">
        <v>319</v>
      </c>
      <c r="J10" s="184" t="s">
        <v>319</v>
      </c>
      <c r="K10" s="183" t="s">
        <v>319</v>
      </c>
      <c r="L10" s="188" t="s">
        <v>319</v>
      </c>
      <c r="M10" s="183" t="s">
        <v>328</v>
      </c>
      <c r="N10" s="183"/>
      <c r="O10" s="183" t="s">
        <v>317</v>
      </c>
      <c r="P10" s="183"/>
      <c r="Q10" s="183"/>
      <c r="R10" s="183"/>
      <c r="S10" s="183"/>
      <c r="T10" s="183" t="s">
        <v>328</v>
      </c>
      <c r="U10" s="183"/>
      <c r="V10" s="183" t="s">
        <v>317</v>
      </c>
      <c r="W10" s="183"/>
      <c r="X10" s="183"/>
      <c r="Y10" s="183"/>
      <c r="Z10" s="183"/>
      <c r="AA10" s="183" t="s">
        <v>328</v>
      </c>
      <c r="AB10" s="183"/>
      <c r="AC10" s="183" t="s">
        <v>317</v>
      </c>
      <c r="AD10" s="183"/>
      <c r="AE10" s="183"/>
      <c r="AF10" s="183"/>
      <c r="AG10" s="183"/>
      <c r="AH10" s="183" t="s">
        <v>328</v>
      </c>
      <c r="AI10" s="183"/>
      <c r="AJ10" s="183" t="s">
        <v>317</v>
      </c>
      <c r="AK10" s="183" t="s">
        <v>78</v>
      </c>
      <c r="AL10" s="183"/>
      <c r="AM10" s="183"/>
      <c r="AN10" s="183"/>
      <c r="AO10" s="183" t="s">
        <v>328</v>
      </c>
      <c r="AP10" s="183"/>
      <c r="AQ10" s="183" t="s">
        <v>317</v>
      </c>
      <c r="AS10" s="183"/>
      <c r="AT10" s="116"/>
      <c r="AU10" s="116"/>
      <c r="AV10" s="193">
        <v>4</v>
      </c>
      <c r="AW10" s="191">
        <f>ROUND((AW$1-AW$2)*(_xlfn.XLOOKUP(A10,'ma-basisdaten'!A8:A21,'ma-basisdaten'!C8:C21)*8.4)/100,0)</f>
        <v>118</v>
      </c>
      <c r="AX10" s="37" t="s">
        <v>376</v>
      </c>
      <c r="AY10" s="195">
        <v>3</v>
      </c>
      <c r="AZ10" s="195">
        <v>0</v>
      </c>
      <c r="BA10" s="116"/>
      <c r="BB10" s="152">
        <v>0</v>
      </c>
      <c r="BC10" s="152">
        <v>0</v>
      </c>
      <c r="BD10" s="136"/>
    </row>
    <row r="11" spans="1:57">
      <c r="A11" s="137" t="s">
        <v>10</v>
      </c>
      <c r="B11" s="22" t="s">
        <v>124</v>
      </c>
      <c r="C11" s="37" t="s">
        <v>287</v>
      </c>
      <c r="D11" s="183" t="s">
        <v>319</v>
      </c>
      <c r="E11" s="183" t="s">
        <v>319</v>
      </c>
      <c r="F11" s="183" t="s">
        <v>319</v>
      </c>
      <c r="G11" s="183" t="s">
        <v>319</v>
      </c>
      <c r="H11" s="207" t="s">
        <v>163</v>
      </c>
      <c r="I11" s="184" t="s">
        <v>78</v>
      </c>
      <c r="J11" s="183" t="s">
        <v>78</v>
      </c>
      <c r="K11" s="183" t="s">
        <v>80</v>
      </c>
      <c r="L11" s="183" t="s">
        <v>80</v>
      </c>
      <c r="M11" s="183"/>
      <c r="N11" s="183"/>
      <c r="O11" s="183"/>
      <c r="P11" s="183" t="s">
        <v>319</v>
      </c>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16"/>
      <c r="AU11" s="116"/>
      <c r="AV11" s="193">
        <v>-12</v>
      </c>
      <c r="AW11" s="191">
        <f>ROUND((AW$1-AW$2)*(_xlfn.XLOOKUP(A11,'ma-basisdaten'!A9:A22,'ma-basisdaten'!C9:C22)*8.4)/100,0)</f>
        <v>134</v>
      </c>
      <c r="AX11" s="37" t="s">
        <v>377</v>
      </c>
      <c r="AY11" s="195">
        <v>2</v>
      </c>
      <c r="AZ11" s="195">
        <v>1</v>
      </c>
      <c r="BA11" s="116"/>
      <c r="BB11" s="152">
        <v>0</v>
      </c>
      <c r="BC11" s="152">
        <v>0</v>
      </c>
      <c r="BD11" s="136"/>
    </row>
    <row r="12" spans="1:57">
      <c r="A12" s="137" t="s">
        <v>11</v>
      </c>
      <c r="B12" s="22" t="s">
        <v>125</v>
      </c>
      <c r="C12" s="37" t="s">
        <v>113</v>
      </c>
      <c r="D12" s="183" t="s">
        <v>319</v>
      </c>
      <c r="E12" s="183" t="s">
        <v>319</v>
      </c>
      <c r="F12" s="183" t="s">
        <v>319</v>
      </c>
      <c r="G12" s="183" t="s">
        <v>319</v>
      </c>
      <c r="H12" s="184" t="s">
        <v>319</v>
      </c>
      <c r="I12" s="207" t="s">
        <v>162</v>
      </c>
      <c r="J12" s="183" t="s">
        <v>79</v>
      </c>
      <c r="K12" s="183" t="s">
        <v>78</v>
      </c>
      <c r="L12" s="183" t="s">
        <v>78</v>
      </c>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8" t="s">
        <v>328</v>
      </c>
      <c r="AO12" s="188" t="s">
        <v>319</v>
      </c>
      <c r="AP12" s="183"/>
      <c r="AQ12" s="183"/>
      <c r="AR12" s="183"/>
      <c r="AS12" s="183"/>
      <c r="AT12" s="116"/>
      <c r="AU12" s="116"/>
      <c r="AV12" s="193">
        <v>-17</v>
      </c>
      <c r="AW12" s="191">
        <f>ROUND((AW$1-AW$2)*(_xlfn.XLOOKUP(A12,'ma-basisdaten'!A10:A23,'ma-basisdaten'!C10:C23)*8.4)/100,0)</f>
        <v>84</v>
      </c>
      <c r="AX12" s="37" t="s">
        <v>378</v>
      </c>
      <c r="AY12" s="195">
        <v>4</v>
      </c>
      <c r="AZ12" s="195">
        <v>1</v>
      </c>
      <c r="BA12" s="116"/>
      <c r="BB12" s="152">
        <v>0</v>
      </c>
      <c r="BC12" s="152">
        <v>0</v>
      </c>
      <c r="BD12" s="136"/>
    </row>
    <row r="13" spans="1:57" s="44" customFormat="1">
      <c r="A13" s="196" t="s">
        <v>12</v>
      </c>
      <c r="B13" s="197" t="s">
        <v>126</v>
      </c>
      <c r="C13" s="193" t="s">
        <v>113</v>
      </c>
      <c r="D13" s="192" t="s">
        <v>334</v>
      </c>
      <c r="E13" s="192" t="s">
        <v>43</v>
      </c>
      <c r="F13" s="192" t="s">
        <v>251</v>
      </c>
      <c r="G13" s="192" t="s">
        <v>333</v>
      </c>
      <c r="H13" s="198" t="s">
        <v>43</v>
      </c>
      <c r="I13" s="198" t="s">
        <v>43</v>
      </c>
      <c r="J13" s="192" t="s">
        <v>43</v>
      </c>
      <c r="K13" s="192" t="s">
        <v>43</v>
      </c>
      <c r="L13" s="192" t="s">
        <v>43</v>
      </c>
      <c r="M13" s="192" t="s">
        <v>43</v>
      </c>
      <c r="N13" s="192" t="s">
        <v>43</v>
      </c>
      <c r="O13" s="192" t="s">
        <v>43</v>
      </c>
      <c r="P13" s="192" t="s">
        <v>43</v>
      </c>
      <c r="Q13" s="192" t="s">
        <v>43</v>
      </c>
      <c r="R13" s="192" t="s">
        <v>43</v>
      </c>
      <c r="S13" s="192" t="s">
        <v>43</v>
      </c>
      <c r="T13" s="192" t="s">
        <v>43</v>
      </c>
      <c r="U13" s="192" t="s">
        <v>43</v>
      </c>
      <c r="V13" s="192" t="s">
        <v>43</v>
      </c>
      <c r="W13" s="192" t="s">
        <v>43</v>
      </c>
      <c r="X13" s="192" t="s">
        <v>43</v>
      </c>
      <c r="Y13" s="192" t="s">
        <v>43</v>
      </c>
      <c r="Z13" s="192" t="s">
        <v>43</v>
      </c>
      <c r="AA13" s="192" t="s">
        <v>43</v>
      </c>
      <c r="AB13" s="192" t="s">
        <v>43</v>
      </c>
      <c r="AC13" s="192" t="s">
        <v>43</v>
      </c>
      <c r="AD13" s="192" t="s">
        <v>43</v>
      </c>
      <c r="AE13" s="192" t="s">
        <v>43</v>
      </c>
      <c r="AF13" s="192" t="s">
        <v>43</v>
      </c>
      <c r="AG13" s="192" t="s">
        <v>43</v>
      </c>
      <c r="AH13" s="192" t="s">
        <v>43</v>
      </c>
      <c r="AI13" s="192" t="s">
        <v>43</v>
      </c>
      <c r="AJ13" s="192" t="s">
        <v>43</v>
      </c>
      <c r="AK13" s="192" t="s">
        <v>43</v>
      </c>
      <c r="AL13" s="192" t="s">
        <v>43</v>
      </c>
      <c r="AM13" s="192" t="s">
        <v>43</v>
      </c>
      <c r="AN13" s="192" t="s">
        <v>43</v>
      </c>
      <c r="AO13" s="192" t="s">
        <v>251</v>
      </c>
      <c r="AP13" s="192"/>
      <c r="AQ13" s="192"/>
      <c r="AR13" s="192"/>
      <c r="AS13" s="192"/>
      <c r="AT13" s="199"/>
      <c r="AU13" s="199"/>
      <c r="AV13" s="193">
        <v>2</v>
      </c>
      <c r="AW13" s="191">
        <f>ROUND((AW$1-AW$2)*(_xlfn.XLOOKUP(A13,'ma-basisdaten'!A11:A24,'ma-basisdaten'!C11:C24)*8.4)/100,0)</f>
        <v>151</v>
      </c>
      <c r="AX13" s="193" t="s">
        <v>357</v>
      </c>
      <c r="AY13" s="195">
        <v>5</v>
      </c>
      <c r="AZ13" s="195">
        <v>0</v>
      </c>
      <c r="BA13" s="199"/>
      <c r="BB13" s="195">
        <v>0</v>
      </c>
      <c r="BC13" s="195">
        <v>0</v>
      </c>
      <c r="BD13" s="195"/>
    </row>
    <row r="14" spans="1:57">
      <c r="A14" s="137" t="s">
        <v>16</v>
      </c>
      <c r="B14" s="22" t="s">
        <v>127</v>
      </c>
      <c r="C14" s="37" t="s">
        <v>113</v>
      </c>
      <c r="D14" s="183" t="s">
        <v>319</v>
      </c>
      <c r="E14" s="183" t="s">
        <v>319</v>
      </c>
      <c r="F14" s="183" t="s">
        <v>319</v>
      </c>
      <c r="G14" s="183" t="s">
        <v>319</v>
      </c>
      <c r="H14" s="184" t="s">
        <v>319</v>
      </c>
      <c r="I14" s="184" t="s">
        <v>319</v>
      </c>
      <c r="J14" s="184" t="s">
        <v>319</v>
      </c>
      <c r="K14" s="183" t="s">
        <v>319</v>
      </c>
      <c r="L14" s="188" t="s">
        <v>319</v>
      </c>
      <c r="M14" s="188" t="s">
        <v>319</v>
      </c>
      <c r="N14" s="188" t="s">
        <v>319</v>
      </c>
      <c r="O14" s="188" t="s">
        <v>319</v>
      </c>
      <c r="P14" s="188" t="s">
        <v>319</v>
      </c>
      <c r="Q14" s="188" t="s">
        <v>319</v>
      </c>
      <c r="R14" s="188" t="s">
        <v>319</v>
      </c>
      <c r="S14" s="188" t="s">
        <v>319</v>
      </c>
      <c r="T14" s="188" t="s">
        <v>319</v>
      </c>
      <c r="U14" s="188" t="s">
        <v>319</v>
      </c>
      <c r="V14" s="188" t="s">
        <v>319</v>
      </c>
      <c r="W14" s="188" t="s">
        <v>319</v>
      </c>
      <c r="X14" s="188" t="s">
        <v>319</v>
      </c>
      <c r="Y14" s="188" t="s">
        <v>319</v>
      </c>
      <c r="Z14" s="188" t="s">
        <v>319</v>
      </c>
      <c r="AA14" s="188" t="s">
        <v>319</v>
      </c>
      <c r="AB14" s="188" t="s">
        <v>319</v>
      </c>
      <c r="AC14" s="188" t="s">
        <v>319</v>
      </c>
      <c r="AD14" s="188" t="s">
        <v>319</v>
      </c>
      <c r="AE14" s="188" t="s">
        <v>319</v>
      </c>
      <c r="AF14" s="188" t="s">
        <v>319</v>
      </c>
      <c r="AG14" s="188" t="s">
        <v>319</v>
      </c>
      <c r="AH14" s="188" t="s">
        <v>319</v>
      </c>
      <c r="AI14" s="188" t="s">
        <v>319</v>
      </c>
      <c r="AJ14" s="188" t="s">
        <v>319</v>
      </c>
      <c r="AK14" s="188" t="s">
        <v>319</v>
      </c>
      <c r="AL14" s="188" t="s">
        <v>319</v>
      </c>
      <c r="AM14" s="188" t="s">
        <v>319</v>
      </c>
      <c r="AN14" s="188" t="s">
        <v>319</v>
      </c>
      <c r="AO14" s="188" t="s">
        <v>319</v>
      </c>
      <c r="AP14" s="188" t="s">
        <v>319</v>
      </c>
      <c r="AQ14" s="188" t="s">
        <v>319</v>
      </c>
      <c r="AR14" s="188" t="s">
        <v>319</v>
      </c>
      <c r="AS14" s="188" t="s">
        <v>319</v>
      </c>
      <c r="AT14" s="116"/>
      <c r="AU14" s="116"/>
      <c r="AV14" s="193">
        <v>-10</v>
      </c>
      <c r="AW14" s="191">
        <f>ROUND((AW$1-AW$2)*(_xlfn.XLOOKUP(A14,'ma-basisdaten'!A12:A25,'ma-basisdaten'!C12:C25)*8.4)/100,0)</f>
        <v>0</v>
      </c>
      <c r="AX14" s="37" t="s">
        <v>382</v>
      </c>
      <c r="AY14" s="195">
        <v>4</v>
      </c>
      <c r="AZ14" s="195">
        <v>0</v>
      </c>
      <c r="BA14" s="116"/>
      <c r="BB14" s="152">
        <v>0</v>
      </c>
      <c r="BC14" s="152">
        <v>0</v>
      </c>
      <c r="BD14" s="136"/>
    </row>
    <row r="15" spans="1:57">
      <c r="A15" s="137" t="s">
        <v>17</v>
      </c>
      <c r="B15" s="22" t="s">
        <v>128</v>
      </c>
      <c r="C15" s="37" t="s">
        <v>113</v>
      </c>
      <c r="D15" s="182" t="s">
        <v>79</v>
      </c>
      <c r="E15" s="183" t="s">
        <v>79</v>
      </c>
      <c r="F15" s="183" t="s">
        <v>78</v>
      </c>
      <c r="G15" s="183" t="s">
        <v>78</v>
      </c>
      <c r="H15" s="184" t="s">
        <v>78</v>
      </c>
      <c r="I15" s="184" t="s">
        <v>319</v>
      </c>
      <c r="J15" s="184" t="s">
        <v>319</v>
      </c>
      <c r="K15" s="183" t="s">
        <v>319</v>
      </c>
      <c r="L15" s="188" t="s">
        <v>319</v>
      </c>
      <c r="Q15" s="183"/>
      <c r="R15" s="183"/>
      <c r="X15" s="183"/>
      <c r="Y15" s="183"/>
      <c r="AE15" s="183"/>
      <c r="AF15" s="183"/>
      <c r="AL15" s="183"/>
      <c r="AM15" s="183"/>
      <c r="AS15" s="183"/>
      <c r="AT15" s="116"/>
      <c r="AU15" s="116"/>
      <c r="AV15" s="193">
        <v>-59</v>
      </c>
      <c r="AW15" s="191">
        <f>ROUND((AW$1-AW$2)*(_xlfn.XLOOKUP(A15,'ma-basisdaten'!A13:A26,'ma-basisdaten'!C13:C26)*8.4)/100,0)</f>
        <v>134</v>
      </c>
      <c r="AX15" s="37" t="s">
        <v>450</v>
      </c>
      <c r="AY15" s="195">
        <v>3</v>
      </c>
      <c r="AZ15" s="195">
        <v>0</v>
      </c>
      <c r="BA15" s="116"/>
      <c r="BB15" s="152">
        <v>0</v>
      </c>
      <c r="BC15" s="152">
        <v>0</v>
      </c>
      <c r="BD15" s="136"/>
    </row>
    <row r="16" spans="1:57">
      <c r="A16" s="137" t="s">
        <v>18</v>
      </c>
      <c r="B16" s="22" t="s">
        <v>129</v>
      </c>
      <c r="C16" s="37" t="s">
        <v>113</v>
      </c>
      <c r="D16" s="182" t="s">
        <v>84</v>
      </c>
      <c r="E16" s="183" t="s">
        <v>84</v>
      </c>
      <c r="F16" s="183" t="s">
        <v>86</v>
      </c>
      <c r="G16" s="183" t="s">
        <v>86</v>
      </c>
      <c r="H16" s="184" t="s">
        <v>86</v>
      </c>
      <c r="I16" s="184" t="s">
        <v>319</v>
      </c>
      <c r="J16" s="184" t="s">
        <v>319</v>
      </c>
      <c r="K16" s="183" t="s">
        <v>319</v>
      </c>
      <c r="L16" s="183" t="s">
        <v>84</v>
      </c>
      <c r="M16" s="183"/>
      <c r="N16" s="183"/>
      <c r="O16" s="188" t="s">
        <v>328</v>
      </c>
      <c r="P16" s="188" t="s">
        <v>319</v>
      </c>
      <c r="Q16" s="188" t="s">
        <v>319</v>
      </c>
      <c r="R16" s="192"/>
      <c r="S16" s="188" t="s">
        <v>328</v>
      </c>
      <c r="T16" s="188" t="s">
        <v>319</v>
      </c>
      <c r="U16" s="183"/>
      <c r="V16" s="183"/>
      <c r="W16" s="183"/>
      <c r="X16" s="183"/>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16"/>
      <c r="AU16" s="116"/>
      <c r="AV16" s="193">
        <v>-27</v>
      </c>
      <c r="AW16" s="191">
        <f>ROUND((AW$1-AW$2)*(_xlfn.XLOOKUP(A16,'ma-basisdaten'!A14:A27,'ma-basisdaten'!C14:C27)*8.4)/100,0)</f>
        <v>151</v>
      </c>
      <c r="AX16" s="37" t="s">
        <v>457</v>
      </c>
      <c r="AY16" s="195">
        <v>4</v>
      </c>
      <c r="AZ16" s="195">
        <v>0</v>
      </c>
      <c r="BA16" s="116"/>
      <c r="BB16" s="152">
        <v>0</v>
      </c>
      <c r="BC16" s="152">
        <v>0</v>
      </c>
      <c r="BD16" s="136"/>
    </row>
    <row r="17" spans="1:57">
      <c r="A17" s="137" t="s">
        <v>19</v>
      </c>
      <c r="B17" s="22" t="s">
        <v>130</v>
      </c>
      <c r="C17" s="37" t="s">
        <v>113</v>
      </c>
      <c r="D17" s="183" t="s">
        <v>319</v>
      </c>
      <c r="E17" s="183" t="s">
        <v>319</v>
      </c>
      <c r="F17" s="190" t="s">
        <v>88</v>
      </c>
      <c r="G17" s="183" t="s">
        <v>88</v>
      </c>
      <c r="H17" s="184" t="s">
        <v>88</v>
      </c>
      <c r="I17" s="184" t="s">
        <v>85</v>
      </c>
      <c r="J17" s="184" t="s">
        <v>319</v>
      </c>
      <c r="K17" s="183" t="s">
        <v>319</v>
      </c>
      <c r="L17" s="188" t="s">
        <v>319</v>
      </c>
      <c r="M17" s="183"/>
      <c r="N17" s="183"/>
      <c r="O17" s="183"/>
      <c r="P17" s="183"/>
      <c r="Q17" s="183"/>
      <c r="R17" s="183"/>
      <c r="S17" s="183"/>
      <c r="T17" s="183"/>
      <c r="U17" s="183"/>
      <c r="V17" s="183"/>
      <c r="W17" s="183"/>
      <c r="X17" s="183"/>
      <c r="Y17" s="183"/>
      <c r="Z17" s="183"/>
      <c r="AA17" s="190"/>
      <c r="AB17" s="183"/>
      <c r="AC17" s="183"/>
      <c r="AD17" s="183"/>
      <c r="AE17" s="183"/>
      <c r="AF17" s="183"/>
      <c r="AG17" s="183"/>
      <c r="AH17" s="183"/>
      <c r="AI17" s="183"/>
      <c r="AJ17" s="183"/>
      <c r="AK17" s="183"/>
      <c r="AL17" s="183"/>
      <c r="AM17" s="183"/>
      <c r="AN17" s="183"/>
      <c r="AO17" s="183"/>
      <c r="AP17" s="183"/>
      <c r="AQ17" s="183"/>
      <c r="AR17" s="183"/>
      <c r="AS17" s="183"/>
      <c r="AT17" s="116"/>
      <c r="AU17" s="116"/>
      <c r="AV17" s="193">
        <v>-8</v>
      </c>
      <c r="AW17" s="191">
        <f>ROUND((AW$1-AW$2)*(_xlfn.XLOOKUP(A17,'ma-basisdaten'!A15:A28,'ma-basisdaten'!C15:C28)*8.4)/100,0)</f>
        <v>84</v>
      </c>
      <c r="AX17" s="37" t="s">
        <v>379</v>
      </c>
      <c r="AY17" s="195">
        <v>3</v>
      </c>
      <c r="AZ17" s="195">
        <v>0</v>
      </c>
      <c r="BA17" s="116"/>
      <c r="BB17" s="152">
        <v>0</v>
      </c>
      <c r="BC17" s="152">
        <v>0</v>
      </c>
      <c r="BD17" s="136"/>
    </row>
    <row r="18" spans="1:57">
      <c r="A18" s="137" t="s">
        <v>20</v>
      </c>
      <c r="B18" s="22" t="s">
        <v>131</v>
      </c>
      <c r="C18" s="37" t="s">
        <v>113</v>
      </c>
      <c r="D18" s="184" t="s">
        <v>319</v>
      </c>
      <c r="E18" s="183" t="s">
        <v>319</v>
      </c>
      <c r="F18" s="183" t="s">
        <v>319</v>
      </c>
      <c r="G18" s="183" t="s">
        <v>319</v>
      </c>
      <c r="H18" s="184" t="s">
        <v>319</v>
      </c>
      <c r="I18" s="184" t="s">
        <v>89</v>
      </c>
      <c r="J18" s="183" t="s">
        <v>84</v>
      </c>
      <c r="K18" s="183" t="s">
        <v>84</v>
      </c>
      <c r="L18" s="188" t="s">
        <v>319</v>
      </c>
      <c r="M18" s="183"/>
      <c r="N18" s="183"/>
      <c r="O18" s="183"/>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83"/>
      <c r="AM18" s="183"/>
      <c r="AN18" s="183"/>
      <c r="AO18" s="183"/>
      <c r="AP18" s="183"/>
      <c r="AQ18" s="183"/>
      <c r="AR18" s="183"/>
      <c r="AS18" s="183"/>
      <c r="AT18" s="116"/>
      <c r="AU18" s="116"/>
      <c r="AV18" s="193">
        <v>-9</v>
      </c>
      <c r="AW18" s="191">
        <f>ROUND((AW$1-AW$2)*(_xlfn.XLOOKUP(A18,'ma-basisdaten'!A16:A29,'ma-basisdaten'!C16:C29)*8.4)/100,0)</f>
        <v>101</v>
      </c>
      <c r="AX18" s="37" t="s">
        <v>380</v>
      </c>
      <c r="AY18" s="195">
        <v>3</v>
      </c>
      <c r="AZ18" s="195">
        <v>1</v>
      </c>
      <c r="BA18" s="116"/>
      <c r="BB18" s="152">
        <v>0</v>
      </c>
      <c r="BC18" s="152">
        <v>0</v>
      </c>
      <c r="BD18" s="136"/>
    </row>
    <row r="19" spans="1:57">
      <c r="A19" s="19" t="s">
        <v>410</v>
      </c>
      <c r="B19" s="203" t="s">
        <v>406</v>
      </c>
      <c r="C19" s="230" t="s">
        <v>401</v>
      </c>
      <c r="D19" s="184" t="s">
        <v>397</v>
      </c>
      <c r="E19" s="183" t="s">
        <v>397</v>
      </c>
      <c r="F19" s="192" t="s">
        <v>398</v>
      </c>
      <c r="G19" s="192" t="s">
        <v>397</v>
      </c>
      <c r="H19" s="184" t="s">
        <v>319</v>
      </c>
      <c r="I19" s="184" t="s">
        <v>319</v>
      </c>
      <c r="J19" s="184" t="s">
        <v>319</v>
      </c>
      <c r="K19" s="184" t="s">
        <v>319</v>
      </c>
      <c r="L19" s="183" t="s">
        <v>319</v>
      </c>
      <c r="M19" s="192" t="s">
        <v>334</v>
      </c>
      <c r="N19" s="192" t="s">
        <v>43</v>
      </c>
      <c r="O19" s="192" t="s">
        <v>251</v>
      </c>
      <c r="P19" s="183" t="s">
        <v>319</v>
      </c>
      <c r="Q19" s="184" t="s">
        <v>319</v>
      </c>
      <c r="R19" s="184" t="s">
        <v>319</v>
      </c>
      <c r="S19" s="183"/>
      <c r="T19" s="183"/>
      <c r="U19" s="183" t="s">
        <v>319</v>
      </c>
      <c r="V19" s="183"/>
      <c r="W19" s="183"/>
      <c r="X19" s="183"/>
      <c r="Y19" s="183"/>
      <c r="Z19" s="183"/>
      <c r="AA19" s="183"/>
      <c r="AB19" s="183" t="s">
        <v>319</v>
      </c>
      <c r="AC19" s="183"/>
      <c r="AD19" s="183"/>
      <c r="AE19" s="183"/>
      <c r="AF19" s="183"/>
      <c r="AG19" s="183"/>
      <c r="AH19" s="183"/>
      <c r="AI19" s="183" t="s">
        <v>319</v>
      </c>
      <c r="AJ19" s="183" t="s">
        <v>319</v>
      </c>
      <c r="AK19" s="183"/>
      <c r="AL19" s="183"/>
      <c r="AM19" s="183"/>
      <c r="AN19" s="183"/>
      <c r="AO19" s="183"/>
      <c r="AP19" s="183" t="s">
        <v>319</v>
      </c>
      <c r="AQ19" s="183"/>
      <c r="AR19" s="183"/>
      <c r="AS19" s="183"/>
      <c r="AT19" s="116"/>
      <c r="AU19" s="116"/>
      <c r="AV19" s="193">
        <v>-21</v>
      </c>
      <c r="AW19" s="141">
        <v>104</v>
      </c>
      <c r="AX19" s="37" t="s">
        <v>416</v>
      </c>
      <c r="AY19" s="195">
        <v>2</v>
      </c>
      <c r="AZ19" s="195">
        <v>0</v>
      </c>
      <c r="BA19" s="116"/>
      <c r="BB19" s="152">
        <v>0</v>
      </c>
      <c r="BC19" s="152">
        <v>0</v>
      </c>
      <c r="BD19" s="136"/>
    </row>
    <row r="20" spans="1:57">
      <c r="A20" s="19" t="s">
        <v>404</v>
      </c>
      <c r="B20" s="203" t="s">
        <v>407</v>
      </c>
      <c r="C20" s="230" t="s">
        <v>401</v>
      </c>
      <c r="D20" s="184" t="s">
        <v>319</v>
      </c>
      <c r="E20" s="183" t="s">
        <v>319</v>
      </c>
      <c r="F20" s="183" t="s">
        <v>397</v>
      </c>
      <c r="G20" s="183" t="s">
        <v>398</v>
      </c>
      <c r="H20" s="184" t="s">
        <v>397</v>
      </c>
      <c r="I20" s="184" t="s">
        <v>397</v>
      </c>
      <c r="J20" s="184" t="s">
        <v>319</v>
      </c>
      <c r="K20" s="184" t="s">
        <v>319</v>
      </c>
      <c r="L20" s="183" t="s">
        <v>319</v>
      </c>
      <c r="M20" s="183" t="s">
        <v>319</v>
      </c>
      <c r="N20" s="183" t="s">
        <v>319</v>
      </c>
      <c r="O20" s="192" t="s">
        <v>417</v>
      </c>
      <c r="P20" s="183"/>
      <c r="Q20" s="183"/>
      <c r="R20" s="183"/>
      <c r="S20" s="183"/>
      <c r="T20" s="183"/>
      <c r="U20" s="183"/>
      <c r="V20" s="183" t="s">
        <v>319</v>
      </c>
      <c r="W20" s="183" t="s">
        <v>319</v>
      </c>
      <c r="X20" s="183"/>
      <c r="Y20" s="183"/>
      <c r="Z20" s="183"/>
      <c r="AA20" s="183" t="s">
        <v>319</v>
      </c>
      <c r="AB20" s="192" t="s">
        <v>417</v>
      </c>
      <c r="AC20" s="183" t="s">
        <v>319</v>
      </c>
      <c r="AD20" s="183" t="s">
        <v>319</v>
      </c>
      <c r="AE20" s="183"/>
      <c r="AF20" s="183"/>
      <c r="AG20" s="183"/>
      <c r="AH20" s="183"/>
      <c r="AI20" s="183"/>
      <c r="AJ20" s="183" t="s">
        <v>319</v>
      </c>
      <c r="AK20" s="183" t="s">
        <v>319</v>
      </c>
      <c r="AL20" s="183"/>
      <c r="AM20" s="183"/>
      <c r="AN20" s="183"/>
      <c r="AO20" s="183"/>
      <c r="AP20" s="183"/>
      <c r="AQ20" s="183"/>
      <c r="AR20" s="183"/>
      <c r="AS20" s="183"/>
      <c r="AT20" s="116"/>
      <c r="AU20" s="116"/>
      <c r="AV20" s="193">
        <v>8</v>
      </c>
      <c r="AW20" s="191">
        <v>92</v>
      </c>
      <c r="AX20" s="37" t="s">
        <v>479</v>
      </c>
      <c r="AY20" s="195">
        <v>3</v>
      </c>
      <c r="AZ20" s="195">
        <v>0</v>
      </c>
      <c r="BA20" s="116"/>
      <c r="BB20" s="152">
        <v>0</v>
      </c>
      <c r="BC20" s="152">
        <v>0</v>
      </c>
      <c r="BD20" s="136"/>
    </row>
    <row r="21" spans="1:57">
      <c r="A21" s="19" t="s">
        <v>405</v>
      </c>
      <c r="B21" s="203" t="s">
        <v>408</v>
      </c>
      <c r="C21" s="230" t="s">
        <v>401</v>
      </c>
      <c r="D21" s="184" t="s">
        <v>319</v>
      </c>
      <c r="E21" s="183" t="s">
        <v>319</v>
      </c>
      <c r="F21" s="183" t="s">
        <v>319</v>
      </c>
      <c r="G21" s="183" t="s">
        <v>398</v>
      </c>
      <c r="H21" s="184" t="s">
        <v>398</v>
      </c>
      <c r="I21" s="184" t="s">
        <v>397</v>
      </c>
      <c r="J21" s="184" t="s">
        <v>319</v>
      </c>
      <c r="K21" s="184" t="s">
        <v>319</v>
      </c>
      <c r="L21" s="183" t="s">
        <v>319</v>
      </c>
      <c r="M21" s="183"/>
      <c r="N21" s="183"/>
      <c r="O21" s="192" t="s">
        <v>417</v>
      </c>
      <c r="P21" s="183"/>
      <c r="Q21" s="183"/>
      <c r="R21" s="183"/>
      <c r="S21" s="183"/>
      <c r="T21" s="183"/>
      <c r="U21" s="183"/>
      <c r="V21" s="183" t="s">
        <v>319</v>
      </c>
      <c r="W21" s="183" t="s">
        <v>319</v>
      </c>
      <c r="X21" s="183"/>
      <c r="Y21" s="183"/>
      <c r="Z21" s="183"/>
      <c r="AA21" s="183" t="s">
        <v>319</v>
      </c>
      <c r="AB21" s="192" t="s">
        <v>417</v>
      </c>
      <c r="AC21" s="183" t="s">
        <v>319</v>
      </c>
      <c r="AD21" s="183" t="s">
        <v>319</v>
      </c>
      <c r="AE21" s="183"/>
      <c r="AF21" s="183"/>
      <c r="AG21" s="183"/>
      <c r="AH21" s="183"/>
      <c r="AI21" s="183"/>
      <c r="AJ21" s="183" t="s">
        <v>319</v>
      </c>
      <c r="AK21" s="183" t="s">
        <v>319</v>
      </c>
      <c r="AL21" s="183"/>
      <c r="AM21" s="183"/>
      <c r="AN21" s="183"/>
      <c r="AO21" s="183"/>
      <c r="AP21" s="183"/>
      <c r="AQ21" s="183"/>
      <c r="AR21" s="183"/>
      <c r="AS21" s="183"/>
      <c r="AT21" s="116"/>
      <c r="AU21" s="116"/>
      <c r="AV21" s="193">
        <v>-1</v>
      </c>
      <c r="AW21" s="191">
        <v>96</v>
      </c>
      <c r="AX21" s="37" t="s">
        <v>479</v>
      </c>
      <c r="AY21" s="195">
        <v>4</v>
      </c>
      <c r="AZ21" s="195">
        <v>0</v>
      </c>
      <c r="BA21" s="116"/>
      <c r="BB21" s="152">
        <v>0</v>
      </c>
      <c r="BC21" s="152">
        <v>0</v>
      </c>
      <c r="BD21" s="136"/>
    </row>
    <row r="22" spans="1:57">
      <c r="A22" s="116"/>
      <c r="B22" s="116"/>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21"/>
      <c r="BC22" s="116"/>
      <c r="BD22" s="116"/>
      <c r="BE22" s="116"/>
    </row>
    <row r="23" spans="1:57" ht="13">
      <c r="A23" s="116"/>
      <c r="B23" s="116"/>
      <c r="C23" s="116"/>
      <c r="D23" s="116"/>
      <c r="E23" s="116"/>
      <c r="F23" s="116"/>
      <c r="G23" s="138" t="s">
        <v>258</v>
      </c>
      <c r="H23" s="116"/>
      <c r="I23" s="116"/>
      <c r="J23" s="116"/>
      <c r="K23" s="116"/>
      <c r="L23" s="116"/>
      <c r="M23" s="116"/>
      <c r="N23" s="116"/>
      <c r="O23" s="116"/>
      <c r="P23" s="116"/>
      <c r="Q23" s="116"/>
      <c r="R23" s="116"/>
      <c r="S23" s="116"/>
      <c r="T23" s="116"/>
      <c r="U23" s="116"/>
      <c r="V23" s="116"/>
      <c r="W23" s="116"/>
      <c r="X23" s="116"/>
      <c r="Y23" s="116"/>
      <c r="Z23" s="116"/>
      <c r="AA23" s="116"/>
      <c r="AB23" s="116"/>
      <c r="AC23" s="116"/>
      <c r="AD23" s="116"/>
      <c r="AE23" s="116"/>
      <c r="AF23" s="116"/>
      <c r="AG23" s="116"/>
      <c r="AH23" s="116"/>
      <c r="AI23" s="116"/>
      <c r="AJ23" s="116"/>
      <c r="AK23" s="116"/>
      <c r="AL23" s="116"/>
      <c r="AM23" s="116"/>
      <c r="AN23" s="116"/>
      <c r="AO23" s="116"/>
      <c r="AP23" s="116"/>
      <c r="AQ23" s="116"/>
      <c r="AR23" s="116"/>
      <c r="AS23" s="116"/>
      <c r="AT23" s="116"/>
      <c r="AU23" s="116"/>
      <c r="AV23" s="116"/>
      <c r="AW23" s="116"/>
      <c r="AX23" s="116"/>
      <c r="AY23" s="116"/>
      <c r="AZ23" s="116"/>
      <c r="BA23" s="116"/>
      <c r="BB23" s="121"/>
      <c r="BC23" s="116"/>
      <c r="BD23" s="116"/>
      <c r="BE23" s="116"/>
    </row>
    <row r="24" spans="1:57" ht="13">
      <c r="A24" s="116"/>
      <c r="B24" s="116"/>
      <c r="C24" s="116"/>
      <c r="D24" s="138"/>
      <c r="E24" s="116"/>
      <c r="F24" s="116"/>
      <c r="G24" s="116" t="s">
        <v>259</v>
      </c>
      <c r="H24" s="116"/>
      <c r="I24" s="116"/>
      <c r="J24" s="116"/>
      <c r="K24" s="116"/>
      <c r="L24" s="116"/>
      <c r="M24" s="116"/>
      <c r="N24" s="116"/>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6"/>
      <c r="BB24" s="121"/>
      <c r="BC24" s="116"/>
      <c r="BD24" s="116"/>
      <c r="BE24" s="116"/>
    </row>
    <row r="25" spans="1:57">
      <c r="A25" s="116"/>
      <c r="B25" s="139" t="s">
        <v>260</v>
      </c>
      <c r="C25" s="139"/>
      <c r="D25" s="116"/>
      <c r="E25" s="116"/>
      <c r="F25" s="140"/>
      <c r="G25" s="116" t="s">
        <v>261</v>
      </c>
      <c r="H25" s="116"/>
      <c r="I25" s="116"/>
      <c r="J25" s="116"/>
      <c r="K25" s="116"/>
      <c r="L25" s="116"/>
      <c r="M25" s="116"/>
      <c r="N25" s="116"/>
      <c r="O25" s="116" t="s">
        <v>262</v>
      </c>
      <c r="P25" s="116"/>
      <c r="Q25" s="116"/>
      <c r="R25" s="116"/>
      <c r="S25" s="116"/>
      <c r="T25" s="116"/>
      <c r="U25" s="116"/>
      <c r="V25" s="116"/>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t="s">
        <v>263</v>
      </c>
      <c r="AW25" s="116"/>
      <c r="AX25" s="116"/>
      <c r="AY25" s="116"/>
      <c r="AZ25" s="116"/>
      <c r="BA25" s="116"/>
      <c r="BB25" s="121"/>
      <c r="BC25" s="116"/>
      <c r="BD25" s="116"/>
      <c r="BE25" s="116"/>
    </row>
    <row r="26" spans="1:57">
      <c r="A26" s="116"/>
      <c r="B26" s="140" t="s">
        <v>264</v>
      </c>
      <c r="C26" s="116"/>
      <c r="D26" s="116"/>
      <c r="E26" s="116"/>
      <c r="F26" s="116"/>
      <c r="G26" s="116" t="s">
        <v>265</v>
      </c>
      <c r="H26" s="116"/>
      <c r="I26" s="116"/>
      <c r="J26" s="116"/>
      <c r="K26" s="116"/>
      <c r="L26" s="116"/>
      <c r="M26" s="116"/>
      <c r="N26" s="116"/>
      <c r="O26" s="116"/>
      <c r="P26" s="116"/>
      <c r="Q26" s="116"/>
      <c r="R26" s="116"/>
      <c r="S26" s="116"/>
      <c r="T26" s="116"/>
      <c r="U26" s="116"/>
      <c r="V26" s="116"/>
      <c r="W26" s="116"/>
      <c r="X26" s="116"/>
      <c r="Y26" s="116"/>
      <c r="Z26" s="116"/>
      <c r="AA26" s="116"/>
      <c r="AB26" s="116"/>
      <c r="AC26" s="116"/>
      <c r="AD26" s="116"/>
      <c r="AE26" s="116"/>
      <c r="AF26" s="116"/>
      <c r="AG26" s="116"/>
      <c r="AH26" s="116"/>
      <c r="AI26" s="116"/>
      <c r="AJ26" s="116"/>
      <c r="AK26" s="116"/>
      <c r="AL26" s="116"/>
      <c r="AM26" s="116"/>
      <c r="AN26" s="116"/>
      <c r="AO26" s="116"/>
      <c r="AP26" s="116"/>
      <c r="AQ26" s="116"/>
      <c r="AR26" s="116"/>
      <c r="AS26" s="116"/>
      <c r="AT26" s="116"/>
      <c r="AU26" s="116"/>
      <c r="AV26" s="116" t="s">
        <v>266</v>
      </c>
      <c r="AW26" s="116"/>
      <c r="AX26" s="116"/>
      <c r="AY26" s="116"/>
      <c r="AZ26" s="116"/>
      <c r="BA26" s="116"/>
      <c r="BB26" s="116"/>
      <c r="BC26" s="116"/>
      <c r="BD26" s="116"/>
      <c r="BE26" s="116"/>
    </row>
    <row r="27" spans="1:57">
      <c r="A27" s="116"/>
      <c r="B27" s="116"/>
      <c r="C27" s="116"/>
      <c r="D27" s="116"/>
      <c r="E27" s="116"/>
      <c r="F27" s="116"/>
      <c r="G27" s="116" t="s">
        <v>251</v>
      </c>
      <c r="H27" s="116"/>
      <c r="I27" s="116"/>
      <c r="J27" s="116"/>
      <c r="K27" s="116"/>
      <c r="L27" s="116"/>
      <c r="M27" s="116"/>
      <c r="N27" s="116"/>
      <c r="O27" s="116"/>
      <c r="P27" s="116"/>
      <c r="Q27" s="116"/>
      <c r="R27" s="116"/>
      <c r="S27" s="116"/>
      <c r="T27" s="116"/>
      <c r="U27" s="116"/>
      <c r="V27" s="116"/>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row>
    <row r="28" spans="1:57">
      <c r="A28" s="116"/>
      <c r="B28" s="116"/>
      <c r="C28" s="116"/>
      <c r="D28" s="116"/>
      <c r="E28" s="116"/>
      <c r="F28" s="116"/>
      <c r="G28" s="116" t="s">
        <v>267</v>
      </c>
      <c r="H28" s="116" t="s">
        <v>268</v>
      </c>
      <c r="I28" s="116"/>
      <c r="J28" s="116"/>
      <c r="K28" s="116"/>
      <c r="L28" s="116"/>
      <c r="M28" s="116"/>
      <c r="N28" s="116"/>
      <c r="O28" s="116"/>
      <c r="P28" s="116"/>
      <c r="Q28" s="116"/>
      <c r="R28" s="116"/>
      <c r="S28" s="116"/>
      <c r="T28" s="116"/>
      <c r="U28" s="116"/>
      <c r="V28" s="116"/>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row>
    <row r="29" spans="1:57">
      <c r="A29" s="116"/>
      <c r="B29" s="116"/>
      <c r="C29" s="116"/>
      <c r="D29" s="116"/>
      <c r="E29" s="116"/>
      <c r="F29" s="116"/>
      <c r="G29" s="116" t="s">
        <v>269</v>
      </c>
      <c r="H29" s="116"/>
      <c r="I29" s="116"/>
      <c r="J29" s="116"/>
      <c r="K29" s="116"/>
      <c r="L29" s="116"/>
      <c r="M29" s="116"/>
      <c r="N29" s="116"/>
      <c r="O29" s="116"/>
      <c r="P29" s="116"/>
      <c r="Q29" s="116"/>
      <c r="R29" s="116"/>
      <c r="S29" s="116"/>
      <c r="T29" s="116"/>
      <c r="U29" s="116"/>
      <c r="V29" s="116"/>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row>
    <row r="30" spans="1:57">
      <c r="A30" s="116"/>
      <c r="B30" s="116"/>
      <c r="C30" s="116"/>
      <c r="D30" s="116"/>
      <c r="E30" s="116"/>
      <c r="F30" s="116"/>
      <c r="G30" s="116"/>
      <c r="H30" s="116"/>
      <c r="I30" s="116"/>
      <c r="J30" s="116"/>
      <c r="K30" s="116"/>
      <c r="L30" s="116"/>
      <c r="M30" s="116"/>
      <c r="N30" s="116"/>
      <c r="O30" s="116"/>
      <c r="P30" s="116"/>
      <c r="Q30" s="116"/>
      <c r="R30" s="116"/>
      <c r="S30" s="116"/>
      <c r="T30" s="116"/>
      <c r="U30" s="116"/>
      <c r="V30" s="116"/>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row>
    <row r="31" spans="1:57" ht="13">
      <c r="A31" s="116"/>
      <c r="B31" s="116"/>
      <c r="C31" s="116"/>
      <c r="D31" s="116"/>
      <c r="E31" s="116"/>
      <c r="F31" s="116"/>
      <c r="G31" s="138" t="s">
        <v>270</v>
      </c>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row>
    <row r="32" spans="1:57">
      <c r="A32" s="116"/>
      <c r="B32" s="116"/>
      <c r="C32" s="116"/>
      <c r="D32" s="116"/>
      <c r="E32" s="116"/>
      <c r="F32" s="116"/>
      <c r="G32" s="116" t="s">
        <v>252</v>
      </c>
      <c r="H32" s="116"/>
      <c r="I32" s="116"/>
      <c r="J32" s="116"/>
      <c r="K32" s="116"/>
      <c r="L32" s="116"/>
      <c r="M32" s="116"/>
      <c r="N32" s="116"/>
      <c r="O32" s="116"/>
      <c r="P32" s="116"/>
      <c r="Q32" s="116"/>
      <c r="R32" s="116"/>
      <c r="S32" s="116"/>
      <c r="T32" s="116"/>
      <c r="U32" s="116"/>
      <c r="V32" s="116"/>
      <c r="W32" s="116"/>
      <c r="X32" s="116"/>
      <c r="Y32" s="116"/>
      <c r="Z32" s="116"/>
      <c r="AA32" s="116"/>
      <c r="AB32" s="116"/>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row>
    <row r="33" spans="1:52">
      <c r="A33" s="116"/>
      <c r="B33" s="116"/>
      <c r="C33" s="116"/>
      <c r="D33" s="116"/>
      <c r="E33" s="116"/>
      <c r="F33" s="116"/>
      <c r="G33" s="116" t="s">
        <v>271</v>
      </c>
      <c r="H33" s="116"/>
      <c r="I33" s="116"/>
      <c r="J33" s="116"/>
      <c r="K33" s="116"/>
      <c r="L33" s="116"/>
      <c r="M33" s="116"/>
      <c r="N33" s="116"/>
      <c r="O33" s="116"/>
      <c r="P33" s="116"/>
      <c r="Q33" s="116"/>
      <c r="R33" s="116"/>
      <c r="S33" s="116"/>
      <c r="T33" s="116"/>
      <c r="U33" s="116"/>
      <c r="V33" s="116"/>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row>
    <row r="34" spans="1:52">
      <c r="A34" s="116"/>
      <c r="B34" s="116"/>
      <c r="C34" s="116"/>
      <c r="D34" s="116"/>
      <c r="E34" s="116"/>
      <c r="F34" s="116"/>
      <c r="G34" s="116"/>
      <c r="H34" s="116"/>
      <c r="I34" s="116"/>
      <c r="J34" s="116"/>
      <c r="K34" s="116"/>
      <c r="L34" s="116"/>
      <c r="M34" s="116"/>
      <c r="N34" s="116"/>
      <c r="O34" s="116"/>
      <c r="P34" s="116"/>
      <c r="Q34" s="116"/>
      <c r="R34" s="116"/>
      <c r="S34" s="116"/>
      <c r="T34" s="116"/>
      <c r="U34" s="116"/>
      <c r="V34" s="116"/>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row>
    <row r="35" spans="1:52" ht="13">
      <c r="A35" s="116"/>
      <c r="B35" s="116"/>
      <c r="C35" s="116"/>
      <c r="D35" s="116"/>
      <c r="E35" s="116"/>
      <c r="F35" s="116"/>
      <c r="G35" s="138" t="s">
        <v>272</v>
      </c>
      <c r="H35" s="116"/>
      <c r="I35" s="116"/>
      <c r="J35" s="116"/>
      <c r="K35" s="116"/>
      <c r="L35" s="116"/>
      <c r="M35" s="116"/>
      <c r="N35" s="116"/>
      <c r="O35" s="116"/>
      <c r="P35" s="116"/>
      <c r="Q35" s="116"/>
      <c r="R35" s="116"/>
      <c r="S35" s="116"/>
      <c r="T35" s="116"/>
      <c r="U35" s="116"/>
      <c r="V35" s="116"/>
      <c r="W35" s="116"/>
      <c r="X35" s="116"/>
      <c r="Y35" s="116"/>
      <c r="Z35" s="116"/>
      <c r="AA35" s="116"/>
      <c r="AB35" s="116"/>
      <c r="AC35" s="116"/>
      <c r="AD35" s="116"/>
      <c r="AE35" s="116"/>
      <c r="AF35" s="116"/>
      <c r="AG35" s="116"/>
      <c r="AH35" s="116"/>
      <c r="AI35" s="116"/>
      <c r="AJ35" s="116"/>
      <c r="AK35" s="116"/>
      <c r="AL35" s="116"/>
      <c r="AM35" s="116"/>
      <c r="AN35" s="116"/>
      <c r="AO35" s="116"/>
      <c r="AP35" s="116"/>
      <c r="AQ35" s="116"/>
      <c r="AR35" s="116"/>
      <c r="AS35" s="116"/>
      <c r="AT35" s="116"/>
      <c r="AU35" s="116"/>
      <c r="AV35" s="116"/>
      <c r="AW35" s="116"/>
      <c r="AX35" s="116"/>
      <c r="AY35" s="116"/>
      <c r="AZ35" s="116"/>
    </row>
    <row r="36" spans="1:52">
      <c r="A36" s="116"/>
      <c r="B36" s="116"/>
      <c r="C36" s="116"/>
      <c r="D36" s="116"/>
      <c r="E36" s="116"/>
      <c r="F36" s="116"/>
      <c r="G36" s="116" t="s">
        <v>253</v>
      </c>
      <c r="H36" s="116"/>
      <c r="I36" s="116" t="s">
        <v>273</v>
      </c>
      <c r="J36" s="116"/>
      <c r="K36" s="116"/>
      <c r="L36" s="116"/>
      <c r="M36" s="116"/>
      <c r="N36" s="116"/>
      <c r="O36" s="116"/>
      <c r="P36" s="116"/>
      <c r="Q36" s="116"/>
      <c r="R36" s="116"/>
      <c r="S36" s="116"/>
      <c r="T36" s="116"/>
      <c r="U36" s="116"/>
      <c r="V36" s="116"/>
      <c r="W36" s="116"/>
      <c r="X36" s="116"/>
      <c r="Y36" s="116"/>
      <c r="Z36" s="116"/>
      <c r="AA36" s="116"/>
      <c r="AB36" s="116"/>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row>
    <row r="37" spans="1:52">
      <c r="A37" s="116"/>
      <c r="B37" s="116"/>
      <c r="C37" s="116"/>
      <c r="D37" s="116"/>
      <c r="E37" s="116"/>
      <c r="F37" s="116"/>
      <c r="G37" s="116" t="s">
        <v>254</v>
      </c>
      <c r="H37" s="116"/>
      <c r="I37" s="116" t="s">
        <v>274</v>
      </c>
      <c r="J37" s="116"/>
      <c r="K37" s="116"/>
      <c r="L37" s="116"/>
      <c r="M37" s="116"/>
      <c r="N37" s="116"/>
      <c r="O37" s="116"/>
      <c r="P37" s="116"/>
      <c r="Q37" s="116"/>
      <c r="R37" s="116"/>
      <c r="S37" s="116"/>
      <c r="T37" s="116"/>
      <c r="U37" s="116"/>
      <c r="V37" s="116"/>
      <c r="W37" s="116"/>
      <c r="X37" s="116"/>
      <c r="Y37" s="116"/>
      <c r="Z37" s="116"/>
      <c r="AA37" s="116"/>
      <c r="AB37" s="116"/>
      <c r="AC37" s="116"/>
      <c r="AD37" s="116"/>
      <c r="AE37" s="116"/>
      <c r="AF37" s="116"/>
      <c r="AG37" s="116"/>
      <c r="AH37" s="116"/>
      <c r="AI37" s="116"/>
      <c r="AJ37" s="116"/>
      <c r="AK37" s="116"/>
      <c r="AL37" s="116"/>
      <c r="AM37" s="116"/>
      <c r="AN37" s="116"/>
      <c r="AO37" s="116"/>
      <c r="AP37" s="116"/>
      <c r="AQ37" s="116"/>
      <c r="AR37" s="116"/>
      <c r="AS37" s="116"/>
      <c r="AT37" s="116"/>
      <c r="AU37" s="116"/>
      <c r="AV37" s="116"/>
      <c r="AW37" s="116"/>
      <c r="AX37" s="116"/>
      <c r="AY37" s="116"/>
      <c r="AZ37" s="116"/>
    </row>
    <row r="38" spans="1:52">
      <c r="A38" s="116"/>
      <c r="B38" s="116"/>
      <c r="C38" s="116"/>
      <c r="D38" s="116"/>
      <c r="E38" s="116"/>
      <c r="F38" s="116"/>
      <c r="G38" s="116" t="s">
        <v>257</v>
      </c>
      <c r="H38" s="116"/>
      <c r="I38" s="116" t="s">
        <v>275</v>
      </c>
      <c r="J38" s="116"/>
      <c r="K38" s="116"/>
      <c r="L38" s="116"/>
      <c r="M38" s="116"/>
      <c r="N38" s="116"/>
      <c r="O38" s="116"/>
      <c r="P38" s="116"/>
      <c r="Q38" s="116"/>
      <c r="R38" s="116"/>
      <c r="S38" s="116"/>
      <c r="T38" s="116"/>
      <c r="U38" s="116"/>
      <c r="V38" s="116"/>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row>
    <row r="39" spans="1:52">
      <c r="A39" s="116"/>
      <c r="B39" s="116"/>
      <c r="C39" s="116"/>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row>
    <row r="40" spans="1:52" ht="13">
      <c r="A40" s="116"/>
      <c r="B40" s="116"/>
      <c r="C40" s="116"/>
      <c r="D40" s="116"/>
      <c r="E40" s="116"/>
      <c r="F40" s="116"/>
      <c r="G40" s="138" t="s">
        <v>276</v>
      </c>
      <c r="H40" s="116"/>
      <c r="I40" s="116"/>
      <c r="J40" s="116"/>
      <c r="K40" s="116"/>
      <c r="L40" s="116"/>
      <c r="M40" s="116"/>
      <c r="N40" s="116"/>
      <c r="O40" s="116"/>
      <c r="P40" s="116"/>
      <c r="Q40" s="116"/>
      <c r="R40" s="116"/>
      <c r="S40" s="116"/>
      <c r="T40" s="116"/>
      <c r="U40" s="116"/>
      <c r="V40" s="116"/>
      <c r="W40" s="116"/>
      <c r="X40" s="116"/>
      <c r="Y40" s="116"/>
      <c r="Z40" s="116"/>
      <c r="AA40" s="116"/>
      <c r="AB40" s="116"/>
      <c r="AC40" s="116"/>
      <c r="AD40" s="116"/>
      <c r="AE40" s="116"/>
      <c r="AF40" s="116"/>
      <c r="AG40" s="116"/>
      <c r="AH40" s="116"/>
      <c r="AI40" s="116"/>
      <c r="AJ40" s="116"/>
      <c r="AK40" s="116"/>
      <c r="AL40" s="116"/>
      <c r="AM40" s="116"/>
      <c r="AN40" s="116"/>
      <c r="AO40" s="116"/>
      <c r="AP40" s="116"/>
      <c r="AQ40" s="116"/>
      <c r="AR40" s="116"/>
      <c r="AS40" s="116"/>
      <c r="AT40" s="116"/>
      <c r="AU40" s="116"/>
      <c r="AV40" s="116"/>
      <c r="AW40" s="116"/>
      <c r="AX40" s="116"/>
      <c r="AY40" s="116"/>
      <c r="AZ40" s="116"/>
    </row>
    <row r="41" spans="1:52">
      <c r="A41" s="116"/>
      <c r="B41" s="116"/>
      <c r="C41" s="116"/>
      <c r="D41" s="116"/>
      <c r="E41" s="116"/>
      <c r="F41" s="116"/>
      <c r="G41" s="116" t="s">
        <v>256</v>
      </c>
      <c r="H41" s="116"/>
      <c r="I41" s="116" t="s">
        <v>277</v>
      </c>
      <c r="J41" s="116"/>
      <c r="K41" s="116"/>
      <c r="L41" s="116"/>
      <c r="M41" s="116"/>
      <c r="N41" s="116"/>
      <c r="O41" s="116"/>
      <c r="P41" s="116"/>
      <c r="Q41" s="116"/>
      <c r="R41" s="116"/>
      <c r="S41" s="116"/>
      <c r="T41" s="116"/>
      <c r="U41" s="116"/>
      <c r="V41" s="116"/>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row>
    <row r="42" spans="1:52">
      <c r="A42" s="116"/>
      <c r="B42" s="116"/>
      <c r="C42" s="116"/>
      <c r="D42" s="116"/>
      <c r="E42" s="116"/>
      <c r="F42" s="116"/>
      <c r="G42" s="116" t="s">
        <v>255</v>
      </c>
      <c r="H42" s="116"/>
      <c r="I42" s="116" t="s">
        <v>278</v>
      </c>
      <c r="J42" s="116"/>
      <c r="K42" s="116"/>
      <c r="L42" s="116"/>
      <c r="M42" s="116"/>
      <c r="N42" s="116"/>
      <c r="O42" s="116"/>
      <c r="P42" s="116"/>
      <c r="Q42" s="116"/>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row>
  </sheetData>
  <mergeCells count="2">
    <mergeCell ref="F1:G1"/>
    <mergeCell ref="F2:G2"/>
  </mergeCells>
  <phoneticPr fontId="9" type="noConversion"/>
  <conditionalFormatting sqref="D3:AO4 AF6:AO6 Q7:U7 X7:AB7 AE7:AI7 AL7:AS7 V8:W8 Z8:AS8 R9:AS9 S5:U5 W5:AB5 AD5:AI5 AK5:AO5 AO13:AS13 D5:K5 D6:V6 D7:N7 D8:K8 D9:L9 D11:O11 D13 F13:J13 D10:K10 AS10 AK10:AQ10 N8:O8 D16:N16 R16 U16:AS16 D12:AM12 AP12:AS12 M10:AG10 D14:K15 M17:AS18 D17:K18 D19:E19 J19:K19 Q19:T19 V19:AA19 AC19:AH19 AK19:AO19 AQ19:AS19 M21:N21 P20:R20 D20:K21 P21:U21 X20:Z21 AE20:AI21 AL20:AS21 M14:AS14 L15 Q11:AS11">
    <cfRule type="expression" dxfId="215" priority="245" stopIfTrue="1">
      <formula>D$3="So"</formula>
    </cfRule>
    <cfRule type="expression" dxfId="214" priority="246" stopIfTrue="1">
      <formula>D$3="Sa"</formula>
    </cfRule>
  </conditionalFormatting>
  <conditionalFormatting sqref="C5:C21">
    <cfRule type="expression" dxfId="213" priority="243" stopIfTrue="1">
      <formula>C$3="So"</formula>
    </cfRule>
    <cfRule type="expression" dxfId="212" priority="244">
      <formula>C$3="Sa"</formula>
    </cfRule>
  </conditionalFormatting>
  <conditionalFormatting sqref="AP3:AS4 AP6:AS6 AP5 AS5">
    <cfRule type="expression" dxfId="211" priority="241" stopIfTrue="1">
      <formula>AP$3="So"</formula>
    </cfRule>
    <cfRule type="expression" dxfId="210" priority="242" stopIfTrue="1">
      <formula>AP$3="Sa"</formula>
    </cfRule>
  </conditionalFormatting>
  <conditionalFormatting sqref="Y6">
    <cfRule type="expression" dxfId="209" priority="237" stopIfTrue="1">
      <formula>Y$3="So"</formula>
    </cfRule>
    <cfRule type="expression" dxfId="208" priority="238" stopIfTrue="1">
      <formula>Y$3="Sa"</formula>
    </cfRule>
  </conditionalFormatting>
  <conditionalFormatting sqref="Z6">
    <cfRule type="expression" dxfId="207" priority="235" stopIfTrue="1">
      <formula>Z$3="So"</formula>
    </cfRule>
    <cfRule type="expression" dxfId="206" priority="236" stopIfTrue="1">
      <formula>Z$3="Sa"</formula>
    </cfRule>
  </conditionalFormatting>
  <conditionalFormatting sqref="AA6:AE6">
    <cfRule type="expression" dxfId="205" priority="233" stopIfTrue="1">
      <formula>AA$3="So"</formula>
    </cfRule>
    <cfRule type="expression" dxfId="204" priority="234" stopIfTrue="1">
      <formula>AA$3="Sa"</formula>
    </cfRule>
  </conditionalFormatting>
  <conditionalFormatting sqref="X6">
    <cfRule type="expression" dxfId="203" priority="231" stopIfTrue="1">
      <formula>X$3="So"</formula>
    </cfRule>
    <cfRule type="expression" dxfId="202" priority="232" stopIfTrue="1">
      <formula>X$3="Sa"</formula>
    </cfRule>
  </conditionalFormatting>
  <conditionalFormatting sqref="P7">
    <cfRule type="expression" dxfId="201" priority="229" stopIfTrue="1">
      <formula>P$3="So"</formula>
    </cfRule>
    <cfRule type="expression" dxfId="200" priority="230" stopIfTrue="1">
      <formula>P$3="Sa"</formula>
    </cfRule>
  </conditionalFormatting>
  <conditionalFormatting sqref="K8">
    <cfRule type="expression" dxfId="199" priority="221" stopIfTrue="1">
      <formula>S$3="So"</formula>
    </cfRule>
    <cfRule type="expression" dxfId="198" priority="222" stopIfTrue="1">
      <formula>S$3="Sa"</formula>
    </cfRule>
  </conditionalFormatting>
  <conditionalFormatting sqref="AK10">
    <cfRule type="expression" dxfId="197" priority="219" stopIfTrue="1">
      <formula>AR$3="So"</formula>
    </cfRule>
    <cfRule type="expression" dxfId="196" priority="220" stopIfTrue="1">
      <formula>AR$3="Sa"</formula>
    </cfRule>
  </conditionalFormatting>
  <conditionalFormatting sqref="M9">
    <cfRule type="expression" dxfId="195" priority="217" stopIfTrue="1">
      <formula>M$3="So"</formula>
    </cfRule>
    <cfRule type="expression" dxfId="194" priority="218" stopIfTrue="1">
      <formula>M$3="Sa"</formula>
    </cfRule>
  </conditionalFormatting>
  <conditionalFormatting sqref="O9">
    <cfRule type="expression" dxfId="193" priority="215" stopIfTrue="1">
      <formula>O$3="So"</formula>
    </cfRule>
    <cfRule type="expression" dxfId="192" priority="216" stopIfTrue="1">
      <formula>O$3="Sa"</formula>
    </cfRule>
  </conditionalFormatting>
  <conditionalFormatting sqref="N9">
    <cfRule type="expression" dxfId="191" priority="213" stopIfTrue="1">
      <formula>N$3="So"</formula>
    </cfRule>
    <cfRule type="expression" dxfId="190" priority="214" stopIfTrue="1">
      <formula>N$3="Sa"</formula>
    </cfRule>
  </conditionalFormatting>
  <conditionalFormatting sqref="Q9">
    <cfRule type="expression" dxfId="189" priority="211" stopIfTrue="1">
      <formula>Q$3="So"</formula>
    </cfRule>
    <cfRule type="expression" dxfId="188" priority="212" stopIfTrue="1">
      <formula>Q$3="Sa"</formula>
    </cfRule>
  </conditionalFormatting>
  <conditionalFormatting sqref="P9">
    <cfRule type="expression" dxfId="187" priority="209" stopIfTrue="1">
      <formula>P$3="So"</formula>
    </cfRule>
    <cfRule type="expression" dxfId="186" priority="210" stopIfTrue="1">
      <formula>P$3="Sa"</formula>
    </cfRule>
  </conditionalFormatting>
  <conditionalFormatting sqref="AO10:AQ10">
    <cfRule type="expression" dxfId="185" priority="207" stopIfTrue="1">
      <formula>AH$3="So"</formula>
    </cfRule>
    <cfRule type="expression" dxfId="184" priority="208" stopIfTrue="1">
      <formula>AH$3="Sa"</formula>
    </cfRule>
  </conditionalFormatting>
  <conditionalFormatting sqref="V5">
    <cfRule type="expression" dxfId="183" priority="203" stopIfTrue="1">
      <formula>V$3="So"</formula>
    </cfRule>
    <cfRule type="expression" dxfId="182" priority="204" stopIfTrue="1">
      <formula>V$3="Sa"</formula>
    </cfRule>
  </conditionalFormatting>
  <conditionalFormatting sqref="AC5">
    <cfRule type="expression" dxfId="181" priority="201" stopIfTrue="1">
      <formula>AC$3="So"</formula>
    </cfRule>
    <cfRule type="expression" dxfId="180" priority="202" stopIfTrue="1">
      <formula>AC$3="Sa"</formula>
    </cfRule>
  </conditionalFormatting>
  <conditionalFormatting sqref="AJ5">
    <cfRule type="expression" dxfId="179" priority="199" stopIfTrue="1">
      <formula>AJ$3="So"</formula>
    </cfRule>
    <cfRule type="expression" dxfId="178" priority="200" stopIfTrue="1">
      <formula>AJ$3="Sa"</formula>
    </cfRule>
  </conditionalFormatting>
  <conditionalFormatting sqref="AQ5">
    <cfRule type="expression" dxfId="177" priority="197" stopIfTrue="1">
      <formula>AQ$3="So"</formula>
    </cfRule>
    <cfRule type="expression" dxfId="176" priority="198" stopIfTrue="1">
      <formula>AQ$3="Sa"</formula>
    </cfRule>
  </conditionalFormatting>
  <conditionalFormatting sqref="AR5">
    <cfRule type="expression" dxfId="175" priority="195" stopIfTrue="1">
      <formula>AR$3="So"</formula>
    </cfRule>
    <cfRule type="expression" dxfId="174" priority="196" stopIfTrue="1">
      <formula>AR$3="Sa"</formula>
    </cfRule>
  </conditionalFormatting>
  <conditionalFormatting sqref="W6">
    <cfRule type="expression" dxfId="173" priority="193" stopIfTrue="1">
      <formula>W$3="So"</formula>
    </cfRule>
    <cfRule type="expression" dxfId="172" priority="194" stopIfTrue="1">
      <formula>W$3="Sa"</formula>
    </cfRule>
  </conditionalFormatting>
  <conditionalFormatting sqref="K13">
    <cfRule type="expression" dxfId="171" priority="191" stopIfTrue="1">
      <formula>K$3="So"</formula>
    </cfRule>
    <cfRule type="expression" dxfId="170" priority="192" stopIfTrue="1">
      <formula>K$3="Sa"</formula>
    </cfRule>
  </conditionalFormatting>
  <conditionalFormatting sqref="L13">
    <cfRule type="expression" dxfId="169" priority="189" stopIfTrue="1">
      <formula>L$3="So"</formula>
    </cfRule>
    <cfRule type="expression" dxfId="168" priority="190" stopIfTrue="1">
      <formula>L$3="Sa"</formula>
    </cfRule>
  </conditionalFormatting>
  <conditionalFormatting sqref="M13">
    <cfRule type="expression" dxfId="167" priority="187" stopIfTrue="1">
      <formula>M$3="So"</formula>
    </cfRule>
    <cfRule type="expression" dxfId="166" priority="188" stopIfTrue="1">
      <formula>M$3="Sa"</formula>
    </cfRule>
  </conditionalFormatting>
  <conditionalFormatting sqref="N13:AN13">
    <cfRule type="expression" dxfId="165" priority="185" stopIfTrue="1">
      <formula>N$3="So"</formula>
    </cfRule>
    <cfRule type="expression" dxfId="164" priority="186" stopIfTrue="1">
      <formula>N$3="Sa"</formula>
    </cfRule>
  </conditionalFormatting>
  <conditionalFormatting sqref="E13">
    <cfRule type="expression" dxfId="163" priority="183" stopIfTrue="1">
      <formula>E$3="So"</formula>
    </cfRule>
    <cfRule type="expression" dxfId="162" priority="184" stopIfTrue="1">
      <formula>E$3="Sa"</formula>
    </cfRule>
  </conditionalFormatting>
  <conditionalFormatting sqref="X8:Y8">
    <cfRule type="expression" dxfId="161" priority="181" stopIfTrue="1">
      <formula>X$3="So"</formula>
    </cfRule>
    <cfRule type="expression" dxfId="160" priority="182" stopIfTrue="1">
      <formula>X$3="Sa"</formula>
    </cfRule>
  </conditionalFormatting>
  <conditionalFormatting sqref="AH10:AJ10">
    <cfRule type="expression" dxfId="159" priority="179" stopIfTrue="1">
      <formula>AH$3="So"</formula>
    </cfRule>
    <cfRule type="expression" dxfId="158" priority="180" stopIfTrue="1">
      <formula>AH$3="Sa"</formula>
    </cfRule>
  </conditionalFormatting>
  <conditionalFormatting sqref="AH10:AJ10">
    <cfRule type="expression" dxfId="157" priority="177" stopIfTrue="1">
      <formula>AA$3="So"</formula>
    </cfRule>
    <cfRule type="expression" dxfId="156" priority="178" stopIfTrue="1">
      <formula>AA$3="Sa"</formula>
    </cfRule>
  </conditionalFormatting>
  <conditionalFormatting sqref="L5">
    <cfRule type="expression" dxfId="155" priority="175" stopIfTrue="1">
      <formula>L$3="So"</formula>
    </cfRule>
    <cfRule type="expression" dxfId="154" priority="176" stopIfTrue="1">
      <formula>L$3="Sa"</formula>
    </cfRule>
  </conditionalFormatting>
  <conditionalFormatting sqref="M5">
    <cfRule type="expression" dxfId="153" priority="173" stopIfTrue="1">
      <formula>M$3="So"</formula>
    </cfRule>
    <cfRule type="expression" dxfId="152" priority="174" stopIfTrue="1">
      <formula>M$3="Sa"</formula>
    </cfRule>
  </conditionalFormatting>
  <conditionalFormatting sqref="N5">
    <cfRule type="expression" dxfId="151" priority="171" stopIfTrue="1">
      <formula>N$3="So"</formula>
    </cfRule>
    <cfRule type="expression" dxfId="150" priority="172" stopIfTrue="1">
      <formula>N$3="Sa"</formula>
    </cfRule>
  </conditionalFormatting>
  <conditionalFormatting sqref="O5">
    <cfRule type="expression" dxfId="149" priority="169" stopIfTrue="1">
      <formula>O$3="So"</formula>
    </cfRule>
    <cfRule type="expression" dxfId="148" priority="170" stopIfTrue="1">
      <formula>O$3="Sa"</formula>
    </cfRule>
  </conditionalFormatting>
  <conditionalFormatting sqref="P5">
    <cfRule type="expression" dxfId="147" priority="167" stopIfTrue="1">
      <formula>P$3="So"</formula>
    </cfRule>
    <cfRule type="expression" dxfId="146" priority="168" stopIfTrue="1">
      <formula>P$3="Sa"</formula>
    </cfRule>
  </conditionalFormatting>
  <conditionalFormatting sqref="Q5">
    <cfRule type="expression" dxfId="145" priority="165" stopIfTrue="1">
      <formula>Q$3="So"</formula>
    </cfRule>
    <cfRule type="expression" dxfId="144" priority="166" stopIfTrue="1">
      <formula>Q$3="Sa"</formula>
    </cfRule>
  </conditionalFormatting>
  <conditionalFormatting sqref="R5">
    <cfRule type="expression" dxfId="143" priority="163" stopIfTrue="1">
      <formula>R$3="So"</formula>
    </cfRule>
    <cfRule type="expression" dxfId="142" priority="164" stopIfTrue="1">
      <formula>R$3="Sa"</formula>
    </cfRule>
  </conditionalFormatting>
  <conditionalFormatting sqref="O7">
    <cfRule type="expression" dxfId="141" priority="161" stopIfTrue="1">
      <formula>O$3="So"</formula>
    </cfRule>
    <cfRule type="expression" dxfId="140" priority="162" stopIfTrue="1">
      <formula>O$3="Sa"</formula>
    </cfRule>
  </conditionalFormatting>
  <conditionalFormatting sqref="L8">
    <cfRule type="expression" dxfId="139" priority="159" stopIfTrue="1">
      <formula>L$3="So"</formula>
    </cfRule>
    <cfRule type="expression" dxfId="138" priority="160" stopIfTrue="1">
      <formula>L$3="Sa"</formula>
    </cfRule>
  </conditionalFormatting>
  <conditionalFormatting sqref="M8">
    <cfRule type="expression" dxfId="137" priority="157" stopIfTrue="1">
      <formula>M$3="So"</formula>
    </cfRule>
    <cfRule type="expression" dxfId="136" priority="158" stopIfTrue="1">
      <formula>M$3="Sa"</formula>
    </cfRule>
  </conditionalFormatting>
  <conditionalFormatting sqref="P16">
    <cfRule type="expression" dxfId="135" priority="155" stopIfTrue="1">
      <formula>P$3="So"</formula>
    </cfRule>
    <cfRule type="expression" dxfId="134" priority="156" stopIfTrue="1">
      <formula>P$3="Sa"</formula>
    </cfRule>
  </conditionalFormatting>
  <conditionalFormatting sqref="Q16">
    <cfRule type="expression" dxfId="133" priority="151" stopIfTrue="1">
      <formula>Q$3="So"</formula>
    </cfRule>
    <cfRule type="expression" dxfId="132" priority="152" stopIfTrue="1">
      <formula>Q$3="Sa"</formula>
    </cfRule>
  </conditionalFormatting>
  <conditionalFormatting sqref="Q8">
    <cfRule type="expression" dxfId="131" priority="149" stopIfTrue="1">
      <formula>Q$3="So"</formula>
    </cfRule>
    <cfRule type="expression" dxfId="130" priority="150" stopIfTrue="1">
      <formula>Q$3="Sa"</formula>
    </cfRule>
  </conditionalFormatting>
  <conditionalFormatting sqref="R8">
    <cfRule type="expression" dxfId="129" priority="147" stopIfTrue="1">
      <formula>R$3="So"</formula>
    </cfRule>
    <cfRule type="expression" dxfId="128" priority="148" stopIfTrue="1">
      <formula>R$3="Sa"</formula>
    </cfRule>
  </conditionalFormatting>
  <conditionalFormatting sqref="O16">
    <cfRule type="expression" dxfId="127" priority="143" stopIfTrue="1">
      <formula>O$3="So"</formula>
    </cfRule>
    <cfRule type="expression" dxfId="126" priority="144" stopIfTrue="1">
      <formula>O$3="Sa"</formula>
    </cfRule>
  </conditionalFormatting>
  <conditionalFormatting sqref="P8">
    <cfRule type="expression" dxfId="125" priority="141" stopIfTrue="1">
      <formula>P$3="So"</formula>
    </cfRule>
    <cfRule type="expression" dxfId="124" priority="142" stopIfTrue="1">
      <formula>P$3="Sa"</formula>
    </cfRule>
  </conditionalFormatting>
  <conditionalFormatting sqref="S16">
    <cfRule type="expression" dxfId="123" priority="139" stopIfTrue="1">
      <formula>S$3="So"</formula>
    </cfRule>
    <cfRule type="expression" dxfId="122" priority="140" stopIfTrue="1">
      <formula>S$3="Sa"</formula>
    </cfRule>
  </conditionalFormatting>
  <conditionalFormatting sqref="T16">
    <cfRule type="expression" dxfId="121" priority="137" stopIfTrue="1">
      <formula>T$3="So"</formula>
    </cfRule>
    <cfRule type="expression" dxfId="120" priority="138" stopIfTrue="1">
      <formula>T$3="Sa"</formula>
    </cfRule>
  </conditionalFormatting>
  <conditionalFormatting sqref="W7">
    <cfRule type="expression" dxfId="119" priority="135" stopIfTrue="1">
      <formula>W$3="So"</formula>
    </cfRule>
    <cfRule type="expression" dxfId="118" priority="136" stopIfTrue="1">
      <formula>W$3="Sa"</formula>
    </cfRule>
  </conditionalFormatting>
  <conditionalFormatting sqref="V7">
    <cfRule type="expression" dxfId="117" priority="133" stopIfTrue="1">
      <formula>V$3="So"</formula>
    </cfRule>
    <cfRule type="expression" dxfId="116" priority="134" stopIfTrue="1">
      <formula>V$3="Sa"</formula>
    </cfRule>
  </conditionalFormatting>
  <conditionalFormatting sqref="AD7">
    <cfRule type="expression" dxfId="115" priority="131" stopIfTrue="1">
      <formula>AD$3="So"</formula>
    </cfRule>
    <cfRule type="expression" dxfId="114" priority="132" stopIfTrue="1">
      <formula>AD$3="Sa"</formula>
    </cfRule>
  </conditionalFormatting>
  <conditionalFormatting sqref="AC7">
    <cfRule type="expression" dxfId="113" priority="129" stopIfTrue="1">
      <formula>AC$3="So"</formula>
    </cfRule>
    <cfRule type="expression" dxfId="112" priority="130" stopIfTrue="1">
      <formula>AC$3="Sa"</formula>
    </cfRule>
  </conditionalFormatting>
  <conditionalFormatting sqref="AK7">
    <cfRule type="expression" dxfId="111" priority="127" stopIfTrue="1">
      <formula>AK$3="So"</formula>
    </cfRule>
    <cfRule type="expression" dxfId="110" priority="128" stopIfTrue="1">
      <formula>AK$3="Sa"</formula>
    </cfRule>
  </conditionalFormatting>
  <conditionalFormatting sqref="AJ7">
    <cfRule type="expression" dxfId="109" priority="125" stopIfTrue="1">
      <formula>AJ$3="So"</formula>
    </cfRule>
    <cfRule type="expression" dxfId="108" priority="126" stopIfTrue="1">
      <formula>AJ$3="Sa"</formula>
    </cfRule>
  </conditionalFormatting>
  <conditionalFormatting sqref="AO12">
    <cfRule type="expression" dxfId="107" priority="123" stopIfTrue="1">
      <formula>AO$3="So"</formula>
    </cfRule>
    <cfRule type="expression" dxfId="106" priority="124" stopIfTrue="1">
      <formula>AO$3="Sa"</formula>
    </cfRule>
  </conditionalFormatting>
  <conditionalFormatting sqref="AN12">
    <cfRule type="expression" dxfId="105" priority="121" stopIfTrue="1">
      <formula>AN$3="So"</formula>
    </cfRule>
    <cfRule type="expression" dxfId="104" priority="122" stopIfTrue="1">
      <formula>AN$3="Sa"</formula>
    </cfRule>
  </conditionalFormatting>
  <conditionalFormatting sqref="L10">
    <cfRule type="expression" dxfId="103" priority="119" stopIfTrue="1">
      <formula>L$3="So"</formula>
    </cfRule>
    <cfRule type="expression" dxfId="102" priority="120" stopIfTrue="1">
      <formula>L$3="Sa"</formula>
    </cfRule>
  </conditionalFormatting>
  <conditionalFormatting sqref="L14">
    <cfRule type="expression" dxfId="101" priority="117" stopIfTrue="1">
      <formula>L$3="So"</formula>
    </cfRule>
    <cfRule type="expression" dxfId="100" priority="118" stopIfTrue="1">
      <formula>L$3="Sa"</formula>
    </cfRule>
  </conditionalFormatting>
  <conditionalFormatting sqref="L17">
    <cfRule type="expression" dxfId="99" priority="113" stopIfTrue="1">
      <formula>L$3="So"</formula>
    </cfRule>
    <cfRule type="expression" dxfId="98" priority="114" stopIfTrue="1">
      <formula>L$3="Sa"</formula>
    </cfRule>
  </conditionalFormatting>
  <conditionalFormatting sqref="L18">
    <cfRule type="expression" dxfId="97" priority="111" stopIfTrue="1">
      <formula>L$3="So"</formula>
    </cfRule>
    <cfRule type="expression" dxfId="96" priority="112" stopIfTrue="1">
      <formula>L$3="Sa"</formula>
    </cfRule>
  </conditionalFormatting>
  <conditionalFormatting sqref="Q14">
    <cfRule type="expression" dxfId="95" priority="109" stopIfTrue="1">
      <formula>Q$3="So"</formula>
    </cfRule>
    <cfRule type="expression" dxfId="94" priority="110" stopIfTrue="1">
      <formula>Q$3="Sa"</formula>
    </cfRule>
  </conditionalFormatting>
  <conditionalFormatting sqref="R14">
    <cfRule type="expression" dxfId="93" priority="107" stopIfTrue="1">
      <formula>R$3="So"</formula>
    </cfRule>
    <cfRule type="expression" dxfId="92" priority="108" stopIfTrue="1">
      <formula>R$3="Sa"</formula>
    </cfRule>
  </conditionalFormatting>
  <conditionalFormatting sqref="S14:W14">
    <cfRule type="expression" dxfId="91" priority="105" stopIfTrue="1">
      <formula>S$3="So"</formula>
    </cfRule>
    <cfRule type="expression" dxfId="90" priority="106" stopIfTrue="1">
      <formula>S$3="Sa"</formula>
    </cfRule>
  </conditionalFormatting>
  <conditionalFormatting sqref="X14">
    <cfRule type="expression" dxfId="89" priority="103" stopIfTrue="1">
      <formula>X$3="So"</formula>
    </cfRule>
    <cfRule type="expression" dxfId="88" priority="104" stopIfTrue="1">
      <formula>X$3="Sa"</formula>
    </cfRule>
  </conditionalFormatting>
  <conditionalFormatting sqref="Y14">
    <cfRule type="expression" dxfId="87" priority="101" stopIfTrue="1">
      <formula>Y$3="So"</formula>
    </cfRule>
    <cfRule type="expression" dxfId="86" priority="102" stopIfTrue="1">
      <formula>Y$3="Sa"</formula>
    </cfRule>
  </conditionalFormatting>
  <conditionalFormatting sqref="Z14:AD14">
    <cfRule type="expression" dxfId="85" priority="99" stopIfTrue="1">
      <formula>Z$3="So"</formula>
    </cfRule>
    <cfRule type="expression" dxfId="84" priority="100" stopIfTrue="1">
      <formula>Z$3="Sa"</formula>
    </cfRule>
  </conditionalFormatting>
  <conditionalFormatting sqref="AE14">
    <cfRule type="expression" dxfId="83" priority="97" stopIfTrue="1">
      <formula>AE$3="So"</formula>
    </cfRule>
    <cfRule type="expression" dxfId="82" priority="98" stopIfTrue="1">
      <formula>AE$3="Sa"</formula>
    </cfRule>
  </conditionalFormatting>
  <conditionalFormatting sqref="AF14">
    <cfRule type="expression" dxfId="81" priority="95" stopIfTrue="1">
      <formula>AF$3="So"</formula>
    </cfRule>
    <cfRule type="expression" dxfId="80" priority="96" stopIfTrue="1">
      <formula>AF$3="Sa"</formula>
    </cfRule>
  </conditionalFormatting>
  <conditionalFormatting sqref="AG14:AK14">
    <cfRule type="expression" dxfId="79" priority="93" stopIfTrue="1">
      <formula>AG$3="So"</formula>
    </cfRule>
    <cfRule type="expression" dxfId="78" priority="94" stopIfTrue="1">
      <formula>AG$3="Sa"</formula>
    </cfRule>
  </conditionalFormatting>
  <conditionalFormatting sqref="AL14">
    <cfRule type="expression" dxfId="77" priority="91" stopIfTrue="1">
      <formula>AL$3="So"</formula>
    </cfRule>
    <cfRule type="expression" dxfId="76" priority="92" stopIfTrue="1">
      <formula>AL$3="Sa"</formula>
    </cfRule>
  </conditionalFormatting>
  <conditionalFormatting sqref="AM14">
    <cfRule type="expression" dxfId="75" priority="89" stopIfTrue="1">
      <formula>AM$3="So"</formula>
    </cfRule>
    <cfRule type="expression" dxfId="74" priority="90" stopIfTrue="1">
      <formula>AM$3="Sa"</formula>
    </cfRule>
  </conditionalFormatting>
  <conditionalFormatting sqref="AN14:AR14">
    <cfRule type="expression" dxfId="73" priority="87" stopIfTrue="1">
      <formula>AN$3="So"</formula>
    </cfRule>
    <cfRule type="expression" dxfId="72" priority="88" stopIfTrue="1">
      <formula>AN$3="Sa"</formula>
    </cfRule>
  </conditionalFormatting>
  <conditionalFormatting sqref="AS14">
    <cfRule type="expression" dxfId="71" priority="85" stopIfTrue="1">
      <formula>AS$3="So"</formula>
    </cfRule>
    <cfRule type="expression" dxfId="70" priority="86" stopIfTrue="1">
      <formula>AS$3="Sa"</formula>
    </cfRule>
  </conditionalFormatting>
  <conditionalFormatting sqref="F19">
    <cfRule type="expression" dxfId="69" priority="81" stopIfTrue="1">
      <formula>F$3="So"</formula>
    </cfRule>
    <cfRule type="expression" dxfId="68" priority="82" stopIfTrue="1">
      <formula>F$3="Sa"</formula>
    </cfRule>
  </conditionalFormatting>
  <conditionalFormatting sqref="G19">
    <cfRule type="expression" dxfId="67" priority="79" stopIfTrue="1">
      <formula>G$3="So"</formula>
    </cfRule>
    <cfRule type="expression" dxfId="66" priority="80" stopIfTrue="1">
      <formula>G$3="Sa"</formula>
    </cfRule>
  </conditionalFormatting>
  <conditionalFormatting sqref="H19:I19">
    <cfRule type="expression" dxfId="65" priority="75" stopIfTrue="1">
      <formula>H$3="So"</formula>
    </cfRule>
    <cfRule type="expression" dxfId="64" priority="76" stopIfTrue="1">
      <formula>H$3="Sa"</formula>
    </cfRule>
  </conditionalFormatting>
  <conditionalFormatting sqref="L19">
    <cfRule type="expression" dxfId="63" priority="73" stopIfTrue="1">
      <formula>L$3="So"</formula>
    </cfRule>
    <cfRule type="expression" dxfId="62" priority="74" stopIfTrue="1">
      <formula>L$3="Sa"</formula>
    </cfRule>
  </conditionalFormatting>
  <conditionalFormatting sqref="M19 O19">
    <cfRule type="expression" dxfId="61" priority="71" stopIfTrue="1">
      <formula>M$3="So"</formula>
    </cfRule>
    <cfRule type="expression" dxfId="60" priority="72" stopIfTrue="1">
      <formula>M$3="Sa"</formula>
    </cfRule>
  </conditionalFormatting>
  <conditionalFormatting sqref="N19">
    <cfRule type="expression" dxfId="59" priority="69" stopIfTrue="1">
      <formula>N$3="So"</formula>
    </cfRule>
    <cfRule type="expression" dxfId="58" priority="70" stopIfTrue="1">
      <formula>N$3="Sa"</formula>
    </cfRule>
  </conditionalFormatting>
  <conditionalFormatting sqref="P19">
    <cfRule type="expression" dxfId="57" priority="67" stopIfTrue="1">
      <formula>P$3="So"</formula>
    </cfRule>
    <cfRule type="expression" dxfId="56" priority="68" stopIfTrue="1">
      <formula>P$3="Sa"</formula>
    </cfRule>
  </conditionalFormatting>
  <conditionalFormatting sqref="U19">
    <cfRule type="expression" dxfId="55" priority="63" stopIfTrue="1">
      <formula>U$3="So"</formula>
    </cfRule>
    <cfRule type="expression" dxfId="54" priority="64" stopIfTrue="1">
      <formula>U$3="Sa"</formula>
    </cfRule>
  </conditionalFormatting>
  <conditionalFormatting sqref="AB19">
    <cfRule type="expression" dxfId="53" priority="61" stopIfTrue="1">
      <formula>AB$3="So"</formula>
    </cfRule>
    <cfRule type="expression" dxfId="52" priority="62" stopIfTrue="1">
      <formula>AB$3="Sa"</formula>
    </cfRule>
  </conditionalFormatting>
  <conditionalFormatting sqref="AI19:AJ19">
    <cfRule type="expression" dxfId="51" priority="59" stopIfTrue="1">
      <formula>AI$3="So"</formula>
    </cfRule>
    <cfRule type="expression" dxfId="50" priority="60" stopIfTrue="1">
      <formula>AI$3="Sa"</formula>
    </cfRule>
  </conditionalFormatting>
  <conditionalFormatting sqref="AP19">
    <cfRule type="expression" dxfId="49" priority="57" stopIfTrue="1">
      <formula>AP$3="So"</formula>
    </cfRule>
    <cfRule type="expression" dxfId="48" priority="58" stopIfTrue="1">
      <formula>AP$3="Sa"</formula>
    </cfRule>
  </conditionalFormatting>
  <conditionalFormatting sqref="L20">
    <cfRule type="expression" dxfId="47" priority="55" stopIfTrue="1">
      <formula>L$3="So"</formula>
    </cfRule>
    <cfRule type="expression" dxfId="46" priority="56" stopIfTrue="1">
      <formula>L$3="Sa"</formula>
    </cfRule>
  </conditionalFormatting>
  <conditionalFormatting sqref="S20:U20">
    <cfRule type="expression" dxfId="45" priority="53" stopIfTrue="1">
      <formula>S$3="So"</formula>
    </cfRule>
    <cfRule type="expression" dxfId="44" priority="54" stopIfTrue="1">
      <formula>S$3="Sa"</formula>
    </cfRule>
  </conditionalFormatting>
  <conditionalFormatting sqref="O20">
    <cfRule type="expression" dxfId="43" priority="51" stopIfTrue="1">
      <formula>O$3="So"</formula>
    </cfRule>
    <cfRule type="expression" dxfId="42" priority="52" stopIfTrue="1">
      <formula>O$3="Sa"</formula>
    </cfRule>
  </conditionalFormatting>
  <conditionalFormatting sqref="V20:W20">
    <cfRule type="expression" dxfId="41" priority="49" stopIfTrue="1">
      <formula>V$3="So"</formula>
    </cfRule>
    <cfRule type="expression" dxfId="40" priority="50" stopIfTrue="1">
      <formula>V$3="Sa"</formula>
    </cfRule>
  </conditionalFormatting>
  <conditionalFormatting sqref="AC20:AD20">
    <cfRule type="expression" dxfId="39" priority="43" stopIfTrue="1">
      <formula>AB$3="So"</formula>
    </cfRule>
    <cfRule type="expression" dxfId="38" priority="44" stopIfTrue="1">
      <formula>AB$3="Sa"</formula>
    </cfRule>
  </conditionalFormatting>
  <conditionalFormatting sqref="AA20">
    <cfRule type="expression" dxfId="37" priority="41" stopIfTrue="1">
      <formula>Z$3="So"</formula>
    </cfRule>
    <cfRule type="expression" dxfId="36" priority="42" stopIfTrue="1">
      <formula>Z$3="Sa"</formula>
    </cfRule>
  </conditionalFormatting>
  <conditionalFormatting sqref="AJ20:AK20">
    <cfRule type="expression" dxfId="35" priority="39" stopIfTrue="1">
      <formula>AI$3="So"</formula>
    </cfRule>
    <cfRule type="expression" dxfId="34" priority="40" stopIfTrue="1">
      <formula>AI$3="Sa"</formula>
    </cfRule>
  </conditionalFormatting>
  <conditionalFormatting sqref="L21">
    <cfRule type="expression" dxfId="33" priority="37" stopIfTrue="1">
      <formula>L$3="So"</formula>
    </cfRule>
    <cfRule type="expression" dxfId="32" priority="38" stopIfTrue="1">
      <formula>L$3="Sa"</formula>
    </cfRule>
  </conditionalFormatting>
  <conditionalFormatting sqref="V21">
    <cfRule type="expression" dxfId="31" priority="33" stopIfTrue="1">
      <formula>V$3="So"</formula>
    </cfRule>
    <cfRule type="expression" dxfId="30" priority="34" stopIfTrue="1">
      <formula>V$3="Sa"</formula>
    </cfRule>
  </conditionalFormatting>
  <conditionalFormatting sqref="W21">
    <cfRule type="expression" dxfId="29" priority="31" stopIfTrue="1">
      <formula>W$3="So"</formula>
    </cfRule>
    <cfRule type="expression" dxfId="28" priority="32" stopIfTrue="1">
      <formula>W$3="Sa"</formula>
    </cfRule>
  </conditionalFormatting>
  <conditionalFormatting sqref="AA21">
    <cfRule type="expression" dxfId="27" priority="29" stopIfTrue="1">
      <formula>AA$3="So"</formula>
    </cfRule>
    <cfRule type="expression" dxfId="26" priority="30" stopIfTrue="1">
      <formula>AA$3="Sa"</formula>
    </cfRule>
  </conditionalFormatting>
  <conditionalFormatting sqref="AC21">
    <cfRule type="expression" dxfId="25" priority="25" stopIfTrue="1">
      <formula>AC$3="So"</formula>
    </cfRule>
    <cfRule type="expression" dxfId="24" priority="26" stopIfTrue="1">
      <formula>AC$3="Sa"</formula>
    </cfRule>
  </conditionalFormatting>
  <conditionalFormatting sqref="AD21">
    <cfRule type="expression" dxfId="23" priority="23" stopIfTrue="1">
      <formula>AD$3="So"</formula>
    </cfRule>
    <cfRule type="expression" dxfId="22" priority="24" stopIfTrue="1">
      <formula>AD$3="Sa"</formula>
    </cfRule>
  </conditionalFormatting>
  <conditionalFormatting sqref="O21">
    <cfRule type="expression" dxfId="21" priority="21" stopIfTrue="1">
      <formula>O$3="So"</formula>
    </cfRule>
    <cfRule type="expression" dxfId="20" priority="22" stopIfTrue="1">
      <formula>O$3="Sa"</formula>
    </cfRule>
  </conditionalFormatting>
  <conditionalFormatting sqref="AJ21:AK21">
    <cfRule type="expression" dxfId="19" priority="19" stopIfTrue="1">
      <formula>AI$3="So"</formula>
    </cfRule>
    <cfRule type="expression" dxfId="18" priority="20" stopIfTrue="1">
      <formula>AI$3="Sa"</formula>
    </cfRule>
  </conditionalFormatting>
  <conditionalFormatting sqref="X15:Y15">
    <cfRule type="expression" dxfId="17" priority="17" stopIfTrue="1">
      <formula>X$3="So"</formula>
    </cfRule>
    <cfRule type="expression" dxfId="16" priority="18" stopIfTrue="1">
      <formula>X$3="Sa"</formula>
    </cfRule>
  </conditionalFormatting>
  <conditionalFormatting sqref="AE15:AF15">
    <cfRule type="expression" dxfId="15" priority="15" stopIfTrue="1">
      <formula>AE$3="So"</formula>
    </cfRule>
    <cfRule type="expression" dxfId="14" priority="16" stopIfTrue="1">
      <formula>AE$3="Sa"</formula>
    </cfRule>
  </conditionalFormatting>
  <conditionalFormatting sqref="AL15:AM15">
    <cfRule type="expression" dxfId="13" priority="13" stopIfTrue="1">
      <formula>AL$3="So"</formula>
    </cfRule>
    <cfRule type="expression" dxfId="12" priority="14" stopIfTrue="1">
      <formula>AL$3="Sa"</formula>
    </cfRule>
  </conditionalFormatting>
  <conditionalFormatting sqref="AS15">
    <cfRule type="expression" dxfId="11" priority="11" stopIfTrue="1">
      <formula>AS$3="So"</formula>
    </cfRule>
    <cfRule type="expression" dxfId="10" priority="12" stopIfTrue="1">
      <formula>AS$3="Sa"</formula>
    </cfRule>
  </conditionalFormatting>
  <conditionalFormatting sqref="Q15:R15">
    <cfRule type="expression" dxfId="9" priority="9" stopIfTrue="1">
      <formula>Q$3="So"</formula>
    </cfRule>
    <cfRule type="expression" dxfId="8" priority="10" stopIfTrue="1">
      <formula>Q$3="Sa"</formula>
    </cfRule>
  </conditionalFormatting>
  <conditionalFormatting sqref="P11">
    <cfRule type="expression" dxfId="7" priority="7" stopIfTrue="1">
      <formula>P$3="So"</formula>
    </cfRule>
    <cfRule type="expression" dxfId="6" priority="8" stopIfTrue="1">
      <formula>P$3="Sa"</formula>
    </cfRule>
  </conditionalFormatting>
  <conditionalFormatting sqref="M20:N20">
    <cfRule type="expression" dxfId="5" priority="5" stopIfTrue="1">
      <formula>M$3="So"</formula>
    </cfRule>
    <cfRule type="expression" dxfId="4" priority="6" stopIfTrue="1">
      <formula>M$3="Sa"</formula>
    </cfRule>
  </conditionalFormatting>
  <conditionalFormatting sqref="AB20">
    <cfRule type="expression" dxfId="3" priority="3" stopIfTrue="1">
      <formula>AB$3="So"</formula>
    </cfRule>
    <cfRule type="expression" dxfId="2" priority="4" stopIfTrue="1">
      <formula>AB$3="Sa"</formula>
    </cfRule>
  </conditionalFormatting>
  <conditionalFormatting sqref="AB21">
    <cfRule type="expression" dxfId="1" priority="1" stopIfTrue="1">
      <formula>AB$3="So"</formula>
    </cfRule>
    <cfRule type="expression" dxfId="0" priority="2" stopIfTrue="1">
      <formula>AB$3="Sa"</formula>
    </cfRule>
  </conditionalFormatting>
  <pageMargins left="0.7" right="0.7" top="0.78740157499999996" bottom="0.78740157499999996" header="0.3" footer="0.3"/>
  <pageSetup paperSize="9" orientation="portrait" horizontalDpi="4294967293"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C18A0-4249-4823-BDBF-A53A1F9653FF}">
  <sheetPr codeName="Tabelle10"/>
  <dimension ref="A1:C10"/>
  <sheetViews>
    <sheetView workbookViewId="0">
      <selection activeCell="C15" sqref="C15"/>
    </sheetView>
  </sheetViews>
  <sheetFormatPr baseColWidth="10" defaultRowHeight="12.5"/>
  <cols>
    <col min="1" max="1" width="29" customWidth="1"/>
  </cols>
  <sheetData>
    <row r="1" spans="1:3" ht="15.5">
      <c r="A1" s="45" t="s">
        <v>145</v>
      </c>
      <c r="C1" s="45" t="s">
        <v>146</v>
      </c>
    </row>
    <row r="2" spans="1:3">
      <c r="A2" t="s">
        <v>43</v>
      </c>
      <c r="C2" t="s">
        <v>43</v>
      </c>
    </row>
    <row r="3" spans="1:3" ht="15.5">
      <c r="A3" s="46" t="s">
        <v>147</v>
      </c>
      <c r="C3" s="46" t="s">
        <v>141</v>
      </c>
    </row>
    <row r="4" spans="1:3" ht="15.5">
      <c r="A4" s="46" t="s">
        <v>148</v>
      </c>
      <c r="C4" s="46" t="s">
        <v>149</v>
      </c>
    </row>
    <row r="5" spans="1:3" ht="15.5">
      <c r="A5" s="46" t="s">
        <v>150</v>
      </c>
      <c r="C5" s="46" t="s">
        <v>243</v>
      </c>
    </row>
    <row r="6" spans="1:3" ht="15.5">
      <c r="A6" s="46" t="s">
        <v>140</v>
      </c>
      <c r="C6" s="46" t="s">
        <v>321</v>
      </c>
    </row>
    <row r="7" spans="1:3" ht="15.5">
      <c r="A7" s="46" t="s">
        <v>142</v>
      </c>
      <c r="C7" s="46" t="s">
        <v>390</v>
      </c>
    </row>
    <row r="8" spans="1:3" ht="15.5">
      <c r="A8" s="46" t="s">
        <v>143</v>
      </c>
    </row>
    <row r="9" spans="1:3" ht="15.5">
      <c r="A9" s="46" t="s">
        <v>139</v>
      </c>
    </row>
    <row r="10" spans="1:3" ht="15.5">
      <c r="A10" s="46"/>
    </row>
  </sheetData>
  <pageMargins left="0.7" right="0.7" top="0.78740157499999996" bottom="0.78740157499999996"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E7263-B9E1-44E0-80D9-BD646D49537F}">
  <sheetPr codeName="Tabelle11"/>
  <dimension ref="A1:F26"/>
  <sheetViews>
    <sheetView workbookViewId="0">
      <selection activeCell="E8" sqref="E8"/>
    </sheetView>
  </sheetViews>
  <sheetFormatPr baseColWidth="10" defaultRowHeight="12.5"/>
  <sheetData>
    <row r="1" spans="1:4" ht="13">
      <c r="A1" s="33" t="s">
        <v>1</v>
      </c>
      <c r="B1" s="34" t="s">
        <v>48</v>
      </c>
      <c r="C1" s="34" t="s">
        <v>350</v>
      </c>
    </row>
    <row r="2" spans="1:4">
      <c r="A2" s="210" t="s">
        <v>77</v>
      </c>
      <c r="B2" s="210" t="s">
        <v>90</v>
      </c>
      <c r="C2" s="210" t="s">
        <v>351</v>
      </c>
      <c r="D2" s="213"/>
    </row>
    <row r="3" spans="1:4">
      <c r="A3" s="210" t="s">
        <v>155</v>
      </c>
      <c r="B3" s="210" t="s">
        <v>156</v>
      </c>
      <c r="C3" s="210" t="s">
        <v>351</v>
      </c>
      <c r="D3" s="213"/>
    </row>
    <row r="4" spans="1:4">
      <c r="A4" s="210" t="s">
        <v>191</v>
      </c>
      <c r="B4" s="210" t="s">
        <v>192</v>
      </c>
      <c r="C4" s="215" t="s">
        <v>351</v>
      </c>
      <c r="D4" s="213"/>
    </row>
    <row r="5" spans="1:4">
      <c r="A5" s="212" t="s">
        <v>78</v>
      </c>
      <c r="B5" s="212" t="s">
        <v>91</v>
      </c>
      <c r="C5" s="212" t="s">
        <v>369</v>
      </c>
      <c r="D5" s="222"/>
    </row>
    <row r="6" spans="1:4">
      <c r="A6" s="210" t="s">
        <v>79</v>
      </c>
      <c r="B6" s="210" t="s">
        <v>92</v>
      </c>
      <c r="C6" s="210" t="s">
        <v>354</v>
      </c>
      <c r="D6" s="214"/>
    </row>
    <row r="7" spans="1:4">
      <c r="A7" s="210" t="s">
        <v>358</v>
      </c>
      <c r="B7" s="210" t="s">
        <v>359</v>
      </c>
      <c r="C7" s="210" t="s">
        <v>354</v>
      </c>
      <c r="D7" s="214"/>
    </row>
    <row r="8" spans="1:4">
      <c r="A8" s="210" t="s">
        <v>162</v>
      </c>
      <c r="B8" s="210" t="s">
        <v>168</v>
      </c>
      <c r="C8" s="210" t="s">
        <v>354</v>
      </c>
      <c r="D8" s="214"/>
    </row>
    <row r="9" spans="1:4">
      <c r="A9" s="210" t="s">
        <v>80</v>
      </c>
      <c r="B9" s="210" t="s">
        <v>93</v>
      </c>
      <c r="C9" s="215" t="s">
        <v>354</v>
      </c>
      <c r="D9" s="214"/>
    </row>
    <row r="10" spans="1:4">
      <c r="A10" s="210" t="s">
        <v>360</v>
      </c>
      <c r="B10" s="210" t="s">
        <v>361</v>
      </c>
      <c r="C10" s="215" t="s">
        <v>354</v>
      </c>
      <c r="D10" s="214"/>
    </row>
    <row r="11" spans="1:4">
      <c r="A11" s="210" t="s">
        <v>163</v>
      </c>
      <c r="B11" s="210" t="s">
        <v>170</v>
      </c>
      <c r="C11" s="215" t="s">
        <v>354</v>
      </c>
      <c r="D11" s="214"/>
    </row>
    <row r="12" spans="1:4">
      <c r="A12" s="212" t="s">
        <v>81</v>
      </c>
      <c r="B12" s="212" t="s">
        <v>94</v>
      </c>
      <c r="C12" s="212" t="s">
        <v>352</v>
      </c>
      <c r="D12" s="221"/>
    </row>
    <row r="13" spans="1:4">
      <c r="A13" s="223" t="s">
        <v>82</v>
      </c>
      <c r="B13" s="223" t="s">
        <v>95</v>
      </c>
      <c r="C13" s="223" t="s">
        <v>353</v>
      </c>
      <c r="D13" s="224"/>
    </row>
    <row r="14" spans="1:4">
      <c r="A14" s="211" t="s">
        <v>83</v>
      </c>
      <c r="B14" s="211" t="s">
        <v>96</v>
      </c>
      <c r="C14" s="211" t="s">
        <v>353</v>
      </c>
      <c r="D14" s="225"/>
    </row>
    <row r="15" spans="1:4">
      <c r="A15" s="210" t="s">
        <v>84</v>
      </c>
      <c r="B15" s="210" t="s">
        <v>97</v>
      </c>
      <c r="C15" s="215" t="s">
        <v>355</v>
      </c>
      <c r="D15" s="216"/>
    </row>
    <row r="16" spans="1:4">
      <c r="A16" s="210" t="s">
        <v>85</v>
      </c>
      <c r="B16" s="210" t="s">
        <v>98</v>
      </c>
      <c r="C16" s="215" t="s">
        <v>355</v>
      </c>
      <c r="D16" s="216"/>
    </row>
    <row r="17" spans="1:6">
      <c r="A17" s="210" t="s">
        <v>86</v>
      </c>
      <c r="B17" s="210" t="s">
        <v>99</v>
      </c>
      <c r="C17" s="210" t="s">
        <v>355</v>
      </c>
      <c r="D17" s="216"/>
    </row>
    <row r="18" spans="1:6">
      <c r="A18" s="210" t="s">
        <v>87</v>
      </c>
      <c r="B18" s="210" t="s">
        <v>100</v>
      </c>
      <c r="C18" s="210" t="s">
        <v>355</v>
      </c>
      <c r="D18" s="216"/>
    </row>
    <row r="19" spans="1:6">
      <c r="A19" s="210" t="s">
        <v>88</v>
      </c>
      <c r="B19" s="210" t="s">
        <v>101</v>
      </c>
      <c r="C19" s="210" t="s">
        <v>355</v>
      </c>
      <c r="D19" s="216"/>
    </row>
    <row r="20" spans="1:6">
      <c r="A20" s="210" t="s">
        <v>89</v>
      </c>
      <c r="B20" s="210" t="s">
        <v>102</v>
      </c>
      <c r="C20" s="210" t="s">
        <v>355</v>
      </c>
      <c r="D20" s="216"/>
    </row>
    <row r="21" spans="1:6">
      <c r="A21" s="210"/>
      <c r="B21" s="210"/>
      <c r="C21" s="210"/>
      <c r="D21" s="210"/>
      <c r="E21" s="210"/>
      <c r="F21" s="210"/>
    </row>
    <row r="22" spans="1:6">
      <c r="A22" s="210"/>
      <c r="B22" s="210"/>
      <c r="C22" s="210"/>
      <c r="D22" s="210"/>
      <c r="E22" s="210"/>
      <c r="F22" s="210"/>
    </row>
    <row r="23" spans="1:6">
      <c r="A23" s="210"/>
      <c r="B23" s="210"/>
      <c r="C23" s="210"/>
      <c r="D23" s="210"/>
      <c r="E23" s="210"/>
      <c r="F23" s="210"/>
    </row>
    <row r="24" spans="1:6">
      <c r="A24" s="210"/>
      <c r="B24" s="210"/>
      <c r="C24" s="210"/>
      <c r="D24" s="210"/>
      <c r="E24" s="210"/>
      <c r="F24" s="210"/>
    </row>
    <row r="25" spans="1:6">
      <c r="A25" s="210"/>
      <c r="B25" s="210"/>
      <c r="C25" s="210"/>
      <c r="D25" s="210"/>
      <c r="E25" s="210"/>
      <c r="F25" s="210"/>
    </row>
    <row r="26" spans="1:6">
      <c r="A26" s="210"/>
      <c r="B26" s="210"/>
      <c r="C26" s="210"/>
      <c r="D26" s="210"/>
      <c r="E26" s="210"/>
      <c r="F26" s="210"/>
    </row>
  </sheetData>
  <phoneticPr fontId="9"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c935882-467e-4155-8c38-295eb5fe6a65">
      <Terms xmlns="http://schemas.microsoft.com/office/infopath/2007/PartnerControls"/>
    </lcf76f155ced4ddcb4097134ff3c332f>
    <TaxCatchAll xmlns="92e729bb-47fc-406e-bee0-821e9dd0953a"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A5DB20181526B3478B2C27D8F9931068" ma:contentTypeVersion="26" ma:contentTypeDescription="Ein neues Dokument erstellen." ma:contentTypeScope="" ma:versionID="fd2e3e0c6b487dedf6bcbc5160f028fa">
  <xsd:schema xmlns:xsd="http://www.w3.org/2001/XMLSchema" xmlns:xs="http://www.w3.org/2001/XMLSchema" xmlns:p="http://schemas.microsoft.com/office/2006/metadata/properties" xmlns:ns2="674b5c01-bada-4cdb-89b8-3501374ad13b" xmlns:ns3="2c935882-467e-4155-8c38-295eb5fe6a65" xmlns:ns4="92e729bb-47fc-406e-bee0-821e9dd0953a" targetNamespace="http://schemas.microsoft.com/office/2006/metadata/properties" ma:root="true" ma:fieldsID="7c7d04fe850c1a92b5d3082c120bdb6f" ns2:_="" ns3:_="" ns4:_="">
    <xsd:import namespace="674b5c01-bada-4cdb-89b8-3501374ad13b"/>
    <xsd:import namespace="2c935882-467e-4155-8c38-295eb5fe6a65"/>
    <xsd:import namespace="92e729bb-47fc-406e-bee0-821e9dd095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3:MediaServiceLocation" minOccurs="0"/>
                <xsd:element ref="ns3:lcf76f155ced4ddcb4097134ff3c332f" minOccurs="0"/>
                <xsd:element ref="ns4:TaxCatchAll"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4b5c01-bada-4cdb-89b8-3501374ad1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c935882-467e-4155-8c38-295eb5fe6a65" elementFormDefault="qualified">
    <xsd:import namespace="http://schemas.microsoft.com/office/2006/documentManagement/types"/>
    <xsd:import namespace="http://schemas.microsoft.com/office/infopath/2007/PartnerControls"/>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Bildmarkierungen" ma:readOnly="false" ma:fieldId="{5cf76f15-5ced-4ddc-b409-7134ff3c332f}" ma:taxonomyMulti="true" ma:sspId="f212c26d-ba8a-401b-a725-3045b2045bc4"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e729bb-47fc-406e-bee0-821e9dd0953a" elementFormDefault="qualified">
    <xsd:import namespace="http://schemas.microsoft.com/office/2006/documentManagement/types"/>
    <xsd:import namespace="http://schemas.microsoft.com/office/infopath/2007/PartnerControls"/>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element name="TaxCatchAll" ma:index="22" nillable="true" ma:displayName="Taxonomy Catch All Column" ma:hidden="true" ma:list="{e92a5260-12f0-4c9c-b0ca-bc0e5309839c}" ma:internalName="TaxCatchAll" ma:showField="CatchAllData" ma:web="92e729bb-47fc-406e-bee0-821e9dd095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0BA1D4E-6C31-4240-B53E-97964159ED4E}">
  <ds:schemaRefs>
    <ds:schemaRef ds:uri="http://schemas.microsoft.com/office/2006/documentManagement/types"/>
    <ds:schemaRef ds:uri="http://purl.org/dc/dcmitype/"/>
    <ds:schemaRef ds:uri="http://schemas.microsoft.com/office/2006/metadata/properties"/>
    <ds:schemaRef ds:uri="http://schemas.microsoft.com/office/infopath/2007/PartnerControls"/>
    <ds:schemaRef ds:uri="http://schemas.openxmlformats.org/package/2006/metadata/core-properties"/>
    <ds:schemaRef ds:uri="http://purl.org/dc/elements/1.1/"/>
    <ds:schemaRef ds:uri="224dcf42-62f9-43cf-884f-ffd622c8a884"/>
    <ds:schemaRef ds:uri="136c0432-4d9c-4173-8361-2c7368292cc8"/>
    <ds:schemaRef ds:uri="http://www.w3.org/XML/1998/namespace"/>
    <ds:schemaRef ds:uri="http://purl.org/dc/terms/"/>
    <ds:schemaRef ds:uri="2c935882-467e-4155-8c38-295eb5fe6a65"/>
    <ds:schemaRef ds:uri="92e729bb-47fc-406e-bee0-821e9dd0953a"/>
  </ds:schemaRefs>
</ds:datastoreItem>
</file>

<file path=customXml/itemProps2.xml><?xml version="1.0" encoding="utf-8"?>
<ds:datastoreItem xmlns:ds="http://schemas.openxmlformats.org/officeDocument/2006/customXml" ds:itemID="{82B25C42-0A44-4C78-9277-AA23D2279D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4b5c01-bada-4cdb-89b8-3501374ad13b"/>
    <ds:schemaRef ds:uri="2c935882-467e-4155-8c38-295eb5fe6a65"/>
    <ds:schemaRef ds:uri="92e729bb-47fc-406e-bee0-821e9dd095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CCEEF33-4B98-494B-8FEB-DFC6AB71A58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11</vt:i4>
      </vt:variant>
    </vt:vector>
  </HeadingPairs>
  <TitlesOfParts>
    <vt:vector size="11" baseType="lpstr">
      <vt:lpstr>kategorien</vt:lpstr>
      <vt:lpstr>diensttypen</vt:lpstr>
      <vt:lpstr>diensttypgruppen</vt:lpstr>
      <vt:lpstr>Dienstzeiten</vt:lpstr>
      <vt:lpstr>gemischte Dienste</vt:lpstr>
      <vt:lpstr>ma-basisdaten</vt:lpstr>
      <vt:lpstr>bedarfe</vt:lpstr>
      <vt:lpstr>ma-profil</vt:lpstr>
      <vt:lpstr>live-daten</vt:lpstr>
      <vt:lpstr>qualitativeGewichte</vt:lpstr>
      <vt:lpstr>farben Dienste</vt:lpstr>
    </vt:vector>
  </TitlesOfParts>
  <Manager/>
  <Company>Kanton Spital Aarau</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Spielmann Claudia</dc:creator>
  <cp:keywords/>
  <dc:description/>
  <cp:lastModifiedBy>Vanessa Toscan</cp:lastModifiedBy>
  <cp:revision/>
  <dcterms:created xsi:type="dcterms:W3CDTF">2021-03-08T13:18:21Z</dcterms:created>
  <dcterms:modified xsi:type="dcterms:W3CDTF">2024-05-10T12:26:15Z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0x0101001AD19CADA4F0B14F982E16E293C7B671</vt:lpwstr>
  </property>
  <property fmtid="{D5CDD505-2E9C-101B-9397-08002B2CF9AE}" pid="3" name="MediaServiceImageTags">
    <vt:lpwstr/>
  </property>
</Properties>
</file>